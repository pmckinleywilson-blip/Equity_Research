
<file path=[Content_Types].xml><?xml version="1.0" encoding="utf-8"?>
<Types xmlns="http://schemas.openxmlformats.org/package/2006/content-types">
  <Default Extension="bin" ContentType="application/vnd.openxmlformats-officedocument.spreadsheetml.customProperty"/>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printerSettings/printerSettings1.bin" ContentType="application/vnd.openxmlformats-officedocument.spreadsheetml.printerSettings"/>
  <Override PartName="/xl/printerSettings/printerSettings2.bin" ContentType="application/vnd.openxmlformats-officedocument.spreadsheetml.printerSettings"/>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comments3.xml" ContentType="application/vnd.openxmlformats-officedocument.spreadsheetml.comments+xml"/>
  <Override PartName="/xl/threadedComments/threadedComment3.xml" ContentType="application/vnd.ms-excel.threadedcomments+xml"/>
  <Override PartName="/xl/comments4.xml" ContentType="application/vnd.openxmlformats-officedocument.spreadsheetml.comments+xml"/>
  <Override PartName="/xl/printerSettings/printerSettings3.bin" ContentType="application/vnd.openxmlformats-officedocument.spreadsheetml.printerSettings"/>
  <Override PartName="/xl/drawings/drawing2.xml" ContentType="application/vnd.openxmlformats-officedocument.drawing+xml"/>
  <Override PartName="/xl/comments5.xml" ContentType="application/vnd.openxmlformats-officedocument.spreadsheetml.comments+xml"/>
  <Override PartName="/xl/threadedComments/threadedComment4.xml" ContentType="application/vnd.ms-excel.threadedcomments+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rinterSettings/printerSettings4.bin" ContentType="application/vnd.openxmlformats-officedocument.spreadsheetml.printerSettings"/>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docMetadata/LabelInfo.xml" ContentType="application/vnd.ms-office.classificationlabel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microsoft.com/office/2011/relationships/webextensiontaskpanes" Target="xl/webextensions/taskpanes.xml"/><Relationship Id="rId2" Type="http://schemas.microsoft.com/office/2020/02/relationships/classificationlabels" Target="docMetadata/LabelInfo.xml"/><Relationship Id="rId1" Type="http://schemas.openxmlformats.org/officeDocument/2006/relationships/officeDocument" Target="xl/workbook.xml"/><Relationship Id="rId6" Type="http://schemas.openxmlformats.org/officeDocument/2006/relationships/extended-properties" Target="docProps/app.xml"/><Relationship Id="rId5" Type="http://schemas.openxmlformats.org/package/2006/relationships/metadata/core-properties" Target="docProps/core.xml"/><Relationship Id="rId4" Type="http://schemas.openxmlformats.org/package/2006/relationships/metadata/thumbnail" Target="docProps/thumbnail.emf"/></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updateLinks="never"/>
  <mc:AlternateContent xmlns:mc="http://schemas.openxmlformats.org/markup-compatibility/2006">
    <mc:Choice Requires="x15">
      <x15ac:absPath xmlns:x15ac="http://schemas.microsoft.com/office/spreadsheetml/2010/11/ac" url="\\firmwide.corp.gs.com\irroot\projects\au\Consumer\5 - PM\Coverage\1 - WOW\1 - Models\1 - New Model\Portal Versions\"/>
    </mc:Choice>
  </mc:AlternateContent>
  <xr:revisionPtr revIDLastSave="0" documentId="13_ncr:1_{44181387-93D1-4899-A3E2-A5CFF1FEE24D}" xr6:coauthVersionLast="47" xr6:coauthVersionMax="47" xr10:uidLastSave="{00000000-0000-0000-0000-000000000000}"/>
  <bookViews>
    <workbookView xWindow="29055" yWindow="525" windowWidth="27015" windowHeight="21975" xr2:uid="{6B0DC021-AE6F-49DD-98D9-480F116E8FA7}"/>
  </bookViews>
  <sheets>
    <sheet name="Cover" sheetId="12" r:id="rId1"/>
    <sheet name="Summary" sheetId="11" r:id="rId2"/>
    <sheet name="Model" sheetId="1" r:id="rId3"/>
    <sheet name="PL" sheetId="2" r:id="rId4"/>
    <sheet name="CF" sheetId="3" r:id="rId5"/>
    <sheet name="BS" sheetId="4" r:id="rId6"/>
    <sheet name="Quarterly" sheetId="13" r:id="rId7"/>
    <sheet name="Valuation" sheetId="6" r:id="rId8"/>
  </sheets>
  <externalReferences>
    <externalReference r:id="rId9"/>
  </externalReferences>
  <definedNames>
    <definedName name="_bdm.FastTrackBookmark.11_3_2025_10_56_30_AM.edm" hidden="1">PL!$D$33</definedName>
    <definedName name="A_ALL_WOW.AX">#REF!</definedName>
    <definedName name="Abnormals_PostTAX">#REF!</definedName>
    <definedName name="AEndDrinks_Sales">#REF!</definedName>
    <definedName name="Continuing_sales">#REF!</definedName>
    <definedName name="DCF_INF">#REF!</definedName>
    <definedName name="DPS">#REF!</definedName>
    <definedName name="E_ALL_COL.AX">'[1]COL.AX_Exchange_Sheet'!$A$1:$AN$471</definedName>
    <definedName name="E_ALL_WOW.AX">#REF!</definedName>
    <definedName name="EPS_Pre_Goodwill">#REF!</definedName>
    <definedName name="L_ALL_COL.AX">#REF!</definedName>
    <definedName name="L_ALL_WOW.AX">#REF!</definedName>
    <definedName name="NET_PROFIT">#REF!</definedName>
    <definedName name="NPAT_post_Abn">#REF!</definedName>
    <definedName name="Sales_Aust_FL">#REF!</definedName>
    <definedName name="Sales_NZ_FL">#REF!</definedName>
    <definedName name="TOTAL_SALES">#REF!</definedName>
    <definedName name="V_ALL_COL.AX">#REF!</definedName>
    <definedName name="V_ALL_WOW.AX">#REF!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70" i="4" l="1"/>
  <c r="L26" i="2" l="1"/>
  <c r="M26" i="2" s="1"/>
  <c r="N26" i="2" s="1"/>
  <c r="O26" i="2" s="1"/>
  <c r="P26" i="2" s="1"/>
  <c r="AI33" i="2" l="1"/>
  <c r="AI51" i="2"/>
  <c r="AI201" i="1" l="1"/>
  <c r="K25" i="2" l="1"/>
  <c r="D76" i="6"/>
  <c r="L76" i="2"/>
  <c r="M76" i="2" s="1"/>
  <c r="N76" i="2" s="1"/>
  <c r="O76" i="2" s="1"/>
  <c r="P76" i="2" s="1"/>
  <c r="K29" i="1" l="1"/>
  <c r="L29" i="1"/>
  <c r="M29" i="1"/>
  <c r="N29" i="1"/>
  <c r="O29" i="1"/>
  <c r="P29" i="1"/>
  <c r="J29" i="1"/>
  <c r="AN22" i="13" l="1"/>
  <c r="AL45" i="13" l="1"/>
  <c r="O73" i="13"/>
  <c r="P73" i="13"/>
  <c r="Q73" i="13"/>
  <c r="R73" i="13"/>
  <c r="S73" i="13"/>
  <c r="T73" i="13"/>
  <c r="U73" i="13"/>
  <c r="V73" i="13"/>
  <c r="W73" i="13"/>
  <c r="X73" i="13"/>
  <c r="Y73" i="13"/>
  <c r="Y47" i="13" s="1"/>
  <c r="Z73" i="13"/>
  <c r="AA73" i="13"/>
  <c r="AA47" i="13" s="1"/>
  <c r="AB73" i="13"/>
  <c r="AC73" i="13"/>
  <c r="AC47" i="13" s="1"/>
  <c r="AD73" i="13"/>
  <c r="AE73" i="13"/>
  <c r="AE47" i="13" s="1"/>
  <c r="AF73" i="13"/>
  <c r="AG73" i="13"/>
  <c r="AG47" i="13" s="1"/>
  <c r="AH73" i="13"/>
  <c r="AI73" i="13"/>
  <c r="AI47" i="13" s="1"/>
  <c r="AJ73" i="13"/>
  <c r="AK73" i="13"/>
  <c r="AK47" i="13" s="1"/>
  <c r="AL73" i="13"/>
  <c r="AM73" i="13"/>
  <c r="AM47" i="13" s="1"/>
  <c r="H107" i="1"/>
  <c r="I107" i="1"/>
  <c r="J107" i="1"/>
  <c r="K107" i="1"/>
  <c r="L308" i="1" l="1"/>
  <c r="AV4" i="13"/>
  <c r="AW4" i="13"/>
  <c r="AX4" i="13"/>
  <c r="AY4" i="13"/>
  <c r="AZ4" i="13"/>
  <c r="BA4" i="13"/>
  <c r="BB4" i="13"/>
  <c r="BC4" i="13"/>
  <c r="BD4" i="13"/>
  <c r="BE4" i="13"/>
  <c r="BF4" i="13"/>
  <c r="BG4" i="13"/>
  <c r="BH4" i="13"/>
  <c r="BI4" i="13"/>
  <c r="AH25" i="1"/>
  <c r="AF25" i="1"/>
  <c r="AD25" i="1"/>
  <c r="AB25" i="1"/>
  <c r="Z25" i="1"/>
  <c r="X25" i="1"/>
  <c r="V25" i="1"/>
  <c r="T25" i="1"/>
  <c r="S25" i="1"/>
  <c r="R25" i="1"/>
  <c r="L25" i="1"/>
  <c r="I25" i="1"/>
  <c r="H25" i="1"/>
  <c r="G25" i="1"/>
  <c r="F25" i="1"/>
  <c r="E25" i="1"/>
  <c r="D25" i="1"/>
  <c r="C25" i="1"/>
  <c r="AJ332" i="1"/>
  <c r="AJ13" i="1" s="1"/>
  <c r="AH13" i="1"/>
  <c r="AF13" i="1"/>
  <c r="AD13" i="1"/>
  <c r="AB13" i="1"/>
  <c r="Z13" i="1"/>
  <c r="I13" i="1"/>
  <c r="H13" i="1"/>
  <c r="G13" i="1"/>
  <c r="AK337" i="1"/>
  <c r="AK25" i="1" s="1"/>
  <c r="AE337" i="1"/>
  <c r="AE25" i="1" s="1"/>
  <c r="AC337" i="1"/>
  <c r="AC25" i="1" s="1"/>
  <c r="AA337" i="1"/>
  <c r="AA25" i="1" s="1"/>
  <c r="Y337" i="1"/>
  <c r="Y25" i="1" s="1"/>
  <c r="W337" i="1"/>
  <c r="W25" i="1" s="1"/>
  <c r="U337" i="1"/>
  <c r="U25" i="1" s="1"/>
  <c r="AE332" i="1"/>
  <c r="AE13" i="1" s="1"/>
  <c r="AC332" i="1"/>
  <c r="AC13" i="1" s="1"/>
  <c r="AA332" i="1"/>
  <c r="AA13" i="1" s="1"/>
  <c r="M337" i="1"/>
  <c r="N337" i="1" s="1"/>
  <c r="O337" i="1" s="1"/>
  <c r="P337" i="1" s="1"/>
  <c r="P25" i="1" s="1"/>
  <c r="J337" i="1"/>
  <c r="AG337" i="1" s="1"/>
  <c r="AG25" i="1" s="1"/>
  <c r="K337" i="1"/>
  <c r="K25" i="1" s="1"/>
  <c r="J332" i="1"/>
  <c r="J13" i="1" s="1"/>
  <c r="K332" i="1"/>
  <c r="AI332" i="1" s="1"/>
  <c r="AI13" i="1" s="1"/>
  <c r="AJ308" i="1" l="1"/>
  <c r="L204" i="1"/>
  <c r="L332" i="1"/>
  <c r="M332" i="1" s="1"/>
  <c r="N332" i="1" s="1"/>
  <c r="O332" i="1" s="1"/>
  <c r="P332" i="1" s="1"/>
  <c r="P13" i="1" s="1"/>
  <c r="K13" i="1"/>
  <c r="M25" i="1"/>
  <c r="AI337" i="1"/>
  <c r="AI25" i="1" s="1"/>
  <c r="N25" i="1"/>
  <c r="O25" i="1"/>
  <c r="AG332" i="1"/>
  <c r="AG13" i="1" s="1"/>
  <c r="J25" i="1"/>
  <c r="AJ25" i="1"/>
  <c r="AJ204" i="1" l="1"/>
  <c r="AK308" i="1"/>
  <c r="L13" i="1"/>
  <c r="AK332" i="1"/>
  <c r="AK13" i="1" s="1"/>
  <c r="N13" i="1"/>
  <c r="O13" i="1"/>
  <c r="M13" i="1"/>
  <c r="D61" i="4" l="1"/>
  <c r="E61" i="4"/>
  <c r="F61" i="4"/>
  <c r="G61" i="4"/>
  <c r="H61" i="4"/>
  <c r="I61" i="4"/>
  <c r="J61" i="4"/>
  <c r="K61" i="4"/>
  <c r="C61" i="4"/>
  <c r="K57" i="4"/>
  <c r="J57" i="4"/>
  <c r="I57" i="4"/>
  <c r="H57" i="4"/>
  <c r="G57" i="4"/>
  <c r="F57" i="4"/>
  <c r="E57" i="4"/>
  <c r="D57" i="4"/>
  <c r="C57" i="4"/>
  <c r="D53" i="4"/>
  <c r="E53" i="4"/>
  <c r="F53" i="4"/>
  <c r="G53" i="4"/>
  <c r="H53" i="4"/>
  <c r="I53" i="4"/>
  <c r="J53" i="4"/>
  <c r="K53" i="4"/>
  <c r="C53" i="4"/>
  <c r="C13" i="6"/>
  <c r="C14" i="6"/>
  <c r="C15" i="6"/>
  <c r="C16" i="6"/>
  <c r="C17" i="6"/>
  <c r="C18" i="6"/>
  <c r="C12" i="6"/>
  <c r="K383" i="1" l="1"/>
  <c r="I383" i="1"/>
  <c r="J383" i="1"/>
  <c r="H383" i="1"/>
  <c r="D192" i="1"/>
  <c r="E192" i="1"/>
  <c r="F192" i="1"/>
  <c r="G192" i="1"/>
  <c r="H192" i="1"/>
  <c r="I192" i="1"/>
  <c r="J192" i="1"/>
  <c r="K192" i="1"/>
  <c r="C192" i="1"/>
  <c r="D64" i="6"/>
  <c r="F62" i="6"/>
  <c r="G62" i="6" s="1"/>
  <c r="E45" i="3"/>
  <c r="F45" i="3"/>
  <c r="G45" i="3"/>
  <c r="H45" i="3"/>
  <c r="I45" i="3"/>
  <c r="J45" i="3"/>
  <c r="K45" i="3"/>
  <c r="D71" i="6"/>
  <c r="D75" i="6" s="1"/>
  <c r="E63" i="6" l="1"/>
  <c r="F63" i="6"/>
  <c r="H62" i="6"/>
  <c r="G63" i="6"/>
  <c r="I62" i="6" l="1"/>
  <c r="H63" i="6"/>
  <c r="I63" i="6" l="1"/>
  <c r="J62" i="6"/>
  <c r="J63" i="6" l="1"/>
  <c r="K62" i="6"/>
  <c r="L62" i="6" l="1"/>
  <c r="K63" i="6"/>
  <c r="M62" i="6" l="1"/>
  <c r="L63" i="6"/>
  <c r="N62" i="6" l="1"/>
  <c r="N63" i="6" s="1"/>
  <c r="M63" i="6"/>
  <c r="Z45" i="13" l="1"/>
  <c r="Z47" i="13" s="1"/>
  <c r="AB45" i="13"/>
  <c r="AB47" i="13" s="1"/>
  <c r="AD45" i="13"/>
  <c r="AD47" i="13" s="1"/>
  <c r="AF45" i="13"/>
  <c r="AH45" i="13"/>
  <c r="AJ45" i="13"/>
  <c r="AL47" i="13"/>
  <c r="AH47" i="13" l="1"/>
  <c r="AF47" i="13"/>
  <c r="AJ47" i="13"/>
  <c r="K278" i="1"/>
  <c r="L281" i="1"/>
  <c r="L283" i="1" s="1"/>
  <c r="L276" i="1" s="1"/>
  <c r="L274" i="1" s="1"/>
  <c r="J292" i="1"/>
  <c r="K292" i="1"/>
  <c r="K283" i="1"/>
  <c r="K282" i="1"/>
  <c r="K287" i="1"/>
  <c r="K286" i="1"/>
  <c r="M281" i="1" l="1"/>
  <c r="N281" i="1" s="1"/>
  <c r="D215" i="1"/>
  <c r="D213" i="1" s="1"/>
  <c r="T215" i="1"/>
  <c r="V215" i="1" s="1"/>
  <c r="V213" i="1" s="1"/>
  <c r="AH35" i="2"/>
  <c r="AF35" i="2"/>
  <c r="M35" i="2"/>
  <c r="AN23" i="13"/>
  <c r="AJ23" i="13"/>
  <c r="CA125" i="13"/>
  <c r="BY125" i="13"/>
  <c r="BZ125" i="13"/>
  <c r="AO11" i="13"/>
  <c r="AO7" i="13"/>
  <c r="BS86" i="13"/>
  <c r="BT86" i="13"/>
  <c r="BU86" i="13"/>
  <c r="BV86" i="13"/>
  <c r="BW86" i="13"/>
  <c r="BX86" i="13"/>
  <c r="BY86" i="13"/>
  <c r="BZ86" i="13"/>
  <c r="BR86" i="13"/>
  <c r="BR87" i="13" s="1"/>
  <c r="AV84" i="13"/>
  <c r="AX84" i="13"/>
  <c r="AZ84" i="13"/>
  <c r="BB84" i="13"/>
  <c r="BD84" i="13"/>
  <c r="BR84" i="13"/>
  <c r="BS84" i="13"/>
  <c r="BT84" i="13"/>
  <c r="BU84" i="13"/>
  <c r="BV84" i="13"/>
  <c r="BW84" i="13"/>
  <c r="BX84" i="13"/>
  <c r="BY84" i="13"/>
  <c r="BZ84" i="13"/>
  <c r="AO86" i="13"/>
  <c r="AP86" i="13"/>
  <c r="AN86" i="13"/>
  <c r="AJ86" i="13"/>
  <c r="AK86" i="13"/>
  <c r="AL86" i="13"/>
  <c r="AM86" i="13"/>
  <c r="AI86" i="13"/>
  <c r="G39" i="13"/>
  <c r="H39" i="13"/>
  <c r="I39" i="13"/>
  <c r="J39" i="13"/>
  <c r="K39" i="13"/>
  <c r="L39" i="13"/>
  <c r="M39" i="13"/>
  <c r="N39" i="13"/>
  <c r="O39" i="13"/>
  <c r="P39" i="13"/>
  <c r="Q39" i="13"/>
  <c r="R39" i="13"/>
  <c r="S39" i="13"/>
  <c r="T39" i="13"/>
  <c r="U39" i="13"/>
  <c r="V39" i="13"/>
  <c r="W39" i="13"/>
  <c r="X39" i="13"/>
  <c r="G27" i="13"/>
  <c r="H27" i="13"/>
  <c r="I27" i="13"/>
  <c r="J27" i="13"/>
  <c r="K27" i="13"/>
  <c r="L27" i="13"/>
  <c r="M27" i="13"/>
  <c r="N27" i="13"/>
  <c r="O27" i="13"/>
  <c r="P27" i="13"/>
  <c r="Q27" i="13"/>
  <c r="R27" i="13"/>
  <c r="S27" i="13"/>
  <c r="T27" i="13"/>
  <c r="U27" i="13"/>
  <c r="V27" i="13"/>
  <c r="W27" i="13"/>
  <c r="X27" i="13"/>
  <c r="G26" i="13"/>
  <c r="H26" i="13"/>
  <c r="I26" i="13"/>
  <c r="J26" i="13"/>
  <c r="K26" i="13"/>
  <c r="L26" i="13"/>
  <c r="M26" i="13"/>
  <c r="N26" i="13"/>
  <c r="O26" i="13"/>
  <c r="P26" i="13"/>
  <c r="Q26" i="13"/>
  <c r="R26" i="13"/>
  <c r="S26" i="13"/>
  <c r="T26" i="13"/>
  <c r="U26" i="13"/>
  <c r="V26" i="13"/>
  <c r="W26" i="13"/>
  <c r="X26" i="13"/>
  <c r="G24" i="13"/>
  <c r="G38" i="13" s="1"/>
  <c r="H24" i="13"/>
  <c r="H38" i="13" s="1"/>
  <c r="I24" i="13"/>
  <c r="I38" i="13" s="1"/>
  <c r="J24" i="13"/>
  <c r="J38" i="13" s="1"/>
  <c r="K24" i="13"/>
  <c r="K38" i="13" s="1"/>
  <c r="L24" i="13"/>
  <c r="L38" i="13" s="1"/>
  <c r="M24" i="13"/>
  <c r="M38" i="13" s="1"/>
  <c r="N24" i="13"/>
  <c r="N38" i="13" s="1"/>
  <c r="O24" i="13"/>
  <c r="O38" i="13" s="1"/>
  <c r="P24" i="13"/>
  <c r="P38" i="13" s="1"/>
  <c r="Q24" i="13"/>
  <c r="Q38" i="13" s="1"/>
  <c r="R24" i="13"/>
  <c r="R38" i="13" s="1"/>
  <c r="S24" i="13"/>
  <c r="S38" i="13" s="1"/>
  <c r="T24" i="13"/>
  <c r="T38" i="13" s="1"/>
  <c r="U24" i="13"/>
  <c r="U38" i="13" s="1"/>
  <c r="V24" i="13"/>
  <c r="V38" i="13" s="1"/>
  <c r="W24" i="13"/>
  <c r="W38" i="13" s="1"/>
  <c r="X24" i="13"/>
  <c r="X38" i="13" s="1"/>
  <c r="AD39" i="13"/>
  <c r="AC39" i="13"/>
  <c r="AB39" i="13"/>
  <c r="AA39" i="13"/>
  <c r="Z39" i="13"/>
  <c r="Y39" i="13"/>
  <c r="BO33" i="13"/>
  <c r="BN33" i="13"/>
  <c r="CA34" i="13"/>
  <c r="CA86" i="13" s="1"/>
  <c r="CA35" i="13"/>
  <c r="CA33" i="13"/>
  <c r="N181" i="1"/>
  <c r="O181" i="1" s="1"/>
  <c r="P181" i="1" s="1"/>
  <c r="AA351" i="1"/>
  <c r="AA352" i="1"/>
  <c r="AA353" i="1"/>
  <c r="AA354" i="1"/>
  <c r="AA355" i="1"/>
  <c r="AA356" i="1"/>
  <c r="AA357" i="1"/>
  <c r="AA358" i="1"/>
  <c r="AA359" i="1"/>
  <c r="AA360" i="1"/>
  <c r="AA362" i="1"/>
  <c r="AA363" i="1"/>
  <c r="AA365" i="1"/>
  <c r="AC357" i="1"/>
  <c r="AO123" i="13"/>
  <c r="AO124" i="13"/>
  <c r="AO129" i="13"/>
  <c r="AO122" i="13" s="1"/>
  <c r="AO24" i="13"/>
  <c r="AA122" i="13"/>
  <c r="AE129" i="13" s="1"/>
  <c r="AE39" i="13" s="1"/>
  <c r="AB122" i="13"/>
  <c r="AC122" i="13"/>
  <c r="AG129" i="13" s="1"/>
  <c r="AG39" i="13" s="1"/>
  <c r="AD122" i="13"/>
  <c r="AM130" i="13"/>
  <c r="AF125" i="13"/>
  <c r="AH125" i="13"/>
  <c r="AL125" i="13"/>
  <c r="BN125" i="13"/>
  <c r="BN131" i="13" s="1"/>
  <c r="AK314" i="1"/>
  <c r="AK199" i="1" s="1"/>
  <c r="AJ199" i="1"/>
  <c r="M199" i="1"/>
  <c r="CA124" i="13" s="1"/>
  <c r="N199" i="1"/>
  <c r="O199" i="1"/>
  <c r="P199" i="1"/>
  <c r="L199" i="1"/>
  <c r="BZ124" i="13" s="1"/>
  <c r="AK129" i="13"/>
  <c r="AK39" i="13" s="1"/>
  <c r="AM129" i="13"/>
  <c r="AM39" i="13" s="1"/>
  <c r="AK130" i="13"/>
  <c r="AK131" i="13"/>
  <c r="AM131" i="13"/>
  <c r="AJ132" i="13"/>
  <c r="AK132" i="13"/>
  <c r="AL132" i="13"/>
  <c r="AM132" i="13"/>
  <c r="AI131" i="13"/>
  <c r="AI132" i="13"/>
  <c r="AI129" i="13"/>
  <c r="AI39" i="13" s="1"/>
  <c r="BJ4" i="13"/>
  <c r="BK4" i="13"/>
  <c r="BL4" i="13"/>
  <c r="BO4" i="13"/>
  <c r="BN4" i="13"/>
  <c r="BM4" i="13"/>
  <c r="BL84" i="13"/>
  <c r="BJ84" i="13"/>
  <c r="BH84" i="13"/>
  <c r="BF84" i="13"/>
  <c r="S88" i="13"/>
  <c r="T88" i="13"/>
  <c r="U88" i="13"/>
  <c r="V88" i="13"/>
  <c r="W88" i="13"/>
  <c r="X88" i="13"/>
  <c r="Y88" i="13"/>
  <c r="Z88" i="13"/>
  <c r="AB88" i="13"/>
  <c r="AC88" i="13"/>
  <c r="AD88" i="13"/>
  <c r="AE88" i="13"/>
  <c r="AF88" i="13"/>
  <c r="AG88" i="13"/>
  <c r="AH88" i="13"/>
  <c r="AI88" i="13"/>
  <c r="AJ88" i="13"/>
  <c r="AK88" i="13"/>
  <c r="AO89" i="13" s="1"/>
  <c r="AL88" i="13"/>
  <c r="AM88" i="13"/>
  <c r="AA88" i="13"/>
  <c r="K30" i="1"/>
  <c r="AH30" i="1"/>
  <c r="K194" i="1"/>
  <c r="BY126" i="13" s="1"/>
  <c r="AH194" i="1"/>
  <c r="BL126" i="13" s="1"/>
  <c r="K14" i="1"/>
  <c r="AH14" i="1"/>
  <c r="AJ14" i="1" s="1"/>
  <c r="Y25" i="13"/>
  <c r="Z25" i="13"/>
  <c r="AA25" i="13"/>
  <c r="AB25" i="13"/>
  <c r="AC25" i="13"/>
  <c r="AD25" i="13"/>
  <c r="AE25" i="13"/>
  <c r="AF25" i="13"/>
  <c r="AG25" i="13"/>
  <c r="AH25" i="13"/>
  <c r="AI25" i="13"/>
  <c r="AJ25" i="13"/>
  <c r="AK25" i="13"/>
  <c r="AL25" i="13"/>
  <c r="AM25" i="13"/>
  <c r="Y26" i="13"/>
  <c r="Z26" i="13"/>
  <c r="AA26" i="13"/>
  <c r="AB26" i="13"/>
  <c r="AC26" i="13"/>
  <c r="AD26" i="13"/>
  <c r="AE26" i="13"/>
  <c r="AF26" i="13"/>
  <c r="AG26" i="13"/>
  <c r="AH26" i="13"/>
  <c r="AI26" i="13"/>
  <c r="AJ26" i="13"/>
  <c r="AK26" i="13"/>
  <c r="AL26" i="13"/>
  <c r="AM26" i="13"/>
  <c r="Y27" i="13"/>
  <c r="Z27" i="13"/>
  <c r="AA27" i="13"/>
  <c r="AB27" i="13"/>
  <c r="AC27" i="13"/>
  <c r="AD27" i="13"/>
  <c r="AE27" i="13"/>
  <c r="AF27" i="13"/>
  <c r="AG27" i="13"/>
  <c r="AH27" i="13"/>
  <c r="AI27" i="13"/>
  <c r="AJ27" i="13"/>
  <c r="AK27" i="13"/>
  <c r="AL27" i="13"/>
  <c r="AM27" i="13"/>
  <c r="AI28" i="13"/>
  <c r="AJ28" i="13"/>
  <c r="AK28" i="13"/>
  <c r="AO10" i="13" s="1"/>
  <c r="AL28" i="13"/>
  <c r="AM28" i="13"/>
  <c r="AI29" i="13"/>
  <c r="AJ29" i="13"/>
  <c r="AK29" i="13"/>
  <c r="AL29" i="13"/>
  <c r="AM29" i="13"/>
  <c r="Y24" i="13"/>
  <c r="Y38" i="13" s="1"/>
  <c r="Z24" i="13"/>
  <c r="Z38" i="13" s="1"/>
  <c r="AA24" i="13"/>
  <c r="AA38" i="13" s="1"/>
  <c r="AB24" i="13"/>
  <c r="AB38" i="13" s="1"/>
  <c r="AC24" i="13"/>
  <c r="AC38" i="13" s="1"/>
  <c r="AD24" i="13"/>
  <c r="AD38" i="13" s="1"/>
  <c r="AE24" i="13"/>
  <c r="AE38" i="13" s="1"/>
  <c r="AF24" i="13"/>
  <c r="AF38" i="13" s="1"/>
  <c r="AG24" i="13"/>
  <c r="AG38" i="13" s="1"/>
  <c r="AH24" i="13"/>
  <c r="AH38" i="13" s="1"/>
  <c r="AI24" i="13"/>
  <c r="AI38" i="13" s="1"/>
  <c r="AJ24" i="13"/>
  <c r="AJ38" i="13" s="1"/>
  <c r="AK24" i="13"/>
  <c r="AK38" i="13" s="1"/>
  <c r="AL24" i="13"/>
  <c r="AL38" i="13" s="1"/>
  <c r="AM24" i="13"/>
  <c r="AM38" i="13" s="1"/>
  <c r="M74" i="4"/>
  <c r="N74" i="4" s="1"/>
  <c r="O74" i="4" s="1"/>
  <c r="P74" i="4" s="1"/>
  <c r="N35" i="2" l="1"/>
  <c r="L28" i="1"/>
  <c r="AO6" i="13"/>
  <c r="M283" i="1"/>
  <c r="M276" i="1" s="1"/>
  <c r="M274" i="1" s="1"/>
  <c r="O281" i="1"/>
  <c r="N283" i="1"/>
  <c r="N276" i="1" s="1"/>
  <c r="N274" i="1" s="1"/>
  <c r="L14" i="1"/>
  <c r="AI89" i="13"/>
  <c r="AM89" i="13"/>
  <c r="BV85" i="13"/>
  <c r="BV87" i="13" s="1"/>
  <c r="BY85" i="13"/>
  <c r="BY87" i="13" s="1"/>
  <c r="BS85" i="13"/>
  <c r="BS87" i="13" s="1"/>
  <c r="T213" i="1"/>
  <c r="U213" i="1" s="1"/>
  <c r="AL89" i="13"/>
  <c r="AJ89" i="13"/>
  <c r="AZ85" i="13"/>
  <c r="BO125" i="13"/>
  <c r="AP125" i="13" s="1"/>
  <c r="AI194" i="1"/>
  <c r="BM126" i="13" s="1"/>
  <c r="BW85" i="13"/>
  <c r="BW87" i="13" s="1"/>
  <c r="AK89" i="13"/>
  <c r="BD85" i="13"/>
  <c r="AX85" i="13"/>
  <c r="BZ85" i="13"/>
  <c r="BZ87" i="13" s="1"/>
  <c r="BT85" i="13"/>
  <c r="BT87" i="13" s="1"/>
  <c r="AN125" i="13"/>
  <c r="BB85" i="13"/>
  <c r="BF85" i="13"/>
  <c r="BU85" i="13"/>
  <c r="BU87" i="13" s="1"/>
  <c r="AO85" i="13"/>
  <c r="AO84" i="13" s="1"/>
  <c r="AO8" i="13" s="1"/>
  <c r="AO26" i="13" s="1"/>
  <c r="BX85" i="13"/>
  <c r="BX87" i="13" s="1"/>
  <c r="AO126" i="13"/>
  <c r="AO9" i="13" s="1"/>
  <c r="BL85" i="13"/>
  <c r="BJ85" i="13"/>
  <c r="BH85" i="13"/>
  <c r="O35" i="2" l="1"/>
  <c r="M14" i="1"/>
  <c r="P281" i="1"/>
  <c r="P283" i="1" s="1"/>
  <c r="P276" i="1" s="1"/>
  <c r="P274" i="1" s="1"/>
  <c r="O283" i="1"/>
  <c r="O276" i="1" s="1"/>
  <c r="O274" i="1" s="1"/>
  <c r="BO131" i="13"/>
  <c r="V214" i="1"/>
  <c r="AO132" i="13"/>
  <c r="C23" i="6"/>
  <c r="C22" i="6"/>
  <c r="E23" i="6"/>
  <c r="P35" i="2" l="1"/>
  <c r="N14" i="1"/>
  <c r="BV10" i="13"/>
  <c r="BW10" i="13"/>
  <c r="BX10" i="13"/>
  <c r="BY10" i="13"/>
  <c r="BZ10" i="13"/>
  <c r="BR11" i="13"/>
  <c r="BS11" i="13"/>
  <c r="BY11" i="13"/>
  <c r="BZ11" i="13"/>
  <c r="L24" i="2"/>
  <c r="F25" i="2"/>
  <c r="G25" i="2"/>
  <c r="H25" i="2"/>
  <c r="I25" i="2"/>
  <c r="J25" i="2"/>
  <c r="Y35" i="2"/>
  <c r="AA35" i="2"/>
  <c r="AC35" i="2"/>
  <c r="AE35" i="2"/>
  <c r="AG35" i="2"/>
  <c r="AI35" i="2"/>
  <c r="X36" i="2"/>
  <c r="Z36" i="2"/>
  <c r="AB36" i="2"/>
  <c r="AD36" i="2"/>
  <c r="F36" i="2"/>
  <c r="G36" i="2"/>
  <c r="H36" i="2"/>
  <c r="I36" i="2"/>
  <c r="J36" i="2"/>
  <c r="K36" i="2"/>
  <c r="L71" i="2"/>
  <c r="L61" i="2" s="1"/>
  <c r="L49" i="2" s="1"/>
  <c r="K65" i="4"/>
  <c r="O14" i="1" l="1"/>
  <c r="P14" i="1" s="1"/>
  <c r="M24" i="2"/>
  <c r="L15" i="4"/>
  <c r="BZ29" i="13"/>
  <c r="BZ28" i="13"/>
  <c r="BS20" i="13"/>
  <c r="BW19" i="13"/>
  <c r="BZ20" i="13"/>
  <c r="BY19" i="13"/>
  <c r="BZ19" i="13"/>
  <c r="BX19" i="13"/>
  <c r="BT20" i="13"/>
  <c r="L30" i="3"/>
  <c r="K374" i="1"/>
  <c r="AB75" i="2"/>
  <c r="AB76" i="2"/>
  <c r="AE75" i="2"/>
  <c r="AE76" i="2"/>
  <c r="AE74" i="2"/>
  <c r="AG75" i="2"/>
  <c r="AG76" i="2"/>
  <c r="AG74" i="2"/>
  <c r="AI75" i="2"/>
  <c r="AI76" i="2"/>
  <c r="AI74" i="2"/>
  <c r="N24" i="2" l="1"/>
  <c r="L25" i="2"/>
  <c r="L36" i="4"/>
  <c r="M15" i="4"/>
  <c r="U33" i="2"/>
  <c r="S33" i="2"/>
  <c r="Y37" i="2"/>
  <c r="AE373" i="1"/>
  <c r="AE372" i="1"/>
  <c r="AE371" i="1"/>
  <c r="AE370" i="1"/>
  <c r="AE369" i="1"/>
  <c r="AE365" i="1"/>
  <c r="AE363" i="1"/>
  <c r="AE362" i="1"/>
  <c r="AE360" i="1"/>
  <c r="AE359" i="1"/>
  <c r="AE358" i="1"/>
  <c r="AE357" i="1"/>
  <c r="AE355" i="1"/>
  <c r="AE354" i="1"/>
  <c r="AE353" i="1"/>
  <c r="AE352" i="1"/>
  <c r="AE351" i="1"/>
  <c r="AH374" i="1"/>
  <c r="AG373" i="1"/>
  <c r="AG372" i="1"/>
  <c r="AG371" i="1"/>
  <c r="AG370" i="1"/>
  <c r="AG369" i="1"/>
  <c r="AG363" i="1"/>
  <c r="AG362" i="1"/>
  <c r="AG360" i="1"/>
  <c r="AG359" i="1"/>
  <c r="AG358" i="1"/>
  <c r="AG357" i="1"/>
  <c r="AG355" i="1"/>
  <c r="AG354" i="1"/>
  <c r="AG353" i="1"/>
  <c r="AG352" i="1"/>
  <c r="AG351" i="1"/>
  <c r="AI373" i="1"/>
  <c r="AI372" i="1"/>
  <c r="AI371" i="1"/>
  <c r="AI370" i="1"/>
  <c r="AI369" i="1"/>
  <c r="AI365" i="1"/>
  <c r="AI363" i="1"/>
  <c r="AI362" i="1"/>
  <c r="AI359" i="1"/>
  <c r="AI360" i="1"/>
  <c r="AI358" i="1"/>
  <c r="AI357" i="1"/>
  <c r="AI352" i="1"/>
  <c r="AI353" i="1"/>
  <c r="AI354" i="1"/>
  <c r="AI355" i="1"/>
  <c r="AI351" i="1"/>
  <c r="AI253" i="1"/>
  <c r="AI254" i="1" s="1"/>
  <c r="AG253" i="1"/>
  <c r="AG254" i="1" s="1"/>
  <c r="AE253" i="1"/>
  <c r="AE254" i="1" s="1"/>
  <c r="AC253" i="1"/>
  <c r="AC254" i="1" s="1"/>
  <c r="AA253" i="1"/>
  <c r="AA254" i="1" s="1"/>
  <c r="Y253" i="1"/>
  <c r="Y254" i="1" s="1"/>
  <c r="W253" i="1"/>
  <c r="W254" i="1" s="1"/>
  <c r="U253" i="1"/>
  <c r="U254" i="1" s="1"/>
  <c r="S253" i="1"/>
  <c r="S254" i="1" s="1"/>
  <c r="L162" i="1"/>
  <c r="M162" i="1" s="1"/>
  <c r="N162" i="1" s="1"/>
  <c r="O162" i="1" s="1"/>
  <c r="P162" i="1" s="1"/>
  <c r="P120" i="1" s="1"/>
  <c r="D120" i="1"/>
  <c r="E120" i="1"/>
  <c r="F120" i="1"/>
  <c r="G120" i="1"/>
  <c r="H120" i="1"/>
  <c r="I120" i="1"/>
  <c r="J120" i="1"/>
  <c r="K120" i="1"/>
  <c r="C170" i="1"/>
  <c r="D170" i="1"/>
  <c r="E170" i="1"/>
  <c r="F170" i="1"/>
  <c r="G170" i="1"/>
  <c r="H170" i="1"/>
  <c r="I170" i="1"/>
  <c r="J170" i="1"/>
  <c r="K170" i="1"/>
  <c r="T120" i="1"/>
  <c r="V120" i="1"/>
  <c r="X120" i="1"/>
  <c r="Z120" i="1"/>
  <c r="AB120" i="1"/>
  <c r="AD120" i="1"/>
  <c r="AF120" i="1"/>
  <c r="AH120" i="1"/>
  <c r="R170" i="1"/>
  <c r="T170" i="1"/>
  <c r="V170" i="1"/>
  <c r="X170" i="1"/>
  <c r="Z170" i="1"/>
  <c r="AB170" i="1"/>
  <c r="AD170" i="1"/>
  <c r="AF170" i="1"/>
  <c r="AH170" i="1"/>
  <c r="R167" i="1"/>
  <c r="T167" i="1"/>
  <c r="V167" i="1"/>
  <c r="X167" i="1"/>
  <c r="Z167" i="1"/>
  <c r="AB167" i="1"/>
  <c r="AD167" i="1"/>
  <c r="AF167" i="1"/>
  <c r="AH167" i="1"/>
  <c r="S161" i="1"/>
  <c r="S162" i="1" s="1"/>
  <c r="U161" i="1"/>
  <c r="U162" i="1" s="1"/>
  <c r="W161" i="1"/>
  <c r="W162" i="1" s="1"/>
  <c r="Y161" i="1"/>
  <c r="Y162" i="1" s="1"/>
  <c r="AC161" i="1"/>
  <c r="AC162" i="1" s="1"/>
  <c r="AE161" i="1"/>
  <c r="AE162" i="1" s="1"/>
  <c r="AG161" i="1"/>
  <c r="AG162" i="1" s="1"/>
  <c r="AI161" i="1"/>
  <c r="S75" i="1"/>
  <c r="S76" i="1" s="1"/>
  <c r="U75" i="1"/>
  <c r="U76" i="1" s="1"/>
  <c r="W75" i="1"/>
  <c r="W76" i="1" s="1"/>
  <c r="Y75" i="1"/>
  <c r="Y76" i="1" s="1"/>
  <c r="AA75" i="1"/>
  <c r="AA76" i="1" s="1"/>
  <c r="AC75" i="1"/>
  <c r="AC76" i="1" s="1"/>
  <c r="AE75" i="1"/>
  <c r="AE76" i="1" s="1"/>
  <c r="AG75" i="1"/>
  <c r="AG76" i="1" s="1"/>
  <c r="AI190" i="1"/>
  <c r="AG190" i="1"/>
  <c r="AE190" i="1"/>
  <c r="AC190" i="1"/>
  <c r="AA190" i="1"/>
  <c r="Y190" i="1"/>
  <c r="W190" i="1"/>
  <c r="U190" i="1"/>
  <c r="S190" i="1"/>
  <c r="C167" i="1"/>
  <c r="D167" i="1"/>
  <c r="E167" i="1"/>
  <c r="F167" i="1"/>
  <c r="G167" i="1"/>
  <c r="H167" i="1"/>
  <c r="I167" i="1"/>
  <c r="J167" i="1"/>
  <c r="K167" i="1"/>
  <c r="AH165" i="1"/>
  <c r="AF165" i="1"/>
  <c r="AD165" i="1"/>
  <c r="AB165" i="1"/>
  <c r="Z165" i="1"/>
  <c r="X165" i="1"/>
  <c r="V165" i="1"/>
  <c r="T165" i="1"/>
  <c r="K165" i="1"/>
  <c r="J165" i="1"/>
  <c r="I165" i="1"/>
  <c r="H165" i="1"/>
  <c r="G165" i="1"/>
  <c r="E165" i="1"/>
  <c r="D165" i="1"/>
  <c r="AI164" i="1"/>
  <c r="AG164" i="1"/>
  <c r="AE164" i="1"/>
  <c r="AC164" i="1"/>
  <c r="AA164" i="1"/>
  <c r="Y164" i="1"/>
  <c r="U164" i="1"/>
  <c r="S164" i="1"/>
  <c r="AK161" i="1"/>
  <c r="L17" i="4"/>
  <c r="M17" i="4" s="1"/>
  <c r="N17" i="4" s="1"/>
  <c r="O17" i="4" s="1"/>
  <c r="P17" i="4" s="1"/>
  <c r="L16" i="4"/>
  <c r="L35" i="4"/>
  <c r="L43" i="4"/>
  <c r="L44" i="4"/>
  <c r="L37" i="4"/>
  <c r="L31" i="4"/>
  <c r="L30" i="4"/>
  <c r="L28" i="4"/>
  <c r="D65" i="4"/>
  <c r="E65" i="4"/>
  <c r="F65" i="4"/>
  <c r="G65" i="4"/>
  <c r="H65" i="4"/>
  <c r="I65" i="4"/>
  <c r="J65" i="4"/>
  <c r="C65" i="4"/>
  <c r="L19" i="4"/>
  <c r="L18" i="4"/>
  <c r="M18" i="4" s="1"/>
  <c r="N18" i="4" s="1"/>
  <c r="O18" i="4" s="1"/>
  <c r="P18" i="4" s="1"/>
  <c r="L13" i="4"/>
  <c r="M13" i="4" s="1"/>
  <c r="N13" i="4" s="1"/>
  <c r="O13" i="4" s="1"/>
  <c r="P13" i="4" s="1"/>
  <c r="L10" i="4"/>
  <c r="M10" i="4" s="1"/>
  <c r="D9" i="4"/>
  <c r="E9" i="4"/>
  <c r="F9" i="4"/>
  <c r="G9" i="4"/>
  <c r="H9" i="4"/>
  <c r="I9" i="4"/>
  <c r="J9" i="4"/>
  <c r="K9" i="4"/>
  <c r="M21" i="3"/>
  <c r="N21" i="3"/>
  <c r="O21" i="3"/>
  <c r="P21" i="3"/>
  <c r="L21" i="3"/>
  <c r="AJ71" i="2"/>
  <c r="AJ61" i="2" s="1"/>
  <c r="M71" i="2"/>
  <c r="M61" i="2" s="1"/>
  <c r="M49" i="2" s="1"/>
  <c r="N71" i="2"/>
  <c r="N61" i="2" s="1"/>
  <c r="N49" i="2" s="1"/>
  <c r="O71" i="2"/>
  <c r="O61" i="2" s="1"/>
  <c r="O49" i="2" s="1"/>
  <c r="P71" i="2"/>
  <c r="P61" i="2" s="1"/>
  <c r="P49" i="2" s="1"/>
  <c r="AK49" i="2"/>
  <c r="AK79" i="2"/>
  <c r="L74" i="2"/>
  <c r="L75" i="2"/>
  <c r="L84" i="2"/>
  <c r="M84" i="2" s="1"/>
  <c r="N84" i="2" s="1"/>
  <c r="O84" i="2" s="1"/>
  <c r="P84" i="2" s="1"/>
  <c r="L83" i="2"/>
  <c r="AK31" i="2"/>
  <c r="AJ26" i="2"/>
  <c r="L44" i="2"/>
  <c r="M37" i="2"/>
  <c r="N37" i="2"/>
  <c r="O37" i="2"/>
  <c r="P37" i="2"/>
  <c r="L37" i="2"/>
  <c r="M374" i="1"/>
  <c r="M22" i="3" s="1"/>
  <c r="N374" i="1"/>
  <c r="N22" i="3" s="1"/>
  <c r="O374" i="1"/>
  <c r="O364" i="1" s="1"/>
  <c r="O366" i="1" s="1"/>
  <c r="P374" i="1"/>
  <c r="P364" i="1" s="1"/>
  <c r="P366" i="1" s="1"/>
  <c r="L374" i="1"/>
  <c r="L364" i="1" s="1"/>
  <c r="L366" i="1" s="1"/>
  <c r="AJ317" i="1"/>
  <c r="AJ8" i="1" s="1"/>
  <c r="L317" i="1"/>
  <c r="AK204" i="1"/>
  <c r="AJ273" i="1"/>
  <c r="AJ198" i="1" s="1"/>
  <c r="BN123" i="13" s="1"/>
  <c r="L273" i="1"/>
  <c r="AK253" i="1"/>
  <c r="AJ267" i="1"/>
  <c r="L267" i="1"/>
  <c r="M267" i="1" s="1"/>
  <c r="N267" i="1" s="1"/>
  <c r="O267" i="1" s="1"/>
  <c r="P267" i="1" s="1"/>
  <c r="AJ228" i="1"/>
  <c r="AJ215" i="1"/>
  <c r="L228" i="1"/>
  <c r="L215" i="1"/>
  <c r="M204" i="1"/>
  <c r="N204" i="1"/>
  <c r="O204" i="1"/>
  <c r="P204" i="1"/>
  <c r="AJ138" i="1"/>
  <c r="AJ125" i="1"/>
  <c r="AJ175" i="1"/>
  <c r="L175" i="1"/>
  <c r="L138" i="1"/>
  <c r="L125" i="1"/>
  <c r="M125" i="1" s="1"/>
  <c r="AJ103" i="1"/>
  <c r="AJ52" i="1"/>
  <c r="AJ39" i="1"/>
  <c r="AK75" i="1"/>
  <c r="L103" i="1"/>
  <c r="L76" i="1"/>
  <c r="M76" i="1" s="1"/>
  <c r="L39" i="1"/>
  <c r="L52" i="1"/>
  <c r="M52" i="1" s="1"/>
  <c r="N52" i="1" s="1"/>
  <c r="O52" i="1" s="1"/>
  <c r="P52" i="1" s="1"/>
  <c r="L119" i="1"/>
  <c r="L209" i="1"/>
  <c r="BN34" i="13"/>
  <c r="BO34" i="13"/>
  <c r="BN35" i="13"/>
  <c r="AJ209" i="1" s="1"/>
  <c r="BO35" i="13"/>
  <c r="AK209" i="1" s="1"/>
  <c r="AK33" i="1"/>
  <c r="AJ33" i="1"/>
  <c r="L33" i="1"/>
  <c r="H29" i="11"/>
  <c r="AG79" i="2"/>
  <c r="AE79" i="2"/>
  <c r="AC79" i="2"/>
  <c r="AA79" i="2"/>
  <c r="Y79" i="2"/>
  <c r="W79" i="2"/>
  <c r="U79" i="2"/>
  <c r="S79" i="2"/>
  <c r="AI78" i="2"/>
  <c r="AG78" i="2"/>
  <c r="AE78" i="2"/>
  <c r="AC78" i="2"/>
  <c r="AA78" i="2"/>
  <c r="Y78" i="2"/>
  <c r="W78" i="2"/>
  <c r="U78" i="2"/>
  <c r="S78" i="2"/>
  <c r="C80" i="2"/>
  <c r="T80" i="2"/>
  <c r="D80" i="2"/>
  <c r="V80" i="2"/>
  <c r="E80" i="2"/>
  <c r="X80" i="2"/>
  <c r="F80" i="2"/>
  <c r="Z80" i="2"/>
  <c r="G80" i="2"/>
  <c r="AB80" i="2"/>
  <c r="H80" i="2"/>
  <c r="AD80" i="2"/>
  <c r="I80" i="2"/>
  <c r="AF80" i="2"/>
  <c r="J80" i="2"/>
  <c r="AH80" i="2"/>
  <c r="R80" i="2"/>
  <c r="G29" i="11"/>
  <c r="F29" i="11"/>
  <c r="E29" i="11"/>
  <c r="E19" i="11"/>
  <c r="F19" i="11"/>
  <c r="G19" i="11"/>
  <c r="E20" i="11"/>
  <c r="F20" i="11"/>
  <c r="G20" i="11"/>
  <c r="Y42" i="3"/>
  <c r="Y36" i="3"/>
  <c r="Y35" i="3"/>
  <c r="Y34" i="3"/>
  <c r="Y33" i="3"/>
  <c r="Y32" i="3"/>
  <c r="Y31" i="3"/>
  <c r="Y30" i="3"/>
  <c r="Y27" i="3"/>
  <c r="Y26" i="3"/>
  <c r="Y25" i="3"/>
  <c r="Y24" i="3"/>
  <c r="Y23" i="3"/>
  <c r="Y22" i="3"/>
  <c r="Y21" i="3"/>
  <c r="Y18" i="3"/>
  <c r="Y17" i="3"/>
  <c r="Y16" i="3"/>
  <c r="Y15" i="3"/>
  <c r="Y14" i="3"/>
  <c r="W42" i="3"/>
  <c r="W36" i="3"/>
  <c r="W35" i="3"/>
  <c r="W34" i="3"/>
  <c r="W33" i="3"/>
  <c r="W32" i="3"/>
  <c r="W31" i="3"/>
  <c r="W30" i="3"/>
  <c r="W27" i="3"/>
  <c r="W26" i="3"/>
  <c r="W25" i="3"/>
  <c r="W24" i="3"/>
  <c r="W23" i="3"/>
  <c r="W22" i="3"/>
  <c r="W21" i="3"/>
  <c r="W18" i="3"/>
  <c r="W17" i="3"/>
  <c r="W16" i="3"/>
  <c r="W15" i="3"/>
  <c r="W14" i="3"/>
  <c r="U42" i="3"/>
  <c r="U36" i="3"/>
  <c r="U35" i="3"/>
  <c r="U34" i="3"/>
  <c r="U33" i="3"/>
  <c r="U32" i="3"/>
  <c r="U31" i="3"/>
  <c r="U30" i="3"/>
  <c r="U27" i="3"/>
  <c r="U26" i="3"/>
  <c r="U25" i="3"/>
  <c r="U24" i="3"/>
  <c r="U23" i="3"/>
  <c r="U21" i="3"/>
  <c r="U18" i="3"/>
  <c r="U17" i="3"/>
  <c r="U16" i="3"/>
  <c r="U15" i="3"/>
  <c r="U14" i="3"/>
  <c r="S42" i="3"/>
  <c r="S40" i="3"/>
  <c r="S36" i="3"/>
  <c r="S35" i="3"/>
  <c r="S34" i="3"/>
  <c r="S33" i="3"/>
  <c r="S32" i="3"/>
  <c r="S31" i="3"/>
  <c r="S30" i="3"/>
  <c r="S27" i="3"/>
  <c r="S26" i="3"/>
  <c r="S25" i="3"/>
  <c r="S24" i="3"/>
  <c r="S21" i="3"/>
  <c r="S18" i="3"/>
  <c r="S17" i="3"/>
  <c r="S16" i="3"/>
  <c r="S15" i="3"/>
  <c r="S14" i="3"/>
  <c r="AI42" i="3"/>
  <c r="AI36" i="3"/>
  <c r="AI35" i="3"/>
  <c r="AI34" i="3"/>
  <c r="AI33" i="3"/>
  <c r="AI32" i="3"/>
  <c r="AI31" i="3"/>
  <c r="AI30" i="3"/>
  <c r="AI27" i="3"/>
  <c r="AI26" i="3"/>
  <c r="AI25" i="3"/>
  <c r="AI24" i="3"/>
  <c r="AI23" i="3"/>
  <c r="AI22" i="3"/>
  <c r="AI21" i="3"/>
  <c r="AI18" i="3"/>
  <c r="AI17" i="3"/>
  <c r="AI16" i="3"/>
  <c r="AI15" i="3"/>
  <c r="AI14" i="3"/>
  <c r="AG42" i="3"/>
  <c r="AG36" i="3"/>
  <c r="AG35" i="3"/>
  <c r="AG34" i="3"/>
  <c r="AG33" i="3"/>
  <c r="AG32" i="3"/>
  <c r="AG31" i="3"/>
  <c r="AG30" i="3"/>
  <c r="AG27" i="3"/>
  <c r="AG26" i="3"/>
  <c r="AG25" i="3"/>
  <c r="AG24" i="3"/>
  <c r="AG23" i="3"/>
  <c r="AG22" i="3"/>
  <c r="AG21" i="3"/>
  <c r="AG18" i="3"/>
  <c r="AG17" i="3"/>
  <c r="AG16" i="3"/>
  <c r="AG15" i="3"/>
  <c r="AG14" i="3"/>
  <c r="AE42" i="3"/>
  <c r="AE36" i="3"/>
  <c r="AE35" i="3"/>
  <c r="AE34" i="3"/>
  <c r="AE33" i="3"/>
  <c r="AE32" i="3"/>
  <c r="AE31" i="3"/>
  <c r="AE30" i="3"/>
  <c r="AE27" i="3"/>
  <c r="AE26" i="3"/>
  <c r="AE25" i="3"/>
  <c r="AE24" i="3"/>
  <c r="AE23" i="3"/>
  <c r="AE22" i="3"/>
  <c r="AE21" i="3"/>
  <c r="AE18" i="3"/>
  <c r="AE17" i="3"/>
  <c r="AE16" i="3"/>
  <c r="AE15" i="3"/>
  <c r="AE14" i="3"/>
  <c r="AC42" i="3"/>
  <c r="AC36" i="3"/>
  <c r="AC35" i="3"/>
  <c r="AC34" i="3"/>
  <c r="AC33" i="3"/>
  <c r="AC32" i="3"/>
  <c r="AC31" i="3"/>
  <c r="AC30" i="3"/>
  <c r="AC27" i="3"/>
  <c r="AC26" i="3"/>
  <c r="AC25" i="3"/>
  <c r="AC24" i="3"/>
  <c r="AC23" i="3"/>
  <c r="AC22" i="3"/>
  <c r="AC21" i="3"/>
  <c r="AC18" i="3"/>
  <c r="AC17" i="3"/>
  <c r="AC16" i="3"/>
  <c r="AC15" i="3"/>
  <c r="AC14" i="3"/>
  <c r="AA42" i="3"/>
  <c r="AA36" i="3"/>
  <c r="AA35" i="3"/>
  <c r="AA34" i="3"/>
  <c r="AA33" i="3"/>
  <c r="AA32" i="3"/>
  <c r="AA31" i="3"/>
  <c r="AA30" i="3"/>
  <c r="AA27" i="3"/>
  <c r="AA26" i="3"/>
  <c r="AA25" i="3"/>
  <c r="AA24" i="3"/>
  <c r="AA23" i="3"/>
  <c r="AA22" i="3"/>
  <c r="AA21" i="3"/>
  <c r="AA18" i="3"/>
  <c r="AA17" i="3"/>
  <c r="AA16" i="3"/>
  <c r="AA15" i="3"/>
  <c r="AA14" i="3"/>
  <c r="K52" i="2"/>
  <c r="AH52" i="2"/>
  <c r="J52" i="2"/>
  <c r="AF52" i="2"/>
  <c r="I52" i="2"/>
  <c r="AD52" i="2"/>
  <c r="H52" i="2"/>
  <c r="AB52" i="2"/>
  <c r="G52" i="2"/>
  <c r="Z52" i="2"/>
  <c r="F52" i="2"/>
  <c r="X52" i="2"/>
  <c r="E52" i="2"/>
  <c r="V52" i="2"/>
  <c r="D52" i="2"/>
  <c r="T52" i="2"/>
  <c r="S3" i="3"/>
  <c r="C3" i="3"/>
  <c r="T3" i="3"/>
  <c r="U3" i="3"/>
  <c r="D3" i="3"/>
  <c r="V3" i="3"/>
  <c r="W3" i="3"/>
  <c r="E3" i="3"/>
  <c r="X3" i="3"/>
  <c r="Y3" i="3"/>
  <c r="F3" i="3"/>
  <c r="Z3" i="3"/>
  <c r="AA3" i="3"/>
  <c r="G3" i="3"/>
  <c r="AB3" i="3"/>
  <c r="AC3" i="3"/>
  <c r="H3" i="3"/>
  <c r="AD3" i="3"/>
  <c r="AE3" i="3"/>
  <c r="I3" i="3"/>
  <c r="AF3" i="3"/>
  <c r="AG3" i="3"/>
  <c r="J3" i="3"/>
  <c r="AH3" i="3"/>
  <c r="AI3" i="3"/>
  <c r="K3" i="3"/>
  <c r="R3" i="3"/>
  <c r="S3" i="2"/>
  <c r="C3" i="2"/>
  <c r="T3" i="2"/>
  <c r="U3" i="2"/>
  <c r="D3" i="2"/>
  <c r="V3" i="2"/>
  <c r="W3" i="2"/>
  <c r="E3" i="2"/>
  <c r="X3" i="2"/>
  <c r="Y3" i="2"/>
  <c r="F3" i="2"/>
  <c r="Z3" i="2"/>
  <c r="AA3" i="2"/>
  <c r="G3" i="2"/>
  <c r="AB3" i="2"/>
  <c r="AC3" i="2"/>
  <c r="H3" i="2"/>
  <c r="AD3" i="2"/>
  <c r="AE3" i="2"/>
  <c r="I3" i="2"/>
  <c r="AF3" i="2"/>
  <c r="AG3" i="2"/>
  <c r="J3" i="2"/>
  <c r="AH3" i="2"/>
  <c r="AI3" i="2"/>
  <c r="K3" i="2"/>
  <c r="R3" i="2"/>
  <c r="S3" i="4"/>
  <c r="C3" i="4"/>
  <c r="T3" i="4"/>
  <c r="U3" i="4"/>
  <c r="D3" i="4"/>
  <c r="V3" i="4"/>
  <c r="W3" i="4"/>
  <c r="E3" i="4"/>
  <c r="X3" i="4"/>
  <c r="Y3" i="4"/>
  <c r="F3" i="4"/>
  <c r="Z3" i="4"/>
  <c r="AA3" i="4"/>
  <c r="G3" i="4"/>
  <c r="AB3" i="4"/>
  <c r="AC3" i="4"/>
  <c r="H3" i="4"/>
  <c r="AD3" i="4"/>
  <c r="AE3" i="4"/>
  <c r="I3" i="4"/>
  <c r="AF3" i="4"/>
  <c r="AG3" i="4"/>
  <c r="J3" i="4"/>
  <c r="AH3" i="4"/>
  <c r="AI3" i="4"/>
  <c r="K3" i="4"/>
  <c r="R3" i="4"/>
  <c r="AM85" i="13"/>
  <c r="AM87" i="13" s="1"/>
  <c r="AM44" i="13"/>
  <c r="AM48" i="13"/>
  <c r="AM12" i="13"/>
  <c r="BM33" i="13"/>
  <c r="AI33" i="1" s="1"/>
  <c r="AZ70" i="13"/>
  <c r="BA70" i="13"/>
  <c r="BB70" i="13"/>
  <c r="BC70" i="13"/>
  <c r="BD70" i="13"/>
  <c r="BE70" i="13"/>
  <c r="BF70" i="13"/>
  <c r="BG70" i="13"/>
  <c r="BH70" i="13"/>
  <c r="BI70" i="13"/>
  <c r="BJ70" i="13"/>
  <c r="BK70" i="13"/>
  <c r="BL70" i="13"/>
  <c r="BM70" i="13"/>
  <c r="BM119" i="13"/>
  <c r="BL119" i="13"/>
  <c r="BK119" i="13"/>
  <c r="BJ119" i="13"/>
  <c r="BI119" i="13"/>
  <c r="BH119" i="13"/>
  <c r="BG119" i="13"/>
  <c r="BF119" i="13"/>
  <c r="BE119" i="13"/>
  <c r="BD119" i="13"/>
  <c r="BC119" i="13"/>
  <c r="BB119" i="13"/>
  <c r="BM118" i="13"/>
  <c r="BL118" i="13"/>
  <c r="BK118" i="13"/>
  <c r="BJ118" i="13"/>
  <c r="BI118" i="13"/>
  <c r="BH118" i="13"/>
  <c r="BG118" i="13"/>
  <c r="BF118" i="13"/>
  <c r="BE118" i="13"/>
  <c r="BD118" i="13"/>
  <c r="BC118" i="13"/>
  <c r="BB118" i="13"/>
  <c r="BA118" i="13"/>
  <c r="AZ118" i="13"/>
  <c r="BM116" i="13"/>
  <c r="BL116" i="13"/>
  <c r="BK116" i="13"/>
  <c r="BJ116" i="13"/>
  <c r="BI116" i="13"/>
  <c r="BH116" i="13"/>
  <c r="BG116" i="13"/>
  <c r="BF116" i="13"/>
  <c r="BE116" i="13"/>
  <c r="BD116" i="13"/>
  <c r="BC116" i="13"/>
  <c r="BB116" i="13"/>
  <c r="BA116" i="13"/>
  <c r="AZ116" i="13"/>
  <c r="BM115" i="13"/>
  <c r="BL115" i="13"/>
  <c r="BK115" i="13"/>
  <c r="BJ115" i="13"/>
  <c r="BI115" i="13"/>
  <c r="BH115" i="13"/>
  <c r="BG115" i="13"/>
  <c r="BF115" i="13"/>
  <c r="BE115" i="13"/>
  <c r="BD115" i="13"/>
  <c r="BC115" i="13"/>
  <c r="BB115" i="13"/>
  <c r="BA115" i="13"/>
  <c r="BM112" i="13"/>
  <c r="BL112" i="13"/>
  <c r="BK112" i="13"/>
  <c r="BJ112" i="13"/>
  <c r="BI112" i="13"/>
  <c r="BH112" i="13"/>
  <c r="BG112" i="13"/>
  <c r="BF112" i="13"/>
  <c r="BE112" i="13"/>
  <c r="BD112" i="13"/>
  <c r="BC112" i="13"/>
  <c r="BB112" i="13"/>
  <c r="BA112" i="13"/>
  <c r="AZ112" i="13"/>
  <c r="AY112" i="13"/>
  <c r="AX112" i="13"/>
  <c r="BM111" i="13"/>
  <c r="BL111" i="13"/>
  <c r="BK111" i="13"/>
  <c r="BJ111" i="13"/>
  <c r="BI111" i="13"/>
  <c r="BH111" i="13"/>
  <c r="BG111" i="13"/>
  <c r="BF111" i="13"/>
  <c r="BE111" i="13"/>
  <c r="BD111" i="13"/>
  <c r="BC111" i="13"/>
  <c r="BB111" i="13"/>
  <c r="BA111" i="13"/>
  <c r="AZ111" i="13"/>
  <c r="AY111" i="13"/>
  <c r="AX111" i="13"/>
  <c r="BM110" i="13"/>
  <c r="BL110" i="13"/>
  <c r="BK110" i="13"/>
  <c r="BJ110" i="13"/>
  <c r="BI110" i="13"/>
  <c r="BH110" i="13"/>
  <c r="BG110" i="13"/>
  <c r="BF110" i="13"/>
  <c r="BE110" i="13"/>
  <c r="BD110" i="13"/>
  <c r="BC110" i="13"/>
  <c r="BB110" i="13"/>
  <c r="BA110" i="13"/>
  <c r="AZ110" i="13"/>
  <c r="AY110" i="13"/>
  <c r="AX110" i="13"/>
  <c r="BM106" i="13"/>
  <c r="BL106" i="13"/>
  <c r="BK106" i="13"/>
  <c r="BJ106" i="13"/>
  <c r="BI106" i="13"/>
  <c r="BH106" i="13"/>
  <c r="BG106" i="13"/>
  <c r="BF106" i="13"/>
  <c r="BE106" i="13"/>
  <c r="BD106" i="13"/>
  <c r="BC106" i="13"/>
  <c r="BB106" i="13"/>
  <c r="BM103" i="13"/>
  <c r="BL103" i="13"/>
  <c r="BK103" i="13"/>
  <c r="BJ103" i="13"/>
  <c r="BI103" i="13"/>
  <c r="BH103" i="13"/>
  <c r="BG103" i="13"/>
  <c r="BF103" i="13"/>
  <c r="BE103" i="13"/>
  <c r="BD103" i="13"/>
  <c r="BC103" i="13"/>
  <c r="BB103" i="13"/>
  <c r="BA103" i="13"/>
  <c r="AZ103" i="13"/>
  <c r="AW103" i="13"/>
  <c r="AV103" i="13"/>
  <c r="BM102" i="13"/>
  <c r="BL102" i="13"/>
  <c r="BK102" i="13"/>
  <c r="BJ102" i="13"/>
  <c r="BI102" i="13"/>
  <c r="BH102" i="13"/>
  <c r="BG102" i="13"/>
  <c r="BF102" i="13"/>
  <c r="BE102" i="13"/>
  <c r="BD102" i="13"/>
  <c r="BC102" i="13"/>
  <c r="BB102" i="13"/>
  <c r="BM99" i="13"/>
  <c r="BL99" i="13"/>
  <c r="BK99" i="13"/>
  <c r="BJ99" i="13"/>
  <c r="BI99" i="13"/>
  <c r="BH99" i="13"/>
  <c r="BG99" i="13"/>
  <c r="BF99" i="13"/>
  <c r="BE99" i="13"/>
  <c r="BD99" i="13"/>
  <c r="BM96" i="13"/>
  <c r="BL96" i="13"/>
  <c r="BK96" i="13"/>
  <c r="BJ96" i="13"/>
  <c r="BI96" i="13"/>
  <c r="BH96" i="13"/>
  <c r="BG96" i="13"/>
  <c r="BF96" i="13"/>
  <c r="BE96" i="13"/>
  <c r="BD96" i="13"/>
  <c r="BC96" i="13"/>
  <c r="BB96" i="13"/>
  <c r="BA96" i="13"/>
  <c r="AZ96" i="13"/>
  <c r="AY96" i="13"/>
  <c r="AX96" i="13"/>
  <c r="AW96" i="13"/>
  <c r="AV96" i="13"/>
  <c r="BM93" i="13"/>
  <c r="BL93" i="13"/>
  <c r="BK93" i="13"/>
  <c r="BJ93" i="13"/>
  <c r="BI93" i="13"/>
  <c r="BH93" i="13"/>
  <c r="BG93" i="13"/>
  <c r="BF93" i="13"/>
  <c r="BE93" i="13"/>
  <c r="BD93" i="13"/>
  <c r="BC93" i="13"/>
  <c r="BB93" i="13"/>
  <c r="BA93" i="13"/>
  <c r="AZ93" i="13"/>
  <c r="AY93" i="13"/>
  <c r="AX93" i="13"/>
  <c r="AW93" i="13"/>
  <c r="AV93" i="13"/>
  <c r="BM92" i="13"/>
  <c r="BL92" i="13"/>
  <c r="BK92" i="13"/>
  <c r="BJ92" i="13"/>
  <c r="BI92" i="13"/>
  <c r="BH92" i="13"/>
  <c r="BG92" i="13"/>
  <c r="BF92" i="13"/>
  <c r="BE92" i="13"/>
  <c r="BD92" i="13"/>
  <c r="BC92" i="13"/>
  <c r="BB92" i="13"/>
  <c r="BA92" i="13"/>
  <c r="AZ92" i="13"/>
  <c r="AY92" i="13"/>
  <c r="AX92" i="13"/>
  <c r="AW92" i="13"/>
  <c r="AV92" i="13"/>
  <c r="BM91" i="13"/>
  <c r="BL91" i="13"/>
  <c r="BK91" i="13"/>
  <c r="BJ91" i="13"/>
  <c r="BI91" i="13"/>
  <c r="BH91" i="13"/>
  <c r="BG91" i="13"/>
  <c r="BF91" i="13"/>
  <c r="BE91" i="13"/>
  <c r="BD91" i="13"/>
  <c r="BC91" i="13"/>
  <c r="BB91" i="13"/>
  <c r="BA91" i="13"/>
  <c r="AZ91" i="13"/>
  <c r="AY91" i="13"/>
  <c r="AX91" i="13"/>
  <c r="AW91" i="13"/>
  <c r="AV91" i="13"/>
  <c r="BM76" i="13"/>
  <c r="BL76" i="13"/>
  <c r="BK76" i="13"/>
  <c r="BJ76" i="13"/>
  <c r="BI76" i="13"/>
  <c r="BH76" i="13"/>
  <c r="BG76" i="13"/>
  <c r="BF76" i="13"/>
  <c r="BE76" i="13"/>
  <c r="BD76" i="13"/>
  <c r="BM72" i="13"/>
  <c r="BL72" i="13"/>
  <c r="BK72" i="13"/>
  <c r="BJ72" i="13"/>
  <c r="BI72" i="13"/>
  <c r="BH72" i="13"/>
  <c r="BG72" i="13"/>
  <c r="BF72" i="13"/>
  <c r="BE72" i="13"/>
  <c r="BD72" i="13"/>
  <c r="BC72" i="13"/>
  <c r="BB72" i="13"/>
  <c r="BA72" i="13"/>
  <c r="AZ72" i="13"/>
  <c r="BM71" i="13"/>
  <c r="BL71" i="13"/>
  <c r="BK71" i="13"/>
  <c r="BJ71" i="13"/>
  <c r="BI71" i="13"/>
  <c r="BH71" i="13"/>
  <c r="BG71" i="13"/>
  <c r="BF71" i="13"/>
  <c r="BE71" i="13"/>
  <c r="BD71" i="13"/>
  <c r="BC71" i="13"/>
  <c r="BB71" i="13"/>
  <c r="BA71" i="13"/>
  <c r="AZ71" i="13"/>
  <c r="BM62" i="13"/>
  <c r="BL62" i="13"/>
  <c r="BK62" i="13"/>
  <c r="BJ62" i="13"/>
  <c r="BI62" i="13"/>
  <c r="BH62" i="13"/>
  <c r="BG62" i="13"/>
  <c r="BF62" i="13"/>
  <c r="BE62" i="13"/>
  <c r="BD62" i="13"/>
  <c r="BC62" i="13"/>
  <c r="BB62" i="13"/>
  <c r="BA62" i="13"/>
  <c r="AZ62" i="13"/>
  <c r="AY62" i="13"/>
  <c r="AX62" i="13"/>
  <c r="AW62" i="13"/>
  <c r="AV62" i="13"/>
  <c r="BM61" i="13"/>
  <c r="BL61" i="13"/>
  <c r="BK61" i="13"/>
  <c r="BJ61" i="13"/>
  <c r="BI61" i="13"/>
  <c r="BH61" i="13"/>
  <c r="BG61" i="13"/>
  <c r="BF61" i="13"/>
  <c r="BE61" i="13"/>
  <c r="BD61" i="13"/>
  <c r="BC61" i="13"/>
  <c r="BB61" i="13"/>
  <c r="BM58" i="13"/>
  <c r="BL58" i="13"/>
  <c r="BK58" i="13"/>
  <c r="BJ58" i="13"/>
  <c r="BI58" i="13"/>
  <c r="BH58" i="13"/>
  <c r="BG58" i="13"/>
  <c r="BF58" i="13"/>
  <c r="BE58" i="13"/>
  <c r="BD58" i="13"/>
  <c r="BC58" i="13"/>
  <c r="BB58" i="13"/>
  <c r="BA58" i="13"/>
  <c r="AZ58" i="13"/>
  <c r="AY58" i="13"/>
  <c r="AX58" i="13"/>
  <c r="AW58" i="13"/>
  <c r="AV58" i="13"/>
  <c r="BM57" i="13"/>
  <c r="BL57" i="13"/>
  <c r="BK57" i="13"/>
  <c r="BJ57" i="13"/>
  <c r="BI57" i="13"/>
  <c r="BH57" i="13"/>
  <c r="BG57" i="13"/>
  <c r="BF57" i="13"/>
  <c r="BE57" i="13"/>
  <c r="BD57" i="13"/>
  <c r="BC57" i="13"/>
  <c r="BB57" i="13"/>
  <c r="BA57" i="13"/>
  <c r="AZ57" i="13"/>
  <c r="AY57" i="13"/>
  <c r="AX57" i="13"/>
  <c r="AW57" i="13"/>
  <c r="AV57" i="13"/>
  <c r="BM54" i="13"/>
  <c r="BL54" i="13"/>
  <c r="BK54" i="13"/>
  <c r="BJ54" i="13"/>
  <c r="BI54" i="13"/>
  <c r="BH54" i="13"/>
  <c r="BG54" i="13"/>
  <c r="BF54" i="13"/>
  <c r="BE54" i="13"/>
  <c r="BD54" i="13"/>
  <c r="BC54" i="13"/>
  <c r="BB54" i="13"/>
  <c r="BA54" i="13"/>
  <c r="AZ54" i="13"/>
  <c r="AY54" i="13"/>
  <c r="AX54" i="13"/>
  <c r="AW54" i="13"/>
  <c r="AV54" i="13"/>
  <c r="BM53" i="13"/>
  <c r="BL53" i="13"/>
  <c r="BK53" i="13"/>
  <c r="BJ53" i="13"/>
  <c r="BI53" i="13"/>
  <c r="BH53" i="13"/>
  <c r="BG53" i="13"/>
  <c r="BF53" i="13"/>
  <c r="BE53" i="13"/>
  <c r="BD53" i="13"/>
  <c r="BC53" i="13"/>
  <c r="BB53" i="13"/>
  <c r="BA53" i="13"/>
  <c r="AZ53" i="13"/>
  <c r="AY53" i="13"/>
  <c r="AX53" i="13"/>
  <c r="AW53" i="13"/>
  <c r="AV53" i="13"/>
  <c r="BM52" i="13"/>
  <c r="BL52" i="13"/>
  <c r="BK52" i="13"/>
  <c r="BJ52" i="13"/>
  <c r="BI52" i="13"/>
  <c r="BH52" i="13"/>
  <c r="BG52" i="13"/>
  <c r="BF52" i="13"/>
  <c r="BE52" i="13"/>
  <c r="BD52" i="13"/>
  <c r="BC52" i="13"/>
  <c r="BB52" i="13"/>
  <c r="BA52" i="13"/>
  <c r="AZ52" i="13"/>
  <c r="AY52" i="13"/>
  <c r="AX52" i="13"/>
  <c r="AW52" i="13"/>
  <c r="AV52" i="13"/>
  <c r="AV33" i="13"/>
  <c r="AV38" i="13" s="1"/>
  <c r="AV34" i="13"/>
  <c r="AW34" i="13"/>
  <c r="AX34" i="13"/>
  <c r="AX86" i="13" s="1"/>
  <c r="AX87" i="13" s="1"/>
  <c r="AY34" i="13"/>
  <c r="AZ34" i="13"/>
  <c r="AZ86" i="13" s="1"/>
  <c r="AZ87" i="13" s="1"/>
  <c r="BA34" i="13"/>
  <c r="BB34" i="13"/>
  <c r="BB86" i="13" s="1"/>
  <c r="BB87" i="13" s="1"/>
  <c r="BC34" i="13"/>
  <c r="BD34" i="13"/>
  <c r="BD86" i="13" s="1"/>
  <c r="BD87" i="13" s="1"/>
  <c r="BE34" i="13"/>
  <c r="BF34" i="13"/>
  <c r="BF86" i="13" s="1"/>
  <c r="BF87" i="13" s="1"/>
  <c r="BG34" i="13"/>
  <c r="BH34" i="13"/>
  <c r="BH86" i="13" s="1"/>
  <c r="BH87" i="13" s="1"/>
  <c r="BI34" i="13"/>
  <c r="BJ34" i="13"/>
  <c r="BJ86" i="13" s="1"/>
  <c r="BJ87" i="13" s="1"/>
  <c r="BK34" i="13"/>
  <c r="BL34" i="13"/>
  <c r="BL86" i="13" s="1"/>
  <c r="BL87" i="13" s="1"/>
  <c r="BM34" i="13"/>
  <c r="AV35" i="13"/>
  <c r="AV39" i="13" s="1"/>
  <c r="AW35" i="13"/>
  <c r="AX35" i="13"/>
  <c r="AX39" i="13" s="1"/>
  <c r="AY35" i="13"/>
  <c r="AZ35" i="13"/>
  <c r="AZ39" i="13" s="1"/>
  <c r="BA35" i="13"/>
  <c r="BB35" i="13"/>
  <c r="BB39" i="13" s="1"/>
  <c r="BC35" i="13"/>
  <c r="BD35" i="13"/>
  <c r="BD39" i="13" s="1"/>
  <c r="BE35" i="13"/>
  <c r="BF35" i="13"/>
  <c r="BF39" i="13" s="1"/>
  <c r="BG35" i="13"/>
  <c r="BH35" i="13"/>
  <c r="BH39" i="13" s="1"/>
  <c r="BI35" i="13"/>
  <c r="BJ35" i="13"/>
  <c r="BJ39" i="13" s="1"/>
  <c r="BK35" i="13"/>
  <c r="BL35" i="13"/>
  <c r="BL39" i="13" s="1"/>
  <c r="BM35" i="13"/>
  <c r="BL33" i="13"/>
  <c r="BK33" i="13"/>
  <c r="AG33" i="1" s="1"/>
  <c r="BJ33" i="13"/>
  <c r="BI33" i="13"/>
  <c r="AE33" i="1" s="1"/>
  <c r="BH33" i="13"/>
  <c r="BG33" i="13"/>
  <c r="AC33" i="1" s="1"/>
  <c r="BF33" i="13"/>
  <c r="BE33" i="13"/>
  <c r="AA33" i="1" s="1"/>
  <c r="BD33" i="13"/>
  <c r="BC33" i="13"/>
  <c r="Y33" i="1" s="1"/>
  <c r="BB33" i="13"/>
  <c r="BA33" i="13"/>
  <c r="W33" i="1" s="1"/>
  <c r="AZ33" i="13"/>
  <c r="AY33" i="13"/>
  <c r="U33" i="1" s="1"/>
  <c r="AX33" i="13"/>
  <c r="AW33" i="13"/>
  <c r="W33" i="2"/>
  <c r="Y51" i="2"/>
  <c r="H11" i="2"/>
  <c r="R52" i="1"/>
  <c r="R54" i="1" s="1"/>
  <c r="C52" i="1"/>
  <c r="C54" i="1" s="1"/>
  <c r="T52" i="1"/>
  <c r="T54" i="1" s="1"/>
  <c r="D52" i="1"/>
  <c r="D54" i="1" s="1"/>
  <c r="V52" i="1"/>
  <c r="V54" i="1" s="1"/>
  <c r="E52" i="1"/>
  <c r="X52" i="1"/>
  <c r="X54" i="1" s="1"/>
  <c r="F52" i="1"/>
  <c r="R49" i="1"/>
  <c r="C49" i="1"/>
  <c r="T49" i="1"/>
  <c r="D49" i="1"/>
  <c r="V49" i="1"/>
  <c r="E49" i="1"/>
  <c r="X49" i="1"/>
  <c r="T48" i="1"/>
  <c r="D48" i="1"/>
  <c r="V48" i="1"/>
  <c r="E48" i="1"/>
  <c r="X48" i="1"/>
  <c r="F48" i="1"/>
  <c r="Z48" i="1"/>
  <c r="G48" i="1"/>
  <c r="S47" i="1"/>
  <c r="Y47" i="1"/>
  <c r="Y48" i="1" s="1"/>
  <c r="U47" i="1"/>
  <c r="W48" i="1" s="1"/>
  <c r="AB48" i="1"/>
  <c r="AI47" i="1"/>
  <c r="AF204" i="1"/>
  <c r="J204" i="1"/>
  <c r="AH204" i="1"/>
  <c r="J198" i="1"/>
  <c r="AH198" i="1"/>
  <c r="BL123" i="13" s="1"/>
  <c r="K198" i="1"/>
  <c r="BY123" i="13" s="1"/>
  <c r="AF198" i="1"/>
  <c r="BJ123" i="13" s="1"/>
  <c r="AF123" i="13" s="1"/>
  <c r="J199" i="1"/>
  <c r="AH199" i="1"/>
  <c r="BL124" i="13" s="1"/>
  <c r="K199" i="1"/>
  <c r="BY124" i="13" s="1"/>
  <c r="AF199" i="1"/>
  <c r="BJ124" i="13" s="1"/>
  <c r="AF124" i="13" s="1"/>
  <c r="AJ131" i="13" s="1"/>
  <c r="AF197" i="1"/>
  <c r="BJ122" i="13" s="1"/>
  <c r="AF122" i="13" s="1"/>
  <c r="AF202" i="1"/>
  <c r="AF203" i="1"/>
  <c r="AG308" i="1"/>
  <c r="AG204" i="1" s="1"/>
  <c r="AG303" i="1"/>
  <c r="AG199" i="1" s="1"/>
  <c r="BK124" i="13" s="1"/>
  <c r="AH124" i="13" s="1"/>
  <c r="AG294" i="1"/>
  <c r="AG203" i="1" s="1"/>
  <c r="AG273" i="1"/>
  <c r="AG198" i="1" s="1"/>
  <c r="BK123" i="13" s="1"/>
  <c r="AH123" i="13" s="1"/>
  <c r="R43" i="11"/>
  <c r="Q43" i="11"/>
  <c r="P43" i="11"/>
  <c r="O43" i="11"/>
  <c r="N43" i="11"/>
  <c r="M43" i="11"/>
  <c r="R38" i="11"/>
  <c r="Q38" i="11"/>
  <c r="P38" i="11"/>
  <c r="O38" i="11"/>
  <c r="N38" i="11"/>
  <c r="M38" i="11"/>
  <c r="N13" i="11"/>
  <c r="O13" i="11"/>
  <c r="P13" i="11"/>
  <c r="Q13" i="11"/>
  <c r="R13" i="11"/>
  <c r="M13" i="11"/>
  <c r="K8" i="1"/>
  <c r="AL44" i="13"/>
  <c r="AL46" i="13" s="1"/>
  <c r="K83" i="1"/>
  <c r="BD10" i="13"/>
  <c r="BF10" i="13"/>
  <c r="BH10" i="13"/>
  <c r="AV11" i="13"/>
  <c r="BJ10" i="13"/>
  <c r="BL10" i="13"/>
  <c r="BJ11" i="13"/>
  <c r="BL11" i="13"/>
  <c r="AI75" i="1"/>
  <c r="AI76" i="1" s="1"/>
  <c r="AI84" i="2"/>
  <c r="AI83" i="2"/>
  <c r="AG84" i="2"/>
  <c r="AG83" i="2"/>
  <c r="AE84" i="2"/>
  <c r="AE83" i="2"/>
  <c r="C213" i="1"/>
  <c r="R213" i="1"/>
  <c r="T214" i="1" s="1"/>
  <c r="R97" i="1"/>
  <c r="U170" i="1" l="1"/>
  <c r="F34" i="11"/>
  <c r="G34" i="11"/>
  <c r="H34" i="11"/>
  <c r="E34" i="11"/>
  <c r="O24" i="2"/>
  <c r="L10" i="3"/>
  <c r="H43" i="11" s="1"/>
  <c r="L9" i="4"/>
  <c r="M44" i="4"/>
  <c r="Q33" i="11" s="1"/>
  <c r="P10" i="3"/>
  <c r="O10" i="3"/>
  <c r="M83" i="2"/>
  <c r="M28" i="4"/>
  <c r="M35" i="4"/>
  <c r="Q29" i="11" s="1"/>
  <c r="N15" i="4"/>
  <c r="N10" i="3"/>
  <c r="J43" i="11" s="1"/>
  <c r="M30" i="4"/>
  <c r="M10" i="3"/>
  <c r="I43" i="11" s="1"/>
  <c r="M75" i="2"/>
  <c r="M31" i="4"/>
  <c r="M19" i="4"/>
  <c r="Y36" i="2"/>
  <c r="M103" i="1"/>
  <c r="N103" i="1" s="1"/>
  <c r="O103" i="1" s="1"/>
  <c r="P103" i="1" s="1"/>
  <c r="L107" i="1"/>
  <c r="AM46" i="13"/>
  <c r="L8" i="1"/>
  <c r="L383" i="1"/>
  <c r="L48" i="4"/>
  <c r="I71" i="6"/>
  <c r="E16" i="6" s="1"/>
  <c r="N45" i="3"/>
  <c r="G55" i="6" s="1"/>
  <c r="M45" i="3"/>
  <c r="F55" i="6" s="1"/>
  <c r="I57" i="6"/>
  <c r="D51" i="6"/>
  <c r="E51" i="6"/>
  <c r="D57" i="6"/>
  <c r="D55" i="6"/>
  <c r="H57" i="6"/>
  <c r="G57" i="6"/>
  <c r="F57" i="6"/>
  <c r="E57" i="6"/>
  <c r="M273" i="1"/>
  <c r="M278" i="1" s="1"/>
  <c r="L278" i="1"/>
  <c r="BM39" i="13"/>
  <c r="AI209" i="1"/>
  <c r="BG39" i="13"/>
  <c r="AC209" i="1"/>
  <c r="BA39" i="13"/>
  <c r="W209" i="1"/>
  <c r="BK39" i="13"/>
  <c r="AG209" i="1"/>
  <c r="BE39" i="13"/>
  <c r="AA209" i="1"/>
  <c r="AY39" i="13"/>
  <c r="U209" i="1"/>
  <c r="BI39" i="13"/>
  <c r="AE209" i="1"/>
  <c r="BC39" i="13"/>
  <c r="Y209" i="1"/>
  <c r="AW39" i="13"/>
  <c r="S209" i="1"/>
  <c r="L120" i="1"/>
  <c r="AG119" i="1"/>
  <c r="BK86" i="13"/>
  <c r="AK119" i="1"/>
  <c r="BO86" i="13"/>
  <c r="AJ119" i="1"/>
  <c r="BN86" i="13"/>
  <c r="U119" i="1"/>
  <c r="AY86" i="13"/>
  <c r="Y119" i="1"/>
  <c r="BC86" i="13"/>
  <c r="AI119" i="1"/>
  <c r="BM86" i="13"/>
  <c r="AC119" i="1"/>
  <c r="BG86" i="13"/>
  <c r="W119" i="1"/>
  <c r="BA86" i="13"/>
  <c r="AA119" i="1"/>
  <c r="BE86" i="13"/>
  <c r="AE119" i="1"/>
  <c r="BI86" i="13"/>
  <c r="CA115" i="13"/>
  <c r="BZ116" i="13"/>
  <c r="AJ129" i="13"/>
  <c r="AJ39" i="13" s="1"/>
  <c r="AF129" i="13"/>
  <c r="AF39" i="13" s="1"/>
  <c r="AN123" i="13"/>
  <c r="AN130" i="13" s="1"/>
  <c r="BN130" i="13"/>
  <c r="BN7" i="13"/>
  <c r="BN11" i="13"/>
  <c r="AN11" i="13" s="1"/>
  <c r="BN10" i="13"/>
  <c r="AN10" i="13" s="1"/>
  <c r="BZ72" i="13"/>
  <c r="BU91" i="13"/>
  <c r="BU92" i="13"/>
  <c r="BU93" i="13"/>
  <c r="BU96" i="13"/>
  <c r="BV99" i="13"/>
  <c r="BZ99" i="13"/>
  <c r="BV102" i="13"/>
  <c r="BZ102" i="13"/>
  <c r="BV103" i="13"/>
  <c r="BZ103" i="13"/>
  <c r="BV106" i="13"/>
  <c r="BZ106" i="13"/>
  <c r="CA110" i="13"/>
  <c r="BZ71" i="13"/>
  <c r="BZ76" i="13"/>
  <c r="BT91" i="13"/>
  <c r="BW91" i="13"/>
  <c r="CA91" i="13"/>
  <c r="BT92" i="13"/>
  <c r="BW92" i="13"/>
  <c r="CA92" i="13"/>
  <c r="BT93" i="13"/>
  <c r="BW93" i="13"/>
  <c r="CA93" i="13"/>
  <c r="BZ52" i="13"/>
  <c r="BZ53" i="13"/>
  <c r="BZ54" i="13"/>
  <c r="BZ57" i="13"/>
  <c r="BZ58" i="13"/>
  <c r="BZ61" i="13"/>
  <c r="BZ62" i="13"/>
  <c r="BS91" i="13"/>
  <c r="BV91" i="13"/>
  <c r="BZ91" i="13"/>
  <c r="BS92" i="13"/>
  <c r="BV92" i="13"/>
  <c r="BZ92" i="13"/>
  <c r="BS93" i="13"/>
  <c r="BV93" i="13"/>
  <c r="BZ93" i="13"/>
  <c r="BS96" i="13"/>
  <c r="BV96" i="13"/>
  <c r="BZ96" i="13"/>
  <c r="BW99" i="13"/>
  <c r="CA99" i="13"/>
  <c r="BW102" i="13"/>
  <c r="CA102" i="13"/>
  <c r="BW103" i="13"/>
  <c r="CA103" i="13"/>
  <c r="BW106" i="13"/>
  <c r="CA106" i="13"/>
  <c r="BZ111" i="13"/>
  <c r="CA112" i="13"/>
  <c r="BT96" i="13"/>
  <c r="BZ112" i="13"/>
  <c r="CA10" i="13"/>
  <c r="BZ115" i="13"/>
  <c r="CA118" i="13"/>
  <c r="CA119" i="13"/>
  <c r="CA11" i="13"/>
  <c r="BW96" i="13"/>
  <c r="BX91" i="13"/>
  <c r="BY91" i="13"/>
  <c r="BX92" i="13"/>
  <c r="BY92" i="13"/>
  <c r="BX93" i="13"/>
  <c r="BY93" i="13"/>
  <c r="G16" i="11"/>
  <c r="BZ7" i="13"/>
  <c r="CA96" i="13"/>
  <c r="BY99" i="13"/>
  <c r="BX99" i="13"/>
  <c r="BU102" i="13"/>
  <c r="BY102" i="13"/>
  <c r="BX102" i="13"/>
  <c r="BU103" i="13"/>
  <c r="BY103" i="13"/>
  <c r="BX103" i="13"/>
  <c r="BU106" i="13"/>
  <c r="BY106" i="13"/>
  <c r="BX106" i="13"/>
  <c r="BZ110" i="13"/>
  <c r="CA111" i="13"/>
  <c r="BZ70" i="13"/>
  <c r="BY96" i="13"/>
  <c r="BX96" i="13"/>
  <c r="CA116" i="13"/>
  <c r="BZ118" i="13"/>
  <c r="BZ119" i="13"/>
  <c r="F66" i="4"/>
  <c r="F8" i="3" s="1"/>
  <c r="H66" i="4"/>
  <c r="H8" i="3" s="1"/>
  <c r="R53" i="11"/>
  <c r="H23" i="11"/>
  <c r="G23" i="11"/>
  <c r="F23" i="11"/>
  <c r="E23" i="11"/>
  <c r="Q53" i="11"/>
  <c r="P53" i="11"/>
  <c r="D66" i="4"/>
  <c r="D8" i="3" s="1"/>
  <c r="AJ74" i="2"/>
  <c r="M39" i="1"/>
  <c r="H19" i="11"/>
  <c r="J66" i="4"/>
  <c r="J8" i="3" s="1"/>
  <c r="K66" i="4"/>
  <c r="K8" i="3" s="1"/>
  <c r="O54" i="2"/>
  <c r="L54" i="2"/>
  <c r="I66" i="4"/>
  <c r="I8" i="3" s="1"/>
  <c r="G66" i="4"/>
  <c r="G8" i="3" s="1"/>
  <c r="M43" i="4"/>
  <c r="N43" i="4" s="1"/>
  <c r="O43" i="4" s="1"/>
  <c r="P43" i="4" s="1"/>
  <c r="E66" i="4"/>
  <c r="E8" i="3" s="1"/>
  <c r="AK44" i="2"/>
  <c r="G48" i="11"/>
  <c r="G49" i="11"/>
  <c r="G50" i="11"/>
  <c r="G51" i="11"/>
  <c r="E49" i="11"/>
  <c r="F49" i="11"/>
  <c r="H49" i="11"/>
  <c r="H50" i="11"/>
  <c r="H51" i="11"/>
  <c r="E51" i="11"/>
  <c r="F50" i="11"/>
  <c r="I49" i="11"/>
  <c r="I50" i="11"/>
  <c r="E48" i="11"/>
  <c r="F51" i="11"/>
  <c r="J49" i="11"/>
  <c r="J50" i="11"/>
  <c r="E50" i="11"/>
  <c r="F48" i="11"/>
  <c r="N39" i="11"/>
  <c r="N28" i="11"/>
  <c r="N24" i="11"/>
  <c r="N21" i="11"/>
  <c r="N16" i="11"/>
  <c r="N32" i="11"/>
  <c r="N33" i="11"/>
  <c r="N34" i="11"/>
  <c r="N20" i="11"/>
  <c r="N15" i="11"/>
  <c r="N14" i="11"/>
  <c r="N35" i="11"/>
  <c r="N29" i="11"/>
  <c r="N25" i="11"/>
  <c r="N19" i="11"/>
  <c r="N41" i="11"/>
  <c r="P41" i="11"/>
  <c r="O35" i="11"/>
  <c r="O28" i="11"/>
  <c r="O29" i="11"/>
  <c r="O24" i="11"/>
  <c r="O25" i="11"/>
  <c r="O19" i="11"/>
  <c r="O21" i="11"/>
  <c r="O16" i="11"/>
  <c r="O41" i="11"/>
  <c r="O14" i="11"/>
  <c r="O39" i="11"/>
  <c r="O32" i="11"/>
  <c r="O33" i="11"/>
  <c r="O34" i="11"/>
  <c r="O20" i="11"/>
  <c r="O15" i="11"/>
  <c r="M14" i="11"/>
  <c r="M19" i="11"/>
  <c r="M41" i="11"/>
  <c r="M32" i="11"/>
  <c r="M33" i="11"/>
  <c r="M34" i="11"/>
  <c r="M20" i="11"/>
  <c r="M15" i="11"/>
  <c r="M35" i="11"/>
  <c r="M29" i="11"/>
  <c r="M25" i="11"/>
  <c r="M16" i="11"/>
  <c r="M28" i="11"/>
  <c r="M24" i="11"/>
  <c r="M21" i="11"/>
  <c r="M39" i="11"/>
  <c r="R41" i="11"/>
  <c r="R39" i="11"/>
  <c r="R21" i="11"/>
  <c r="Q41" i="11"/>
  <c r="Q21" i="11"/>
  <c r="Q39" i="11"/>
  <c r="P33" i="11"/>
  <c r="P28" i="11"/>
  <c r="P29" i="11"/>
  <c r="P25" i="11"/>
  <c r="P21" i="11"/>
  <c r="P32" i="11"/>
  <c r="P39" i="11"/>
  <c r="AE120" i="1"/>
  <c r="M74" i="2"/>
  <c r="Y120" i="1"/>
  <c r="AE170" i="1"/>
  <c r="W120" i="1"/>
  <c r="O120" i="1"/>
  <c r="N120" i="1"/>
  <c r="M120" i="1"/>
  <c r="U120" i="1"/>
  <c r="AC170" i="1"/>
  <c r="AG170" i="1"/>
  <c r="AG120" i="1"/>
  <c r="S170" i="1"/>
  <c r="J171" i="1"/>
  <c r="Y170" i="1"/>
  <c r="G171" i="1"/>
  <c r="D171" i="1"/>
  <c r="G168" i="1"/>
  <c r="T171" i="1"/>
  <c r="E171" i="1"/>
  <c r="K171" i="1"/>
  <c r="H168" i="1"/>
  <c r="H171" i="1"/>
  <c r="AD171" i="1"/>
  <c r="AE165" i="1"/>
  <c r="AF171" i="1"/>
  <c r="AH171" i="1"/>
  <c r="AB171" i="1"/>
  <c r="Z171" i="1"/>
  <c r="V171" i="1"/>
  <c r="I168" i="1"/>
  <c r="J168" i="1"/>
  <c r="I171" i="1"/>
  <c r="D168" i="1"/>
  <c r="K168" i="1"/>
  <c r="F171" i="1"/>
  <c r="F165" i="1"/>
  <c r="E168" i="1"/>
  <c r="U165" i="1"/>
  <c r="AA165" i="1"/>
  <c r="AG165" i="1"/>
  <c r="X171" i="1"/>
  <c r="W164" i="1"/>
  <c r="AC165" i="1"/>
  <c r="AI165" i="1"/>
  <c r="AK175" i="1"/>
  <c r="BO124" i="13"/>
  <c r="AP124" i="13" s="1"/>
  <c r="N364" i="1"/>
  <c r="N366" i="1" s="1"/>
  <c r="AK37" i="2"/>
  <c r="AK228" i="1"/>
  <c r="AJ75" i="2"/>
  <c r="AK138" i="1"/>
  <c r="P22" i="3"/>
  <c r="AK267" i="1"/>
  <c r="AK75" i="2"/>
  <c r="O22" i="3"/>
  <c r="AJ76" i="2"/>
  <c r="AJ54" i="2" s="1"/>
  <c r="AG296" i="1"/>
  <c r="M364" i="1"/>
  <c r="M366" i="1" s="1"/>
  <c r="AK74" i="2"/>
  <c r="AK273" i="1"/>
  <c r="AK76" i="2"/>
  <c r="AK54" i="2" s="1"/>
  <c r="AK317" i="1"/>
  <c r="AK8" i="1" s="1"/>
  <c r="AK71" i="2"/>
  <c r="L7" i="3"/>
  <c r="L22" i="3"/>
  <c r="M28" i="3"/>
  <c r="M16" i="4"/>
  <c r="M37" i="4"/>
  <c r="L70" i="4"/>
  <c r="N10" i="4"/>
  <c r="M30" i="3"/>
  <c r="N28" i="3"/>
  <c r="M44" i="2"/>
  <c r="I34" i="11" s="1"/>
  <c r="AK61" i="2"/>
  <c r="AK26" i="2"/>
  <c r="AG80" i="2"/>
  <c r="U80" i="2"/>
  <c r="AE80" i="2"/>
  <c r="Y80" i="2"/>
  <c r="M317" i="1"/>
  <c r="M383" i="1" s="1"/>
  <c r="L198" i="1"/>
  <c r="BZ123" i="13" s="1"/>
  <c r="BZ130" i="13" s="1"/>
  <c r="M228" i="1"/>
  <c r="M215" i="1"/>
  <c r="M175" i="1"/>
  <c r="N175" i="1" s="1"/>
  <c r="O175" i="1" s="1"/>
  <c r="M138" i="1"/>
  <c r="N125" i="1"/>
  <c r="M34" i="1"/>
  <c r="M31" i="1" s="1"/>
  <c r="N76" i="1"/>
  <c r="L34" i="1"/>
  <c r="L31" i="1" s="1"/>
  <c r="AK52" i="1"/>
  <c r="E50" i="1"/>
  <c r="AK103" i="1"/>
  <c r="H20" i="11"/>
  <c r="E33" i="11"/>
  <c r="G53" i="11"/>
  <c r="E31" i="11"/>
  <c r="I46" i="11"/>
  <c r="F31" i="11"/>
  <c r="J46" i="11"/>
  <c r="J31" i="11"/>
  <c r="H46" i="11"/>
  <c r="I31" i="11"/>
  <c r="G33" i="11"/>
  <c r="E53" i="11"/>
  <c r="X55" i="1"/>
  <c r="H31" i="11"/>
  <c r="F38" i="11"/>
  <c r="F33" i="11"/>
  <c r="F53" i="11"/>
  <c r="G31" i="11"/>
  <c r="E38" i="11"/>
  <c r="AC80" i="2"/>
  <c r="AA80" i="2"/>
  <c r="S80" i="2"/>
  <c r="W80" i="2"/>
  <c r="E53" i="1"/>
  <c r="AM49" i="13"/>
  <c r="V55" i="1"/>
  <c r="V50" i="1"/>
  <c r="D50" i="1"/>
  <c r="U48" i="1"/>
  <c r="X50" i="1"/>
  <c r="D55" i="1"/>
  <c r="T55" i="1"/>
  <c r="AF201" i="1"/>
  <c r="AF24" i="1" s="1"/>
  <c r="F53" i="1"/>
  <c r="D53" i="1"/>
  <c r="E54" i="1"/>
  <c r="E55" i="1" s="1"/>
  <c r="AF194" i="1"/>
  <c r="BJ126" i="13" s="1"/>
  <c r="T50" i="1"/>
  <c r="X53" i="1"/>
  <c r="T53" i="1"/>
  <c r="V53" i="1"/>
  <c r="S213" i="1"/>
  <c r="I48" i="11" l="1"/>
  <c r="J48" i="11"/>
  <c r="P24" i="2"/>
  <c r="N28" i="4"/>
  <c r="M70" i="4"/>
  <c r="N30" i="4"/>
  <c r="R25" i="11" s="1"/>
  <c r="Q25" i="11"/>
  <c r="M9" i="4"/>
  <c r="L14" i="4"/>
  <c r="N19" i="4"/>
  <c r="N31" i="4"/>
  <c r="N44" i="2"/>
  <c r="J34" i="11" s="1"/>
  <c r="H42" i="11"/>
  <c r="P28" i="3"/>
  <c r="P35" i="11"/>
  <c r="N75" i="2"/>
  <c r="O15" i="4"/>
  <c r="N83" i="2"/>
  <c r="N44" i="4"/>
  <c r="M25" i="2"/>
  <c r="F51" i="6" s="1"/>
  <c r="N16" i="4"/>
  <c r="O28" i="3"/>
  <c r="N74" i="2"/>
  <c r="N35" i="4"/>
  <c r="CA7" i="13"/>
  <c r="CA16" i="13" s="1"/>
  <c r="H16" i="11"/>
  <c r="H36" i="11"/>
  <c r="I73" i="6"/>
  <c r="E18" i="6" s="1"/>
  <c r="D53" i="6"/>
  <c r="O45" i="3"/>
  <c r="H55" i="6" s="1"/>
  <c r="P45" i="3"/>
  <c r="I55" i="6" s="1"/>
  <c r="L45" i="3"/>
  <c r="BO10" i="13"/>
  <c r="AP10" i="13" s="1"/>
  <c r="AP28" i="13" s="1"/>
  <c r="BO7" i="13"/>
  <c r="AP7" i="13" s="1"/>
  <c r="AP25" i="13" s="1"/>
  <c r="M198" i="1"/>
  <c r="CA123" i="13" s="1"/>
  <c r="CA130" i="13" s="1"/>
  <c r="N273" i="1"/>
  <c r="N278" i="1" s="1"/>
  <c r="S215" i="1"/>
  <c r="U214" i="1"/>
  <c r="M36" i="4"/>
  <c r="L30" i="1"/>
  <c r="AN7" i="13"/>
  <c r="AN25" i="13" s="1"/>
  <c r="CA19" i="13"/>
  <c r="CA28" i="13"/>
  <c r="CA20" i="13"/>
  <c r="CA29" i="13"/>
  <c r="BN29" i="13"/>
  <c r="AN29" i="13"/>
  <c r="BN28" i="13"/>
  <c r="AN28" i="13"/>
  <c r="M52" i="11"/>
  <c r="N52" i="11"/>
  <c r="AK198" i="1"/>
  <c r="BO123" i="13" s="1"/>
  <c r="Q32" i="11"/>
  <c r="R32" i="11"/>
  <c r="I20" i="11"/>
  <c r="AK14" i="1"/>
  <c r="I23" i="11"/>
  <c r="I29" i="11"/>
  <c r="N39" i="1"/>
  <c r="M54" i="2"/>
  <c r="M48" i="4"/>
  <c r="I51" i="11"/>
  <c r="P20" i="11"/>
  <c r="Y165" i="1"/>
  <c r="W170" i="1"/>
  <c r="AG171" i="1"/>
  <c r="U171" i="1"/>
  <c r="AE171" i="1"/>
  <c r="F168" i="1"/>
  <c r="W165" i="1"/>
  <c r="P54" i="2"/>
  <c r="N54" i="2"/>
  <c r="L28" i="3"/>
  <c r="M7" i="3"/>
  <c r="N37" i="4"/>
  <c r="O10" i="4"/>
  <c r="N30" i="3"/>
  <c r="M8" i="1"/>
  <c r="N317" i="1"/>
  <c r="N383" i="1" s="1"/>
  <c r="N215" i="1"/>
  <c r="N228" i="1"/>
  <c r="P175" i="1"/>
  <c r="N138" i="1"/>
  <c r="O125" i="1"/>
  <c r="O76" i="1"/>
  <c r="N34" i="1"/>
  <c r="N31" i="1" s="1"/>
  <c r="I19" i="11"/>
  <c r="R40" i="1"/>
  <c r="AH18" i="2"/>
  <c r="K18" i="2"/>
  <c r="J18" i="2"/>
  <c r="AF18" i="2"/>
  <c r="I18" i="2"/>
  <c r="AD18" i="2"/>
  <c r="H18" i="2"/>
  <c r="AE19" i="2"/>
  <c r="AE17" i="2"/>
  <c r="AE16" i="2"/>
  <c r="AE15" i="2"/>
  <c r="AE14" i="2"/>
  <c r="AG19" i="2"/>
  <c r="AG17" i="2"/>
  <c r="AG16" i="2"/>
  <c r="AG15" i="2"/>
  <c r="AG14" i="2"/>
  <c r="AI15" i="2"/>
  <c r="AI16" i="2"/>
  <c r="AI17" i="2"/>
  <c r="AI19" i="2"/>
  <c r="AI14" i="2"/>
  <c r="L41" i="1" l="1"/>
  <c r="O28" i="4"/>
  <c r="N70" i="4"/>
  <c r="O30" i="4"/>
  <c r="P19" i="11"/>
  <c r="P15" i="4"/>
  <c r="O44" i="2"/>
  <c r="O35" i="4"/>
  <c r="R29" i="11"/>
  <c r="O16" i="4"/>
  <c r="O44" i="4"/>
  <c r="R33" i="11"/>
  <c r="O75" i="2"/>
  <c r="O31" i="4"/>
  <c r="O74" i="2"/>
  <c r="O83" i="2"/>
  <c r="O19" i="4"/>
  <c r="N9" i="4"/>
  <c r="M107" i="1"/>
  <c r="H48" i="11"/>
  <c r="CA25" i="13"/>
  <c r="N48" i="4"/>
  <c r="I36" i="11"/>
  <c r="E55" i="6"/>
  <c r="J36" i="11"/>
  <c r="BO11" i="13"/>
  <c r="AP11" i="13" s="1"/>
  <c r="AP29" i="13" s="1"/>
  <c r="N198" i="1"/>
  <c r="O273" i="1"/>
  <c r="O278" i="1" s="1"/>
  <c r="L7" i="1"/>
  <c r="M30" i="1"/>
  <c r="L54" i="1"/>
  <c r="L37" i="1"/>
  <c r="N36" i="4"/>
  <c r="Q28" i="11"/>
  <c r="L105" i="1"/>
  <c r="AP123" i="13"/>
  <c r="J20" i="11"/>
  <c r="I42" i="11"/>
  <c r="N25" i="2"/>
  <c r="G51" i="6" s="1"/>
  <c r="J23" i="11"/>
  <c r="O39" i="1"/>
  <c r="P39" i="1" s="1"/>
  <c r="I16" i="11"/>
  <c r="M14" i="4"/>
  <c r="J51" i="11"/>
  <c r="Q35" i="11"/>
  <c r="Q20" i="11"/>
  <c r="W171" i="1"/>
  <c r="Y171" i="1"/>
  <c r="N7" i="3"/>
  <c r="O37" i="4"/>
  <c r="P10" i="4"/>
  <c r="O30" i="3"/>
  <c r="O317" i="1"/>
  <c r="O383" i="1" s="1"/>
  <c r="N8" i="1"/>
  <c r="O215" i="1"/>
  <c r="O228" i="1"/>
  <c r="O138" i="1"/>
  <c r="P125" i="1"/>
  <c r="J29" i="11"/>
  <c r="O34" i="1"/>
  <c r="O31" i="1" s="1"/>
  <c r="P76" i="1"/>
  <c r="P34" i="1" s="1"/>
  <c r="P31" i="1" s="1"/>
  <c r="J19" i="11"/>
  <c r="AG18" i="2"/>
  <c r="AE18" i="2"/>
  <c r="AI18" i="2"/>
  <c r="U12" i="13"/>
  <c r="V12" i="13"/>
  <c r="W12" i="13"/>
  <c r="X12" i="13"/>
  <c r="Y12" i="13"/>
  <c r="Z12" i="13"/>
  <c r="AA12" i="13"/>
  <c r="AB12" i="13"/>
  <c r="AC12" i="13"/>
  <c r="AD12" i="13"/>
  <c r="AE12" i="13"/>
  <c r="AF12" i="13"/>
  <c r="AG12" i="13"/>
  <c r="AH12" i="13"/>
  <c r="AI12" i="13"/>
  <c r="AJ12" i="13"/>
  <c r="AK12" i="13"/>
  <c r="AL12" i="13"/>
  <c r="S44" i="13"/>
  <c r="T44" i="13"/>
  <c r="U44" i="13"/>
  <c r="V44" i="13"/>
  <c r="W44" i="13"/>
  <c r="X44" i="13"/>
  <c r="Y44" i="13"/>
  <c r="Y46" i="13" s="1"/>
  <c r="Z44" i="13"/>
  <c r="Z46" i="13" s="1"/>
  <c r="AA44" i="13"/>
  <c r="AA46" i="13" s="1"/>
  <c r="AB44" i="13"/>
  <c r="AB46" i="13" s="1"/>
  <c r="AC44" i="13"/>
  <c r="AC46" i="13" s="1"/>
  <c r="AD44" i="13"/>
  <c r="AD46" i="13" s="1"/>
  <c r="AE44" i="13"/>
  <c r="AE46" i="13" s="1"/>
  <c r="AF44" i="13"/>
  <c r="AF46" i="13" s="1"/>
  <c r="AG44" i="13"/>
  <c r="AG46" i="13" s="1"/>
  <c r="AH44" i="13"/>
  <c r="AH46" i="13" s="1"/>
  <c r="AI44" i="13"/>
  <c r="AI46" i="13" s="1"/>
  <c r="AJ44" i="13"/>
  <c r="AJ46" i="13" s="1"/>
  <c r="AK44" i="13"/>
  <c r="AK46" i="13" s="1"/>
  <c r="S48" i="13"/>
  <c r="T48" i="13"/>
  <c r="U48" i="13"/>
  <c r="V48" i="13"/>
  <c r="W48" i="13"/>
  <c r="X48" i="13"/>
  <c r="Y48" i="13"/>
  <c r="Z48" i="13"/>
  <c r="AA48" i="13"/>
  <c r="AB48" i="13"/>
  <c r="AC48" i="13"/>
  <c r="AD48" i="13"/>
  <c r="AE48" i="13"/>
  <c r="AF48" i="13"/>
  <c r="AG48" i="13"/>
  <c r="AH48" i="13"/>
  <c r="AI48" i="13"/>
  <c r="AJ48" i="13"/>
  <c r="AK48" i="13"/>
  <c r="AL48" i="13"/>
  <c r="S81" i="13"/>
  <c r="W85" i="13"/>
  <c r="X85" i="13"/>
  <c r="Y85" i="13"/>
  <c r="Z85" i="13"/>
  <c r="AA85" i="13"/>
  <c r="AB85" i="13"/>
  <c r="AC85" i="13"/>
  <c r="AD85" i="13"/>
  <c r="AE85" i="13"/>
  <c r="AF85" i="13"/>
  <c r="AG85" i="13"/>
  <c r="AH85" i="13"/>
  <c r="AI85" i="13"/>
  <c r="AI87" i="13" s="1"/>
  <c r="AJ85" i="13"/>
  <c r="AJ87" i="13" s="1"/>
  <c r="AK85" i="13"/>
  <c r="AK87" i="13" s="1"/>
  <c r="AL85" i="13"/>
  <c r="AL87" i="13" s="1"/>
  <c r="P28" i="4" l="1"/>
  <c r="O70" i="4"/>
  <c r="P30" i="4"/>
  <c r="O9" i="4"/>
  <c r="P74" i="2"/>
  <c r="P75" i="2"/>
  <c r="P44" i="2"/>
  <c r="P19" i="4"/>
  <c r="P44" i="4"/>
  <c r="P35" i="4"/>
  <c r="P83" i="2"/>
  <c r="P31" i="4"/>
  <c r="O25" i="2"/>
  <c r="H51" i="6" s="1"/>
  <c r="P16" i="4"/>
  <c r="N107" i="1"/>
  <c r="Q19" i="11"/>
  <c r="R28" i="11"/>
  <c r="O48" i="4"/>
  <c r="CA6" i="13"/>
  <c r="O198" i="1"/>
  <c r="P273" i="1"/>
  <c r="P198" i="1" s="1"/>
  <c r="BM44" i="13"/>
  <c r="H15" i="11"/>
  <c r="M7" i="1"/>
  <c r="M105" i="1"/>
  <c r="N30" i="1"/>
  <c r="M37" i="1"/>
  <c r="M54" i="1"/>
  <c r="M55" i="1" s="1"/>
  <c r="O36" i="4"/>
  <c r="AF30" i="13"/>
  <c r="Z30" i="13"/>
  <c r="AL30" i="13"/>
  <c r="AG30" i="13"/>
  <c r="AA30" i="13"/>
  <c r="AE30" i="13"/>
  <c r="AK30" i="13"/>
  <c r="Y30" i="13"/>
  <c r="AJ30" i="13"/>
  <c r="AI30" i="13"/>
  <c r="AM30" i="13"/>
  <c r="AC30" i="13"/>
  <c r="AD30" i="13"/>
  <c r="AH30" i="13"/>
  <c r="AB30" i="13"/>
  <c r="J42" i="11"/>
  <c r="J16" i="11"/>
  <c r="N14" i="4"/>
  <c r="R20" i="11"/>
  <c r="R35" i="11"/>
  <c r="BH44" i="13"/>
  <c r="BK44" i="13"/>
  <c r="BE44" i="13"/>
  <c r="O7" i="3"/>
  <c r="P37" i="4"/>
  <c r="P30" i="3"/>
  <c r="P317" i="1"/>
  <c r="O8" i="1"/>
  <c r="P228" i="1"/>
  <c r="P215" i="1"/>
  <c r="P138" i="1"/>
  <c r="BI44" i="13"/>
  <c r="BF44" i="13"/>
  <c r="BL44" i="13"/>
  <c r="BG44" i="13"/>
  <c r="BJ44" i="13"/>
  <c r="BD44" i="13"/>
  <c r="AK49" i="13"/>
  <c r="BM48" i="13"/>
  <c r="AE49" i="13"/>
  <c r="BJ48" i="13"/>
  <c r="Y49" i="13"/>
  <c r="BG48" i="13"/>
  <c r="S49" i="13"/>
  <c r="BD48" i="13"/>
  <c r="BL48" i="13"/>
  <c r="BI48" i="13"/>
  <c r="BF48" i="13"/>
  <c r="BK48" i="13"/>
  <c r="BH48" i="13"/>
  <c r="BE48" i="13"/>
  <c r="V49" i="13"/>
  <c r="AH49" i="13"/>
  <c r="AJ49" i="13"/>
  <c r="AD49" i="13"/>
  <c r="X49" i="13"/>
  <c r="AB49" i="13"/>
  <c r="AA49" i="13"/>
  <c r="U49" i="13"/>
  <c r="AI49" i="13"/>
  <c r="AC49" i="13"/>
  <c r="W49" i="13"/>
  <c r="AG49" i="13"/>
  <c r="AF49" i="13"/>
  <c r="Z49" i="13"/>
  <c r="AL49" i="13"/>
  <c r="T49" i="13"/>
  <c r="P9" i="4" l="1"/>
  <c r="P25" i="2"/>
  <c r="I51" i="6" s="1"/>
  <c r="P48" i="4"/>
  <c r="P70" i="4"/>
  <c r="O107" i="1"/>
  <c r="M106" i="1"/>
  <c r="R19" i="11"/>
  <c r="P8" i="1"/>
  <c r="P383" i="1"/>
  <c r="BZ44" i="13"/>
  <c r="P278" i="1"/>
  <c r="I15" i="11"/>
  <c r="N37" i="1"/>
  <c r="M38" i="1"/>
  <c r="N7" i="1"/>
  <c r="N105" i="1"/>
  <c r="O30" i="1"/>
  <c r="P107" i="1" s="1"/>
  <c r="N54" i="1"/>
  <c r="N55" i="1" s="1"/>
  <c r="BF49" i="13"/>
  <c r="P36" i="4"/>
  <c r="BZ48" i="13"/>
  <c r="BI49" i="13"/>
  <c r="O14" i="4"/>
  <c r="P7" i="3"/>
  <c r="BL49" i="13"/>
  <c r="BE49" i="13"/>
  <c r="BH49" i="13"/>
  <c r="BK49" i="13"/>
  <c r="BJ49" i="13"/>
  <c r="BG49" i="13"/>
  <c r="BD49" i="13"/>
  <c r="BM49" i="13"/>
  <c r="S72" i="2"/>
  <c r="U72" i="2"/>
  <c r="U67" i="2" s="1"/>
  <c r="W72" i="2"/>
  <c r="W67" i="2" s="1"/>
  <c r="K20" i="3"/>
  <c r="K7" i="3"/>
  <c r="AH7" i="3"/>
  <c r="J7" i="3"/>
  <c r="AF7" i="3"/>
  <c r="I7" i="3"/>
  <c r="AD7" i="3"/>
  <c r="H7" i="3"/>
  <c r="AB7" i="3"/>
  <c r="G7" i="3"/>
  <c r="Z7" i="3"/>
  <c r="F7" i="3"/>
  <c r="X7" i="3"/>
  <c r="E7" i="3"/>
  <c r="V7" i="3"/>
  <c r="D7" i="3"/>
  <c r="T7" i="3"/>
  <c r="C7" i="3"/>
  <c r="R7" i="3"/>
  <c r="Y72" i="2"/>
  <c r="Y67" i="2" s="1"/>
  <c r="AA72" i="2"/>
  <c r="AA62" i="2"/>
  <c r="AC72" i="2"/>
  <c r="AC62" i="2"/>
  <c r="AE72" i="2"/>
  <c r="AE62" i="2"/>
  <c r="AG62" i="2"/>
  <c r="AG72" i="2"/>
  <c r="J67" i="2"/>
  <c r="AF67" i="2"/>
  <c r="I67" i="2"/>
  <c r="AD67" i="2"/>
  <c r="H67" i="2"/>
  <c r="AB67" i="2"/>
  <c r="G67" i="2"/>
  <c r="Z67" i="2"/>
  <c r="F67" i="2"/>
  <c r="X67" i="2"/>
  <c r="E67" i="2"/>
  <c r="V67" i="2"/>
  <c r="D67" i="2"/>
  <c r="T67" i="2"/>
  <c r="C67" i="2"/>
  <c r="AH67" i="2"/>
  <c r="AI72" i="2"/>
  <c r="AI62" i="2"/>
  <c r="K67" i="2"/>
  <c r="F244" i="1"/>
  <c r="X244" i="1"/>
  <c r="X67" i="1"/>
  <c r="F153" i="1"/>
  <c r="X153" i="1"/>
  <c r="Y242" i="1"/>
  <c r="Y151" i="1"/>
  <c r="F62" i="1"/>
  <c r="F382" i="1" s="1"/>
  <c r="X62" i="1"/>
  <c r="F148" i="1"/>
  <c r="X148" i="1"/>
  <c r="F238" i="1"/>
  <c r="F385" i="1" s="1"/>
  <c r="X238" i="1"/>
  <c r="E242" i="1"/>
  <c r="F243" i="1" s="1"/>
  <c r="V242" i="1"/>
  <c r="D242" i="1"/>
  <c r="T242" i="1"/>
  <c r="T244" i="1" s="1"/>
  <c r="C242" i="1"/>
  <c r="C244" i="1" s="1"/>
  <c r="R242" i="1"/>
  <c r="E151" i="1"/>
  <c r="F152" i="1" s="1"/>
  <c r="V151" i="1"/>
  <c r="V153" i="1" s="1"/>
  <c r="D151" i="1"/>
  <c r="D153" i="1" s="1"/>
  <c r="T151" i="1"/>
  <c r="C151" i="1"/>
  <c r="R151" i="1"/>
  <c r="R153" i="1" s="1"/>
  <c r="Y65" i="1"/>
  <c r="N106" i="1" l="1"/>
  <c r="E42" i="11"/>
  <c r="F42" i="11"/>
  <c r="F149" i="1"/>
  <c r="X239" i="1"/>
  <c r="F239" i="1"/>
  <c r="Z148" i="1"/>
  <c r="X149" i="1"/>
  <c r="N38" i="1"/>
  <c r="X63" i="1"/>
  <c r="G148" i="1"/>
  <c r="O37" i="1"/>
  <c r="P30" i="1"/>
  <c r="O7" i="1"/>
  <c r="O54" i="1"/>
  <c r="O55" i="1" s="1"/>
  <c r="J15" i="11"/>
  <c r="O105" i="1"/>
  <c r="BE10" i="13"/>
  <c r="BE28" i="13" s="1"/>
  <c r="BG10" i="13"/>
  <c r="BG28" i="13" s="1"/>
  <c r="BZ49" i="13"/>
  <c r="G42" i="11"/>
  <c r="P14" i="4"/>
  <c r="K12" i="3"/>
  <c r="AC67" i="2"/>
  <c r="X154" i="1"/>
  <c r="AA67" i="2"/>
  <c r="AI67" i="2"/>
  <c r="C238" i="1"/>
  <c r="T238" i="1"/>
  <c r="T152" i="1"/>
  <c r="E238" i="1"/>
  <c r="E243" i="1"/>
  <c r="E153" i="1"/>
  <c r="E244" i="1"/>
  <c r="E152" i="1"/>
  <c r="X152" i="1"/>
  <c r="D243" i="1"/>
  <c r="D238" i="1"/>
  <c r="D244" i="1"/>
  <c r="T153" i="1"/>
  <c r="T154" i="1" s="1"/>
  <c r="V243" i="1"/>
  <c r="V238" i="1"/>
  <c r="X243" i="1"/>
  <c r="V244" i="1"/>
  <c r="V245" i="1" s="1"/>
  <c r="D152" i="1"/>
  <c r="C153" i="1"/>
  <c r="R238" i="1"/>
  <c r="R244" i="1"/>
  <c r="T245" i="1" s="1"/>
  <c r="T243" i="1"/>
  <c r="AG67" i="2"/>
  <c r="V152" i="1"/>
  <c r="S67" i="2"/>
  <c r="AE67" i="2"/>
  <c r="D154" i="1" l="1"/>
  <c r="D245" i="1"/>
  <c r="E154" i="1"/>
  <c r="O38" i="1"/>
  <c r="O106" i="1"/>
  <c r="H148" i="1"/>
  <c r="G149" i="1"/>
  <c r="Z149" i="1"/>
  <c r="AB148" i="1"/>
  <c r="P54" i="1"/>
  <c r="P55" i="1" s="1"/>
  <c r="P37" i="1"/>
  <c r="P105" i="1"/>
  <c r="P7" i="1"/>
  <c r="BH28" i="13"/>
  <c r="BF28" i="13"/>
  <c r="G47" i="11"/>
  <c r="G52" i="11" s="1"/>
  <c r="E245" i="1"/>
  <c r="F245" i="1"/>
  <c r="X245" i="1"/>
  <c r="F154" i="1"/>
  <c r="V154" i="1"/>
  <c r="E65" i="1"/>
  <c r="V65" i="1"/>
  <c r="V62" i="1" s="1"/>
  <c r="D65" i="1"/>
  <c r="T65" i="1"/>
  <c r="T62" i="1" s="1"/>
  <c r="C65" i="1"/>
  <c r="R65" i="1"/>
  <c r="R62" i="1" s="1"/>
  <c r="P38" i="1" l="1"/>
  <c r="C62" i="1"/>
  <c r="D62" i="1"/>
  <c r="E62" i="1"/>
  <c r="P106" i="1"/>
  <c r="AD148" i="1"/>
  <c r="AB149" i="1"/>
  <c r="H149" i="1"/>
  <c r="I148" i="1"/>
  <c r="R67" i="1"/>
  <c r="D67" i="1"/>
  <c r="D66" i="1"/>
  <c r="V67" i="1"/>
  <c r="X66" i="1"/>
  <c r="V66" i="1"/>
  <c r="C67" i="1"/>
  <c r="T66" i="1"/>
  <c r="T67" i="1"/>
  <c r="E66" i="1"/>
  <c r="E67" i="1"/>
  <c r="F66" i="1"/>
  <c r="AI294" i="1"/>
  <c r="I149" i="1" l="1"/>
  <c r="J148" i="1"/>
  <c r="AD149" i="1"/>
  <c r="AF148" i="1"/>
  <c r="O54" i="11"/>
  <c r="E68" i="1"/>
  <c r="T68" i="1"/>
  <c r="D68" i="1"/>
  <c r="V68" i="1"/>
  <c r="X68" i="1"/>
  <c r="Y76" i="2"/>
  <c r="Y75" i="2"/>
  <c r="Y74" i="2"/>
  <c r="W76" i="2"/>
  <c r="W75" i="2"/>
  <c r="W74" i="2"/>
  <c r="U76" i="2"/>
  <c r="U75" i="2"/>
  <c r="U74" i="2"/>
  <c r="AG33" i="2"/>
  <c r="AE33" i="2"/>
  <c r="AC33" i="2"/>
  <c r="AA33" i="2"/>
  <c r="Y33" i="2"/>
  <c r="Y26" i="2"/>
  <c r="Y9" i="2"/>
  <c r="W9" i="2"/>
  <c r="U9" i="2"/>
  <c r="S9" i="2"/>
  <c r="X213" i="1"/>
  <c r="X214" i="1" s="1"/>
  <c r="AJ76" i="1"/>
  <c r="D210" i="1"/>
  <c r="V210" i="1"/>
  <c r="E210" i="1"/>
  <c r="X210" i="1"/>
  <c r="F210" i="1"/>
  <c r="Z210" i="1"/>
  <c r="G210" i="1"/>
  <c r="AB210" i="1"/>
  <c r="H210" i="1"/>
  <c r="AD210" i="1"/>
  <c r="I210" i="1"/>
  <c r="AF210" i="1"/>
  <c r="J210" i="1"/>
  <c r="AH210" i="1"/>
  <c r="K210" i="1"/>
  <c r="T210" i="1"/>
  <c r="AI256" i="1"/>
  <c r="AG256" i="1"/>
  <c r="AE256" i="1"/>
  <c r="AC256" i="1"/>
  <c r="AA256" i="1"/>
  <c r="Y256" i="1"/>
  <c r="W256" i="1"/>
  <c r="S256" i="1"/>
  <c r="AJ254" i="1"/>
  <c r="K38" i="3"/>
  <c r="K28" i="3"/>
  <c r="AH38" i="3"/>
  <c r="AH28" i="3"/>
  <c r="AH20" i="3"/>
  <c r="J38" i="3"/>
  <c r="J28" i="3"/>
  <c r="J20" i="3"/>
  <c r="AF38" i="3"/>
  <c r="AF28" i="3"/>
  <c r="AF20" i="3"/>
  <c r="AF12" i="3" s="1"/>
  <c r="I38" i="3"/>
  <c r="I28" i="3"/>
  <c r="I20" i="3"/>
  <c r="AD38" i="3"/>
  <c r="AD28" i="3"/>
  <c r="AD20" i="3"/>
  <c r="AD12" i="3" s="1"/>
  <c r="H37" i="3"/>
  <c r="H28" i="3"/>
  <c r="H20" i="3"/>
  <c r="AB37" i="3"/>
  <c r="AB28" i="3"/>
  <c r="AB20" i="3"/>
  <c r="AB12" i="3" s="1"/>
  <c r="G38" i="3"/>
  <c r="G28" i="3"/>
  <c r="G20" i="3"/>
  <c r="Z38" i="3"/>
  <c r="Z28" i="3"/>
  <c r="Z20" i="3"/>
  <c r="Z12" i="3" s="1"/>
  <c r="F38" i="3"/>
  <c r="F28" i="3"/>
  <c r="F20" i="3"/>
  <c r="X38" i="3"/>
  <c r="X28" i="3"/>
  <c r="X20" i="3"/>
  <c r="X12" i="3" s="1"/>
  <c r="E38" i="3"/>
  <c r="E28" i="3"/>
  <c r="E20" i="3"/>
  <c r="V38" i="3"/>
  <c r="V28" i="3"/>
  <c r="V20" i="3"/>
  <c r="V12" i="3" s="1"/>
  <c r="D38" i="3"/>
  <c r="D22" i="3"/>
  <c r="D20" i="3"/>
  <c r="T20" i="3"/>
  <c r="T12" i="3" s="1"/>
  <c r="T38" i="3"/>
  <c r="T22" i="3"/>
  <c r="C38" i="3"/>
  <c r="C22" i="3"/>
  <c r="C20" i="3"/>
  <c r="R20" i="3"/>
  <c r="R12" i="3" s="1"/>
  <c r="R38" i="3"/>
  <c r="R22" i="3"/>
  <c r="R23" i="3"/>
  <c r="C45" i="3" l="1"/>
  <c r="D45" i="3"/>
  <c r="K47" i="3"/>
  <c r="G54" i="11" s="1"/>
  <c r="G55" i="11" s="1"/>
  <c r="AB38" i="3"/>
  <c r="S23" i="3"/>
  <c r="C47" i="3"/>
  <c r="D47" i="3"/>
  <c r="E47" i="3"/>
  <c r="F47" i="3"/>
  <c r="G47" i="3"/>
  <c r="H38" i="3"/>
  <c r="H41" i="3" s="1"/>
  <c r="I47" i="3"/>
  <c r="E54" i="11" s="1"/>
  <c r="J47" i="3"/>
  <c r="F54" i="11" s="1"/>
  <c r="T28" i="3"/>
  <c r="Y7" i="3"/>
  <c r="J149" i="1"/>
  <c r="K148" i="1"/>
  <c r="AF149" i="1"/>
  <c r="AH148" i="1"/>
  <c r="AK254" i="1"/>
  <c r="AK210" i="1" s="1"/>
  <c r="AJ210" i="1"/>
  <c r="AJ208" i="1" s="1"/>
  <c r="AJ207" i="1" s="1"/>
  <c r="W38" i="3"/>
  <c r="Y38" i="3"/>
  <c r="AA38" i="3"/>
  <c r="AE38" i="3"/>
  <c r="AG38" i="3"/>
  <c r="AI28" i="3"/>
  <c r="W28" i="3"/>
  <c r="Y28" i="3"/>
  <c r="AA28" i="3"/>
  <c r="AC28" i="3"/>
  <c r="AE28" i="3"/>
  <c r="AG28" i="3"/>
  <c r="AI38" i="3"/>
  <c r="S38" i="3"/>
  <c r="U38" i="3"/>
  <c r="C12" i="3"/>
  <c r="S20" i="3"/>
  <c r="D12" i="3"/>
  <c r="U20" i="3"/>
  <c r="E12" i="3"/>
  <c r="W20" i="3"/>
  <c r="F12" i="3"/>
  <c r="Y20" i="3"/>
  <c r="G12" i="3"/>
  <c r="AA20" i="3"/>
  <c r="H12" i="3"/>
  <c r="AC20" i="3"/>
  <c r="I12" i="3"/>
  <c r="AE20" i="3"/>
  <c r="J12" i="3"/>
  <c r="AG20" i="3"/>
  <c r="C28" i="3"/>
  <c r="S22" i="3"/>
  <c r="D28" i="3"/>
  <c r="U22" i="3"/>
  <c r="AH12" i="3"/>
  <c r="AI20" i="3"/>
  <c r="AJ34" i="1"/>
  <c r="AK76" i="1"/>
  <c r="AK34" i="1" s="1"/>
  <c r="R28" i="3"/>
  <c r="X41" i="3"/>
  <c r="Z41" i="3"/>
  <c r="AD41" i="3"/>
  <c r="J41" i="3"/>
  <c r="V41" i="3"/>
  <c r="G41" i="3"/>
  <c r="AH41" i="3"/>
  <c r="AF41" i="3"/>
  <c r="F41" i="3"/>
  <c r="I41" i="3"/>
  <c r="AC210" i="1"/>
  <c r="E41" i="3"/>
  <c r="K41" i="3"/>
  <c r="AE210" i="1"/>
  <c r="U210" i="1"/>
  <c r="AG210" i="1"/>
  <c r="Y210" i="1"/>
  <c r="AA210" i="1"/>
  <c r="AI210" i="1"/>
  <c r="W210" i="1"/>
  <c r="AC38" i="3" l="1"/>
  <c r="AB41" i="3"/>
  <c r="AI12" i="3"/>
  <c r="AA12" i="3"/>
  <c r="U12" i="3"/>
  <c r="U28" i="3"/>
  <c r="Y12" i="3"/>
  <c r="S12" i="3"/>
  <c r="H47" i="3"/>
  <c r="AC12" i="3"/>
  <c r="W12" i="3"/>
  <c r="T41" i="3"/>
  <c r="E47" i="11"/>
  <c r="E52" i="11" s="1"/>
  <c r="M54" i="11" s="1"/>
  <c r="F47" i="11"/>
  <c r="F52" i="11" s="1"/>
  <c r="F55" i="11" s="1"/>
  <c r="AJ233" i="1"/>
  <c r="L148" i="1"/>
  <c r="K149" i="1"/>
  <c r="AJ148" i="1"/>
  <c r="AH149" i="1"/>
  <c r="AJ31" i="1"/>
  <c r="AJ30" i="1" s="1"/>
  <c r="AG12" i="3"/>
  <c r="AJ197" i="1"/>
  <c r="AJ213" i="1"/>
  <c r="AJ230" i="1"/>
  <c r="AE41" i="3"/>
  <c r="AE12" i="3"/>
  <c r="Y41" i="3"/>
  <c r="S28" i="3"/>
  <c r="D41" i="3"/>
  <c r="AA41" i="3"/>
  <c r="C41" i="3"/>
  <c r="AI41" i="3"/>
  <c r="W41" i="3"/>
  <c r="AG41" i="3"/>
  <c r="C10" i="3"/>
  <c r="T10" i="3"/>
  <c r="D10" i="3"/>
  <c r="V10" i="3"/>
  <c r="E10" i="3"/>
  <c r="X10" i="3"/>
  <c r="Y10" i="3"/>
  <c r="F10" i="3"/>
  <c r="Z10" i="3"/>
  <c r="G10" i="3"/>
  <c r="AB10" i="3"/>
  <c r="H10" i="3"/>
  <c r="AD10" i="3"/>
  <c r="I10" i="3"/>
  <c r="AF10" i="3"/>
  <c r="J10" i="3"/>
  <c r="AH10" i="3"/>
  <c r="K10" i="3"/>
  <c r="R10" i="3"/>
  <c r="C9" i="3"/>
  <c r="T9" i="3"/>
  <c r="D9" i="3"/>
  <c r="V9" i="3"/>
  <c r="E9" i="3"/>
  <c r="X9" i="3"/>
  <c r="F9" i="3"/>
  <c r="Z9" i="3"/>
  <c r="G9" i="3"/>
  <c r="AB9" i="3"/>
  <c r="H9" i="3"/>
  <c r="AD9" i="3"/>
  <c r="I9" i="3"/>
  <c r="AF9" i="3"/>
  <c r="J9" i="3"/>
  <c r="AH9" i="3"/>
  <c r="K9" i="3"/>
  <c r="R9" i="3"/>
  <c r="K69" i="4"/>
  <c r="K71" i="4" s="1"/>
  <c r="C69" i="4"/>
  <c r="T69" i="4"/>
  <c r="D69" i="4"/>
  <c r="V69" i="4"/>
  <c r="E69" i="4"/>
  <c r="X69" i="4"/>
  <c r="F69" i="4"/>
  <c r="Z69" i="4"/>
  <c r="G69" i="4"/>
  <c r="AB69" i="4"/>
  <c r="H69" i="4"/>
  <c r="AD69" i="4"/>
  <c r="I69" i="4"/>
  <c r="AF69" i="4"/>
  <c r="J69" i="4"/>
  <c r="AH69" i="4"/>
  <c r="C70" i="4"/>
  <c r="T70" i="4"/>
  <c r="D70" i="4"/>
  <c r="V70" i="4"/>
  <c r="E70" i="4"/>
  <c r="X70" i="4"/>
  <c r="F70" i="4"/>
  <c r="Z70" i="4"/>
  <c r="G70" i="4"/>
  <c r="AB70" i="4"/>
  <c r="H70" i="4"/>
  <c r="AD70" i="4"/>
  <c r="I70" i="4"/>
  <c r="AF70" i="4"/>
  <c r="J70" i="4"/>
  <c r="AH70" i="4"/>
  <c r="R70" i="4"/>
  <c r="R69" i="4"/>
  <c r="Z65" i="4"/>
  <c r="AB65" i="4"/>
  <c r="AD65" i="4"/>
  <c r="AF65" i="4"/>
  <c r="AH65" i="4"/>
  <c r="AH66" i="4" s="1"/>
  <c r="AH8" i="3" s="1"/>
  <c r="R65" i="4"/>
  <c r="S76" i="2"/>
  <c r="S54" i="2" s="1"/>
  <c r="S75" i="2"/>
  <c r="S74" i="2"/>
  <c r="C60" i="2"/>
  <c r="C61" i="2" s="1"/>
  <c r="T60" i="2"/>
  <c r="T61" i="2" s="1"/>
  <c r="D60" i="2"/>
  <c r="D61" i="2" s="1"/>
  <c r="V60" i="2"/>
  <c r="V61" i="2" s="1"/>
  <c r="E60" i="2"/>
  <c r="E61" i="2" s="1"/>
  <c r="X60" i="2"/>
  <c r="X61" i="2" s="1"/>
  <c r="F60" i="2"/>
  <c r="F61" i="2" s="1"/>
  <c r="Z60" i="2"/>
  <c r="Z61" i="2" s="1"/>
  <c r="G60" i="2"/>
  <c r="G61" i="2" s="1"/>
  <c r="AB60" i="2"/>
  <c r="AB61" i="2" s="1"/>
  <c r="H60" i="2"/>
  <c r="H61" i="2" s="1"/>
  <c r="AD60" i="2"/>
  <c r="AD61" i="2" s="1"/>
  <c r="I60" i="2"/>
  <c r="I61" i="2" s="1"/>
  <c r="AF60" i="2"/>
  <c r="AF61" i="2" s="1"/>
  <c r="J60" i="2"/>
  <c r="J61" i="2" s="1"/>
  <c r="AH60" i="2"/>
  <c r="AH61" i="2" s="1"/>
  <c r="K60" i="2"/>
  <c r="K61" i="2" s="1"/>
  <c r="Y54" i="2"/>
  <c r="W54" i="2"/>
  <c r="C54" i="2"/>
  <c r="D54" i="2"/>
  <c r="E54" i="2"/>
  <c r="F54" i="2"/>
  <c r="G54" i="2"/>
  <c r="H54" i="2"/>
  <c r="I54" i="2"/>
  <c r="J54" i="2"/>
  <c r="K54" i="2"/>
  <c r="R54" i="2"/>
  <c r="AG51" i="2"/>
  <c r="AE51" i="2"/>
  <c r="AC51" i="2"/>
  <c r="AA51" i="2"/>
  <c r="W51" i="2"/>
  <c r="U51" i="2"/>
  <c r="S51" i="2"/>
  <c r="AI44" i="2"/>
  <c r="AG44" i="2"/>
  <c r="AE44" i="2"/>
  <c r="AC44" i="2"/>
  <c r="AA44" i="2"/>
  <c r="Y44" i="2"/>
  <c r="W44" i="2"/>
  <c r="U44" i="2"/>
  <c r="S44" i="2"/>
  <c r="S42" i="2"/>
  <c r="U42" i="2"/>
  <c r="W42" i="2"/>
  <c r="Y42" i="2"/>
  <c r="AI37" i="2"/>
  <c r="AG37" i="2"/>
  <c r="AE37" i="2"/>
  <c r="AC37" i="2"/>
  <c r="AA37" i="2"/>
  <c r="W37" i="2"/>
  <c r="U37" i="2"/>
  <c r="S37" i="2"/>
  <c r="AI26" i="2"/>
  <c r="AG26" i="2"/>
  <c r="AE26" i="2"/>
  <c r="AC26" i="2"/>
  <c r="AA26" i="2"/>
  <c r="W26" i="2"/>
  <c r="U26" i="2"/>
  <c r="S26" i="2"/>
  <c r="D374" i="1"/>
  <c r="E374" i="1"/>
  <c r="F374" i="1"/>
  <c r="G374" i="1"/>
  <c r="AE374" i="1" s="1"/>
  <c r="H374" i="1"/>
  <c r="I374" i="1"/>
  <c r="AG374" i="1" s="1"/>
  <c r="C350" i="1"/>
  <c r="AD356" i="1"/>
  <c r="AE356" i="1" s="1"/>
  <c r="AF356" i="1"/>
  <c r="AH356" i="1"/>
  <c r="AH350" i="1"/>
  <c r="AF350" i="1"/>
  <c r="AD350" i="1"/>
  <c r="AB350" i="1"/>
  <c r="Z350" i="1"/>
  <c r="K350" i="1"/>
  <c r="J350" i="1"/>
  <c r="I350" i="1"/>
  <c r="H350" i="1"/>
  <c r="G350" i="1"/>
  <c r="AI273" i="1"/>
  <c r="AI274" i="1" s="1"/>
  <c r="S233" i="1"/>
  <c r="S242" i="1" s="1"/>
  <c r="AI228" i="1"/>
  <c r="AK229" i="1" s="1"/>
  <c r="AG228" i="1"/>
  <c r="AE228" i="1"/>
  <c r="AI223" i="1"/>
  <c r="AG223" i="1"/>
  <c r="AE223" i="1"/>
  <c r="U183" i="1"/>
  <c r="S183" i="1"/>
  <c r="AA117" i="1"/>
  <c r="Y117" i="1"/>
  <c r="BC84" i="13" s="1"/>
  <c r="W117" i="1"/>
  <c r="U117" i="1"/>
  <c r="S117" i="1"/>
  <c r="D105" i="1"/>
  <c r="Z105" i="1"/>
  <c r="G105" i="1"/>
  <c r="AB105" i="1"/>
  <c r="H105" i="1"/>
  <c r="AD105" i="1"/>
  <c r="I105" i="1"/>
  <c r="AF105" i="1"/>
  <c r="J105" i="1"/>
  <c r="AH105" i="1"/>
  <c r="K105" i="1"/>
  <c r="C97" i="1"/>
  <c r="AI80" i="1"/>
  <c r="AG80" i="1"/>
  <c r="AE80" i="1"/>
  <c r="AC80" i="1"/>
  <c r="AA80" i="1"/>
  <c r="Y80" i="1"/>
  <c r="U80" i="1"/>
  <c r="U57" i="1"/>
  <c r="U52" i="1" s="1"/>
  <c r="S57" i="1"/>
  <c r="S52" i="1" s="1"/>
  <c r="W30" i="1"/>
  <c r="W49" i="1" s="1"/>
  <c r="U30" i="1"/>
  <c r="U49" i="1" s="1"/>
  <c r="AA342" i="1"/>
  <c r="Y342" i="1"/>
  <c r="S14" i="1"/>
  <c r="AE183" i="1"/>
  <c r="S262" i="1"/>
  <c r="C262" i="1"/>
  <c r="T262" i="1"/>
  <c r="D262" i="1"/>
  <c r="V262" i="1"/>
  <c r="E262" i="1"/>
  <c r="X262" i="1"/>
  <c r="F262" i="1"/>
  <c r="Z262" i="1"/>
  <c r="G262" i="1"/>
  <c r="AB262" i="1"/>
  <c r="H262" i="1"/>
  <c r="AD262" i="1"/>
  <c r="I262" i="1"/>
  <c r="AF262" i="1"/>
  <c r="J262" i="1"/>
  <c r="AH262" i="1"/>
  <c r="K262" i="1"/>
  <c r="AJ262" i="1"/>
  <c r="AK262" i="1"/>
  <c r="R262" i="1"/>
  <c r="D34" i="1"/>
  <c r="V34" i="1"/>
  <c r="E34" i="1"/>
  <c r="X34" i="1"/>
  <c r="F34" i="1"/>
  <c r="Z34" i="1"/>
  <c r="G34" i="1"/>
  <c r="G62" i="1" s="1"/>
  <c r="G382" i="1" s="1"/>
  <c r="AB34" i="1"/>
  <c r="H34" i="1"/>
  <c r="AD34" i="1"/>
  <c r="I34" i="1"/>
  <c r="AF34" i="1"/>
  <c r="J34" i="1"/>
  <c r="AH34" i="1"/>
  <c r="K34" i="1"/>
  <c r="T34" i="1"/>
  <c r="C86" i="1"/>
  <c r="T86" i="1"/>
  <c r="D86" i="1"/>
  <c r="V86" i="1"/>
  <c r="X86" i="1"/>
  <c r="F86" i="1"/>
  <c r="Z86" i="1"/>
  <c r="G86" i="1"/>
  <c r="AB86" i="1"/>
  <c r="H86" i="1"/>
  <c r="AD86" i="1"/>
  <c r="I86" i="1"/>
  <c r="AF86" i="1"/>
  <c r="J86" i="1"/>
  <c r="AH86" i="1"/>
  <c r="K86" i="1"/>
  <c r="R86" i="1"/>
  <c r="K97" i="1"/>
  <c r="AH97" i="1"/>
  <c r="J97" i="1"/>
  <c r="AF97" i="1"/>
  <c r="I97" i="1"/>
  <c r="AD97" i="1"/>
  <c r="H97" i="1"/>
  <c r="G97" i="1"/>
  <c r="F97" i="1"/>
  <c r="E97" i="1"/>
  <c r="D97" i="1"/>
  <c r="AC41" i="3" l="1"/>
  <c r="AJ223" i="1"/>
  <c r="AJ202" i="1"/>
  <c r="AA7" i="3"/>
  <c r="U10" i="3"/>
  <c r="AC7" i="3"/>
  <c r="W10" i="3"/>
  <c r="Y9" i="3"/>
  <c r="AE7" i="3"/>
  <c r="W60" i="2"/>
  <c r="W61" i="2" s="1"/>
  <c r="S7" i="3"/>
  <c r="AG7" i="3"/>
  <c r="U60" i="2"/>
  <c r="U61" i="2" s="1"/>
  <c r="U7" i="3"/>
  <c r="AI7" i="3"/>
  <c r="S60" i="2"/>
  <c r="S61" i="2" s="1"/>
  <c r="W7" i="3"/>
  <c r="S10" i="3"/>
  <c r="AA52" i="2"/>
  <c r="U41" i="3"/>
  <c r="L106" i="1"/>
  <c r="N54" i="11"/>
  <c r="E55" i="11"/>
  <c r="G36" i="11"/>
  <c r="F36" i="11"/>
  <c r="G43" i="11"/>
  <c r="E36" i="11"/>
  <c r="AB71" i="4"/>
  <c r="F44" i="11"/>
  <c r="F43" i="11"/>
  <c r="E44" i="11"/>
  <c r="E43" i="11"/>
  <c r="M148" i="1"/>
  <c r="L384" i="1"/>
  <c r="H62" i="1"/>
  <c r="AK30" i="1"/>
  <c r="AJ37" i="1"/>
  <c r="AG350" i="1"/>
  <c r="AA350" i="1"/>
  <c r="S167" i="1"/>
  <c r="AW84" i="13"/>
  <c r="AA167" i="1"/>
  <c r="BE84" i="13"/>
  <c r="BE85" i="13" s="1"/>
  <c r="BE87" i="13" s="1"/>
  <c r="U167" i="1"/>
  <c r="AY84" i="13"/>
  <c r="W167" i="1"/>
  <c r="BA84" i="13"/>
  <c r="AJ105" i="1"/>
  <c r="AJ106" i="1" s="1"/>
  <c r="AJ7" i="1"/>
  <c r="AJ54" i="1"/>
  <c r="AJ194" i="1"/>
  <c r="AJ195" i="1" s="1"/>
  <c r="BN122" i="13"/>
  <c r="BK10" i="13"/>
  <c r="BI10" i="13"/>
  <c r="BJ28" i="13" s="1"/>
  <c r="AW11" i="13"/>
  <c r="AI296" i="1"/>
  <c r="AI297" i="1" s="1"/>
  <c r="AK274" i="1"/>
  <c r="G44" i="11"/>
  <c r="AC10" i="3"/>
  <c r="AC36" i="2"/>
  <c r="AA10" i="3"/>
  <c r="AA36" i="2"/>
  <c r="AE10" i="3"/>
  <c r="AE36" i="2"/>
  <c r="AI10" i="3"/>
  <c r="AI36" i="2"/>
  <c r="AG10" i="3"/>
  <c r="AG36" i="2"/>
  <c r="AE350" i="1"/>
  <c r="AE361" i="1" s="1"/>
  <c r="J106" i="1"/>
  <c r="Y153" i="1"/>
  <c r="Y167" i="1"/>
  <c r="AA161" i="1"/>
  <c r="AA162" i="1" s="1"/>
  <c r="AI198" i="1"/>
  <c r="BM123" i="13" s="1"/>
  <c r="Z66" i="4"/>
  <c r="Z8" i="3" s="1"/>
  <c r="F45" i="11"/>
  <c r="G45" i="11"/>
  <c r="AG52" i="2"/>
  <c r="AE52" i="2"/>
  <c r="L118" i="1"/>
  <c r="L117" i="1" s="1"/>
  <c r="L149" i="1" s="1"/>
  <c r="AF106" i="1"/>
  <c r="I106" i="1"/>
  <c r="U52" i="2"/>
  <c r="AI52" i="2"/>
  <c r="W52" i="2"/>
  <c r="Y52" i="2"/>
  <c r="AC52" i="2"/>
  <c r="AD106" i="1"/>
  <c r="AB66" i="4"/>
  <c r="K106" i="1"/>
  <c r="H106" i="1"/>
  <c r="U54" i="1"/>
  <c r="U53" i="1"/>
  <c r="W50" i="1"/>
  <c r="AH106" i="1"/>
  <c r="AB106" i="1"/>
  <c r="AF66" i="4"/>
  <c r="AF8" i="3" s="1"/>
  <c r="AD66" i="4"/>
  <c r="AD8" i="3" s="1"/>
  <c r="S244" i="1"/>
  <c r="S238" i="1"/>
  <c r="S65" i="1"/>
  <c r="S62" i="1" s="1"/>
  <c r="U65" i="1"/>
  <c r="U62" i="1" s="1"/>
  <c r="D67" i="4"/>
  <c r="D71" i="4"/>
  <c r="K67" i="4"/>
  <c r="H67" i="4"/>
  <c r="I67" i="4"/>
  <c r="AH71" i="4"/>
  <c r="V71" i="4"/>
  <c r="AF71" i="4"/>
  <c r="Z71" i="4"/>
  <c r="E67" i="4"/>
  <c r="U9" i="3"/>
  <c r="S9" i="3"/>
  <c r="Y60" i="2"/>
  <c r="Y61" i="2" s="1"/>
  <c r="T71" i="4"/>
  <c r="I71" i="4"/>
  <c r="F71" i="4"/>
  <c r="C71" i="4"/>
  <c r="W9" i="3"/>
  <c r="J67" i="4"/>
  <c r="G67" i="4"/>
  <c r="AD71" i="4"/>
  <c r="X71" i="4"/>
  <c r="R71" i="4"/>
  <c r="H71" i="4"/>
  <c r="E71" i="4"/>
  <c r="J71" i="4"/>
  <c r="G71" i="4"/>
  <c r="F67" i="4"/>
  <c r="Z263" i="1"/>
  <c r="J263" i="1"/>
  <c r="G263" i="1"/>
  <c r="D263" i="1"/>
  <c r="I263" i="1"/>
  <c r="F263" i="1"/>
  <c r="T263" i="1"/>
  <c r="T87" i="1"/>
  <c r="AD263" i="1"/>
  <c r="I87" i="1"/>
  <c r="K87" i="1"/>
  <c r="H87" i="1"/>
  <c r="AI34" i="1"/>
  <c r="AA34" i="1"/>
  <c r="X87" i="1"/>
  <c r="AC34" i="1"/>
  <c r="AH87" i="1"/>
  <c r="D87" i="1"/>
  <c r="K263" i="1"/>
  <c r="H263" i="1"/>
  <c r="E263" i="1"/>
  <c r="W34" i="1"/>
  <c r="AH263" i="1"/>
  <c r="V263" i="1"/>
  <c r="X263" i="1"/>
  <c r="AF263" i="1"/>
  <c r="Y34" i="1"/>
  <c r="AD87" i="1"/>
  <c r="AB263" i="1"/>
  <c r="AE34" i="1"/>
  <c r="J87" i="1"/>
  <c r="G87" i="1"/>
  <c r="U34" i="1"/>
  <c r="AG34" i="1"/>
  <c r="AB87" i="1"/>
  <c r="AF87" i="1"/>
  <c r="V87" i="1"/>
  <c r="Z87" i="1"/>
  <c r="AK105" i="1" l="1"/>
  <c r="N148" i="1"/>
  <c r="M384" i="1"/>
  <c r="I62" i="1"/>
  <c r="H382" i="1"/>
  <c r="AK54" i="1"/>
  <c r="AK7" i="1"/>
  <c r="H63" i="1"/>
  <c r="CA84" i="13"/>
  <c r="CA85" i="13" s="1"/>
  <c r="CA87" i="13" s="1"/>
  <c r="L143" i="1"/>
  <c r="L133" i="1" s="1"/>
  <c r="AK37" i="1"/>
  <c r="BA85" i="13"/>
  <c r="BA87" i="13" s="1"/>
  <c r="G72" i="4"/>
  <c r="BC85" i="13"/>
  <c r="BC87" i="13" s="1"/>
  <c r="AY85" i="13"/>
  <c r="AY87" i="13" s="1"/>
  <c r="BN6" i="13"/>
  <c r="AN6" i="13" s="1"/>
  <c r="AL123" i="13"/>
  <c r="BO130" i="13"/>
  <c r="AN122" i="13"/>
  <c r="AN129" i="13" s="1"/>
  <c r="AN39" i="13" s="1"/>
  <c r="AJ12" i="1"/>
  <c r="BN126" i="13"/>
  <c r="BK28" i="13"/>
  <c r="BI28" i="13"/>
  <c r="BL28" i="13"/>
  <c r="V72" i="4"/>
  <c r="E72" i="4"/>
  <c r="Z72" i="4"/>
  <c r="H72" i="4"/>
  <c r="T72" i="4"/>
  <c r="AF72" i="4"/>
  <c r="AH72" i="4"/>
  <c r="AB72" i="4"/>
  <c r="X72" i="4"/>
  <c r="AD72" i="4"/>
  <c r="M37" i="11"/>
  <c r="I72" i="4"/>
  <c r="N37" i="11"/>
  <c r="J72" i="4"/>
  <c r="O37" i="11"/>
  <c r="K72" i="4"/>
  <c r="F72" i="4"/>
  <c r="D72" i="4"/>
  <c r="AC120" i="1"/>
  <c r="AA120" i="1"/>
  <c r="AA170" i="1"/>
  <c r="AA171" i="1" s="1"/>
  <c r="AA66" i="4"/>
  <c r="AA8" i="3" s="1"/>
  <c r="AI66" i="4"/>
  <c r="AI8" i="3" s="1"/>
  <c r="AC66" i="4"/>
  <c r="AC8" i="3" s="1"/>
  <c r="AB8" i="3"/>
  <c r="D40" i="3"/>
  <c r="T40" i="3"/>
  <c r="T43" i="3" s="1"/>
  <c r="L183" i="1"/>
  <c r="L177" i="1"/>
  <c r="L123" i="1"/>
  <c r="L140" i="1"/>
  <c r="M118" i="1"/>
  <c r="M117" i="1" s="1"/>
  <c r="M149" i="1" s="1"/>
  <c r="AA148" i="1"/>
  <c r="AA149" i="1" s="1"/>
  <c r="AG66" i="4"/>
  <c r="AG8" i="3" s="1"/>
  <c r="AE66" i="4"/>
  <c r="AE8" i="3" s="1"/>
  <c r="E45" i="11"/>
  <c r="AC148" i="1"/>
  <c r="Z151" i="1"/>
  <c r="U67" i="1"/>
  <c r="U66" i="1"/>
  <c r="AI42" i="2"/>
  <c r="AG42" i="2"/>
  <c r="AE42" i="2"/>
  <c r="AC42" i="2"/>
  <c r="AA42" i="2"/>
  <c r="AC84" i="2"/>
  <c r="AA84" i="2"/>
  <c r="AC83" i="2"/>
  <c r="AA83" i="2"/>
  <c r="Y84" i="2"/>
  <c r="W84" i="2"/>
  <c r="Y83" i="2"/>
  <c r="W83" i="2"/>
  <c r="AA76" i="2"/>
  <c r="AA54" i="2" s="1"/>
  <c r="Z54" i="2"/>
  <c r="AA75" i="2"/>
  <c r="AC74" i="2"/>
  <c r="AA74" i="2"/>
  <c r="AD54" i="2"/>
  <c r="AC76" i="2"/>
  <c r="AC54" i="2" s="1"/>
  <c r="AB54" i="2"/>
  <c r="AC75" i="2"/>
  <c r="V54" i="2"/>
  <c r="U54" i="2"/>
  <c r="T75" i="2"/>
  <c r="R47" i="4"/>
  <c r="X16" i="4"/>
  <c r="V16" i="4"/>
  <c r="T16" i="4"/>
  <c r="U14" i="1"/>
  <c r="AG14" i="1"/>
  <c r="AI14" i="1"/>
  <c r="S12" i="1"/>
  <c r="C12" i="1"/>
  <c r="T12" i="1"/>
  <c r="D12" i="1"/>
  <c r="V12" i="1"/>
  <c r="E12" i="1"/>
  <c r="X12" i="1"/>
  <c r="F12" i="1"/>
  <c r="Z12" i="1"/>
  <c r="G12" i="1"/>
  <c r="AB12" i="1"/>
  <c r="H12" i="1"/>
  <c r="AD12" i="1"/>
  <c r="I12" i="1"/>
  <c r="R12" i="1"/>
  <c r="S24" i="1"/>
  <c r="C24" i="1"/>
  <c r="T24" i="1"/>
  <c r="D24" i="1"/>
  <c r="V24" i="1"/>
  <c r="E24" i="1"/>
  <c r="X24" i="1"/>
  <c r="F24" i="1"/>
  <c r="Z24" i="1"/>
  <c r="G24" i="1"/>
  <c r="AB24" i="1"/>
  <c r="H24" i="1"/>
  <c r="AD24" i="1"/>
  <c r="I24" i="1"/>
  <c r="R24" i="1"/>
  <c r="S259" i="1"/>
  <c r="C259" i="1"/>
  <c r="T259" i="1"/>
  <c r="D259" i="1"/>
  <c r="V259" i="1"/>
  <c r="E259" i="1"/>
  <c r="X259" i="1"/>
  <c r="F259" i="1"/>
  <c r="Z259" i="1"/>
  <c r="G259" i="1"/>
  <c r="AB259" i="1"/>
  <c r="H259" i="1"/>
  <c r="AD259" i="1"/>
  <c r="I259" i="1"/>
  <c r="AF259" i="1"/>
  <c r="J259" i="1"/>
  <c r="AH259" i="1"/>
  <c r="K259" i="1"/>
  <c r="R259" i="1"/>
  <c r="K257" i="1"/>
  <c r="AH257" i="1"/>
  <c r="J257" i="1"/>
  <c r="AF257" i="1"/>
  <c r="I257" i="1"/>
  <c r="AD257" i="1"/>
  <c r="H257" i="1"/>
  <c r="AB257" i="1"/>
  <c r="G257" i="1"/>
  <c r="G238" i="1" s="1"/>
  <c r="G385" i="1" s="1"/>
  <c r="Z257" i="1"/>
  <c r="Z238" i="1" s="1"/>
  <c r="F257" i="1"/>
  <c r="X257" i="1"/>
  <c r="E257" i="1"/>
  <c r="V257" i="1"/>
  <c r="D257" i="1"/>
  <c r="T257" i="1"/>
  <c r="AI262" i="1"/>
  <c r="AG262" i="1"/>
  <c r="AE262" i="1"/>
  <c r="AC262" i="1"/>
  <c r="AA262" i="1"/>
  <c r="Y262" i="1"/>
  <c r="W262" i="1"/>
  <c r="U256" i="1"/>
  <c r="U262" i="1" s="1"/>
  <c r="U263" i="1" s="1"/>
  <c r="AD177" i="1"/>
  <c r="AF177" i="1"/>
  <c r="J177" i="1"/>
  <c r="AH177" i="1"/>
  <c r="K177" i="1"/>
  <c r="H177" i="1"/>
  <c r="K176" i="1"/>
  <c r="AH176" i="1"/>
  <c r="AF176" i="1"/>
  <c r="AI175" i="1"/>
  <c r="AK176" i="1" s="1"/>
  <c r="AG175" i="1"/>
  <c r="I175" i="1"/>
  <c r="I177" i="1" s="1"/>
  <c r="S10" i="1"/>
  <c r="C10" i="1"/>
  <c r="T10" i="1"/>
  <c r="D10" i="1"/>
  <c r="V10" i="1"/>
  <c r="E10" i="1"/>
  <c r="X10" i="1"/>
  <c r="F10" i="1"/>
  <c r="Z10" i="1"/>
  <c r="G10" i="1"/>
  <c r="AB10" i="1"/>
  <c r="H10" i="1"/>
  <c r="AD10" i="1"/>
  <c r="I10" i="1"/>
  <c r="AF10" i="1"/>
  <c r="J10" i="1"/>
  <c r="AH10" i="1"/>
  <c r="K10" i="1"/>
  <c r="R10" i="1"/>
  <c r="AI300" i="1"/>
  <c r="AD269" i="1"/>
  <c r="I269" i="1"/>
  <c r="AF269" i="1"/>
  <c r="J269" i="1"/>
  <c r="AH269" i="1"/>
  <c r="K269" i="1"/>
  <c r="AJ269" i="1"/>
  <c r="H269" i="1"/>
  <c r="K268" i="1"/>
  <c r="AH268" i="1"/>
  <c r="J268" i="1"/>
  <c r="AF268" i="1"/>
  <c r="I268" i="1"/>
  <c r="AI267" i="1"/>
  <c r="AK268" i="1" s="1"/>
  <c r="AG267" i="1"/>
  <c r="AE267" i="1"/>
  <c r="AH184" i="1"/>
  <c r="K184" i="1"/>
  <c r="S181" i="1"/>
  <c r="C181" i="1"/>
  <c r="T181" i="1"/>
  <c r="D181" i="1"/>
  <c r="V181" i="1"/>
  <c r="E181" i="1"/>
  <c r="X181" i="1"/>
  <c r="F181" i="1"/>
  <c r="F384" i="1" s="1"/>
  <c r="F388" i="1" s="1"/>
  <c r="Z181" i="1"/>
  <c r="G181" i="1"/>
  <c r="AB181" i="1"/>
  <c r="AB186" i="1" s="1"/>
  <c r="H181" i="1"/>
  <c r="AD181" i="1"/>
  <c r="AD188" i="1" s="1"/>
  <c r="I181" i="1"/>
  <c r="AF181" i="1"/>
  <c r="AF186" i="1" s="1"/>
  <c r="J181" i="1"/>
  <c r="AH181" i="1"/>
  <c r="K181" i="1"/>
  <c r="K384" i="1" s="1"/>
  <c r="R181" i="1"/>
  <c r="R22" i="1" s="1"/>
  <c r="J184" i="1"/>
  <c r="AF184" i="1"/>
  <c r="I184" i="1"/>
  <c r="AD184" i="1"/>
  <c r="H184" i="1"/>
  <c r="AB184" i="1"/>
  <c r="G184" i="1"/>
  <c r="Z184" i="1"/>
  <c r="F184" i="1"/>
  <c r="X184" i="1"/>
  <c r="E184" i="1"/>
  <c r="V184" i="1"/>
  <c r="D184" i="1"/>
  <c r="T184" i="1"/>
  <c r="AI183" i="1"/>
  <c r="AG183" i="1"/>
  <c r="AG10" i="1" s="1"/>
  <c r="AC183" i="1"/>
  <c r="AC10" i="1" s="1"/>
  <c r="AA183" i="1"/>
  <c r="Y183" i="1"/>
  <c r="Y10" i="1" s="1"/>
  <c r="W183" i="1"/>
  <c r="U10" i="1"/>
  <c r="AB230" i="1"/>
  <c r="H230" i="1"/>
  <c r="AD230" i="1"/>
  <c r="I230" i="1"/>
  <c r="AF230" i="1"/>
  <c r="J230" i="1"/>
  <c r="AH230" i="1"/>
  <c r="AJ231" i="1" s="1"/>
  <c r="K230" i="1"/>
  <c r="G230" i="1"/>
  <c r="K229" i="1"/>
  <c r="AI229" i="1"/>
  <c r="AH229" i="1"/>
  <c r="J229" i="1"/>
  <c r="AG229" i="1"/>
  <c r="AF229" i="1"/>
  <c r="I229" i="1"/>
  <c r="AD229" i="1"/>
  <c r="H229" i="1"/>
  <c r="AB225" i="1"/>
  <c r="H225" i="1"/>
  <c r="AD225" i="1"/>
  <c r="I225" i="1"/>
  <c r="AF225" i="1"/>
  <c r="J225" i="1"/>
  <c r="AH225" i="1"/>
  <c r="K225" i="1"/>
  <c r="G225" i="1"/>
  <c r="K224" i="1"/>
  <c r="AI224" i="1"/>
  <c r="AH224" i="1"/>
  <c r="J224" i="1"/>
  <c r="AG224" i="1"/>
  <c r="AF224" i="1"/>
  <c r="I224" i="1"/>
  <c r="AD224" i="1"/>
  <c r="H224" i="1"/>
  <c r="AI374" i="1"/>
  <c r="J374" i="1"/>
  <c r="G379" i="1"/>
  <c r="F379" i="1"/>
  <c r="AF365" i="1"/>
  <c r="AG365" i="1" s="1"/>
  <c r="AC365" i="1"/>
  <c r="AC363" i="1"/>
  <c r="AC362" i="1"/>
  <c r="AH361" i="1"/>
  <c r="AH364" i="1" s="1"/>
  <c r="AH366" i="1" s="1"/>
  <c r="AD361" i="1"/>
  <c r="AD364" i="1" s="1"/>
  <c r="AD366" i="1" s="1"/>
  <c r="H361" i="1"/>
  <c r="H364" i="1" s="1"/>
  <c r="AB361" i="1"/>
  <c r="AB364" i="1" s="1"/>
  <c r="AB366" i="1" s="1"/>
  <c r="G361" i="1"/>
  <c r="Z361" i="1"/>
  <c r="Z364" i="1" s="1"/>
  <c r="AC360" i="1"/>
  <c r="D360" i="1"/>
  <c r="AC359" i="1"/>
  <c r="AC358" i="1"/>
  <c r="D357" i="1"/>
  <c r="K356" i="1"/>
  <c r="AI356" i="1" s="1"/>
  <c r="J356" i="1"/>
  <c r="AF361" i="1"/>
  <c r="AF364" i="1" s="1"/>
  <c r="I356" i="1"/>
  <c r="AG356" i="1" s="1"/>
  <c r="AG361" i="1" s="1"/>
  <c r="AC356" i="1"/>
  <c r="F356" i="1"/>
  <c r="E356" i="1"/>
  <c r="AC355" i="1"/>
  <c r="AC354" i="1"/>
  <c r="D354" i="1"/>
  <c r="AC353" i="1"/>
  <c r="D353" i="1"/>
  <c r="AC352" i="1"/>
  <c r="D352" i="1"/>
  <c r="AC351" i="1"/>
  <c r="D351" i="1"/>
  <c r="AI350" i="1"/>
  <c r="AC350" i="1"/>
  <c r="F350" i="1"/>
  <c r="E350" i="1"/>
  <c r="K204" i="1"/>
  <c r="J203" i="1"/>
  <c r="AH203" i="1"/>
  <c r="K203" i="1"/>
  <c r="S202" i="1"/>
  <c r="C202" i="1"/>
  <c r="T202" i="1"/>
  <c r="D202" i="1"/>
  <c r="V202" i="1"/>
  <c r="E202" i="1"/>
  <c r="X202" i="1"/>
  <c r="F202" i="1"/>
  <c r="Z202" i="1"/>
  <c r="G202" i="1"/>
  <c r="AB202" i="1"/>
  <c r="H202" i="1"/>
  <c r="AD202" i="1"/>
  <c r="I202" i="1"/>
  <c r="J202" i="1"/>
  <c r="AH202" i="1"/>
  <c r="K202" i="1"/>
  <c r="R202" i="1"/>
  <c r="Z20" i="1"/>
  <c r="G20" i="1"/>
  <c r="AB20" i="1"/>
  <c r="H20" i="1"/>
  <c r="AD20" i="1"/>
  <c r="I20" i="1"/>
  <c r="AF20" i="1"/>
  <c r="J20" i="1"/>
  <c r="AH20" i="1"/>
  <c r="K20" i="1"/>
  <c r="Z8" i="1"/>
  <c r="AB8" i="1"/>
  <c r="H8" i="1"/>
  <c r="AD8" i="1"/>
  <c r="I8" i="1"/>
  <c r="AF8" i="1"/>
  <c r="J8" i="1"/>
  <c r="AH8" i="1"/>
  <c r="S21" i="1"/>
  <c r="C21" i="1"/>
  <c r="T21" i="1"/>
  <c r="D21" i="1"/>
  <c r="V21" i="1"/>
  <c r="E21" i="1"/>
  <c r="X21" i="1"/>
  <c r="F21" i="1"/>
  <c r="R21" i="1"/>
  <c r="S23" i="1"/>
  <c r="C23" i="1"/>
  <c r="T23" i="1"/>
  <c r="D23" i="1"/>
  <c r="V23" i="1"/>
  <c r="E23" i="1"/>
  <c r="X23" i="1"/>
  <c r="F23" i="1"/>
  <c r="R23" i="1"/>
  <c r="S11" i="1"/>
  <c r="C11" i="1"/>
  <c r="T11" i="1"/>
  <c r="D11" i="1"/>
  <c r="V11" i="1"/>
  <c r="E11" i="1"/>
  <c r="X11" i="1"/>
  <c r="F11" i="1"/>
  <c r="Z11" i="1"/>
  <c r="G11" i="1"/>
  <c r="R11" i="1"/>
  <c r="S9" i="1"/>
  <c r="C9" i="1"/>
  <c r="T9" i="1"/>
  <c r="D9" i="1"/>
  <c r="V9" i="1"/>
  <c r="E9" i="1"/>
  <c r="R9" i="1"/>
  <c r="AA347" i="1"/>
  <c r="Y347" i="1"/>
  <c r="Y23" i="1" s="1"/>
  <c r="W347" i="1"/>
  <c r="W23" i="1" s="1"/>
  <c r="U347" i="1"/>
  <c r="U23" i="1" s="1"/>
  <c r="AA345" i="1"/>
  <c r="AA11" i="1" s="1"/>
  <c r="Y345" i="1"/>
  <c r="Y11" i="1" s="1"/>
  <c r="W345" i="1"/>
  <c r="W11" i="1" s="1"/>
  <c r="U345" i="1"/>
  <c r="U11" i="1" s="1"/>
  <c r="W342" i="1"/>
  <c r="W21" i="1" s="1"/>
  <c r="U342" i="1"/>
  <c r="U21" i="1" s="1"/>
  <c r="Z322" i="1"/>
  <c r="AB322" i="1"/>
  <c r="H322" i="1"/>
  <c r="AD322" i="1"/>
  <c r="I322" i="1"/>
  <c r="AF322" i="1"/>
  <c r="J322" i="1"/>
  <c r="AH322" i="1"/>
  <c r="AJ322" i="1" s="1"/>
  <c r="AJ320" i="1" s="1"/>
  <c r="K322" i="1"/>
  <c r="L322" i="1" s="1"/>
  <c r="K321" i="1"/>
  <c r="AH321" i="1"/>
  <c r="J321" i="1"/>
  <c r="AF321" i="1"/>
  <c r="I321" i="1"/>
  <c r="AD321" i="1"/>
  <c r="H321" i="1"/>
  <c r="AB321" i="1"/>
  <c r="K326" i="1"/>
  <c r="J326" i="1"/>
  <c r="AG325" i="1"/>
  <c r="AI325" i="1"/>
  <c r="AB325" i="1"/>
  <c r="H325" i="1"/>
  <c r="AD325" i="1"/>
  <c r="AE326" i="1"/>
  <c r="AC326" i="1"/>
  <c r="R49" i="4" l="1"/>
  <c r="T76" i="2"/>
  <c r="T54" i="2" s="1"/>
  <c r="G56" i="11"/>
  <c r="F56" i="11"/>
  <c r="E56" i="11"/>
  <c r="J188" i="1"/>
  <c r="J384" i="1"/>
  <c r="G186" i="1"/>
  <c r="G384" i="1"/>
  <c r="G388" i="1" s="1"/>
  <c r="J62" i="1"/>
  <c r="I382" i="1"/>
  <c r="H188" i="1"/>
  <c r="H384" i="1"/>
  <c r="I188" i="1"/>
  <c r="I384" i="1"/>
  <c r="O148" i="1"/>
  <c r="N384" i="1"/>
  <c r="AK39" i="1"/>
  <c r="BO6" i="13"/>
  <c r="AP6" i="13" s="1"/>
  <c r="AA72" i="4"/>
  <c r="Z239" i="1"/>
  <c r="AB238" i="1"/>
  <c r="AD238" i="1" s="1"/>
  <c r="AF238" i="1" s="1"/>
  <c r="AH238" i="1" s="1"/>
  <c r="AJ238" i="1" s="1"/>
  <c r="H238" i="1"/>
  <c r="H385" i="1" s="1"/>
  <c r="G239" i="1"/>
  <c r="I63" i="1"/>
  <c r="L128" i="1"/>
  <c r="W72" i="4"/>
  <c r="E28" i="11"/>
  <c r="E26" i="11"/>
  <c r="G364" i="1"/>
  <c r="AA364" i="1" s="1"/>
  <c r="AA361" i="1"/>
  <c r="F26" i="11"/>
  <c r="G26" i="11"/>
  <c r="AL130" i="13"/>
  <c r="AP130" i="13"/>
  <c r="AN126" i="13"/>
  <c r="AN132" i="13" s="1"/>
  <c r="BN132" i="13"/>
  <c r="BN9" i="13"/>
  <c r="AN9" i="13" s="1"/>
  <c r="AN27" i="13" s="1"/>
  <c r="AH188" i="1"/>
  <c r="AJ182" i="1"/>
  <c r="AN24" i="13"/>
  <c r="BJ8" i="13"/>
  <c r="BJ88" i="13" s="1"/>
  <c r="BD8" i="13"/>
  <c r="BD88" i="13" s="1"/>
  <c r="AX8" i="13"/>
  <c r="AX88" i="13" s="1"/>
  <c r="BS9" i="13"/>
  <c r="BF7" i="13"/>
  <c r="BG8" i="13"/>
  <c r="BR8" i="13"/>
  <c r="BR88" i="13" s="1"/>
  <c r="BJ7" i="13"/>
  <c r="AY8" i="13"/>
  <c r="AY88" i="13" s="1"/>
  <c r="BW8" i="13"/>
  <c r="BW88" i="13" s="1"/>
  <c r="BT8" i="13"/>
  <c r="BT88" i="13" s="1"/>
  <c r="BH9" i="13"/>
  <c r="BB9" i="13"/>
  <c r="AW9" i="13"/>
  <c r="BV9" i="13"/>
  <c r="BK11" i="13"/>
  <c r="AX9" i="13"/>
  <c r="BK8" i="13"/>
  <c r="BR9" i="13"/>
  <c r="BF8" i="13"/>
  <c r="BF88" i="13" s="1"/>
  <c r="AZ8" i="13"/>
  <c r="AZ88" i="13" s="1"/>
  <c r="BW9" i="13"/>
  <c r="BT9" i="13"/>
  <c r="BM10" i="13"/>
  <c r="BW7" i="13"/>
  <c r="BU8" i="13"/>
  <c r="BU88" i="13" s="1"/>
  <c r="AV9" i="13"/>
  <c r="BD9" i="13"/>
  <c r="AY11" i="13"/>
  <c r="BD7" i="13"/>
  <c r="AV8" i="13"/>
  <c r="BH8" i="13"/>
  <c r="BH88" i="13" s="1"/>
  <c r="BB8" i="13"/>
  <c r="BB88" i="13" s="1"/>
  <c r="AW8" i="13"/>
  <c r="BU9" i="13"/>
  <c r="BH7" i="13"/>
  <c r="BC8" i="13"/>
  <c r="BC88" i="13" s="1"/>
  <c r="BV8" i="13"/>
  <c r="BV88" i="13" s="1"/>
  <c r="BS8" i="13"/>
  <c r="BS88" i="13" s="1"/>
  <c r="BF9" i="13"/>
  <c r="AZ9" i="13"/>
  <c r="BM11" i="13"/>
  <c r="E16" i="11"/>
  <c r="BX7" i="13"/>
  <c r="E17" i="11"/>
  <c r="BX8" i="13"/>
  <c r="BX88" i="13" s="1"/>
  <c r="F17" i="11"/>
  <c r="BY8" i="13"/>
  <c r="BY88" i="13" s="1"/>
  <c r="F16" i="11"/>
  <c r="BY7" i="13"/>
  <c r="E18" i="11"/>
  <c r="BX9" i="13"/>
  <c r="G17" i="11"/>
  <c r="BZ8" i="13"/>
  <c r="BZ88" i="13" s="1"/>
  <c r="U72" i="4"/>
  <c r="AC72" i="4"/>
  <c r="AE72" i="4"/>
  <c r="BL7" i="13"/>
  <c r="BN25" i="13" s="1"/>
  <c r="AI72" i="4"/>
  <c r="AG72" i="4"/>
  <c r="BL8" i="13"/>
  <c r="BL88" i="13" s="1"/>
  <c r="Y72" i="4"/>
  <c r="Z366" i="1"/>
  <c r="AC171" i="1"/>
  <c r="L178" i="1"/>
  <c r="AJ270" i="1"/>
  <c r="L320" i="1"/>
  <c r="M322" i="1"/>
  <c r="AJ20" i="1"/>
  <c r="AJ321" i="1"/>
  <c r="U40" i="3"/>
  <c r="D43" i="3"/>
  <c r="M183" i="1"/>
  <c r="M140" i="1"/>
  <c r="M141" i="1" s="1"/>
  <c r="M123" i="1"/>
  <c r="M177" i="1"/>
  <c r="M178" i="1" s="1"/>
  <c r="N118" i="1"/>
  <c r="N117" i="1" s="1"/>
  <c r="N149" i="1" s="1"/>
  <c r="L184" i="1"/>
  <c r="L10" i="1"/>
  <c r="AF323" i="1"/>
  <c r="J231" i="1"/>
  <c r="AA238" i="1"/>
  <c r="AB323" i="1"/>
  <c r="K323" i="1"/>
  <c r="AD226" i="1"/>
  <c r="AD231" i="1"/>
  <c r="J270" i="1"/>
  <c r="H226" i="1"/>
  <c r="J226" i="1"/>
  <c r="AH323" i="1"/>
  <c r="K226" i="1"/>
  <c r="K231" i="1"/>
  <c r="AF270" i="1"/>
  <c r="J323" i="1"/>
  <c r="AH226" i="1"/>
  <c r="AH231" i="1"/>
  <c r="I270" i="1"/>
  <c r="H231" i="1"/>
  <c r="I323" i="1"/>
  <c r="AF226" i="1"/>
  <c r="AF231" i="1"/>
  <c r="K270" i="1"/>
  <c r="AH24" i="1"/>
  <c r="J201" i="1"/>
  <c r="AD323" i="1"/>
  <c r="I226" i="1"/>
  <c r="I231" i="1"/>
  <c r="AH270" i="1"/>
  <c r="E22" i="1"/>
  <c r="E186" i="1"/>
  <c r="E188" i="1"/>
  <c r="V186" i="1"/>
  <c r="V188" i="1"/>
  <c r="D22" i="1"/>
  <c r="D186" i="1"/>
  <c r="D188" i="1"/>
  <c r="Z22" i="1"/>
  <c r="Z186" i="1"/>
  <c r="Z188" i="1"/>
  <c r="T22" i="1"/>
  <c r="T186" i="1"/>
  <c r="T188" i="1"/>
  <c r="F186" i="1"/>
  <c r="F188" i="1"/>
  <c r="C22" i="1"/>
  <c r="C186" i="1"/>
  <c r="C188" i="1"/>
  <c r="X22" i="1"/>
  <c r="X186" i="1"/>
  <c r="X188" i="1"/>
  <c r="J178" i="1"/>
  <c r="K178" i="1"/>
  <c r="I178" i="1"/>
  <c r="AH178" i="1"/>
  <c r="AF178" i="1"/>
  <c r="G242" i="1"/>
  <c r="Z152" i="1"/>
  <c r="Z153" i="1"/>
  <c r="Z154" i="1" s="1"/>
  <c r="Z242" i="1"/>
  <c r="AE148" i="1"/>
  <c r="AB151" i="1"/>
  <c r="AG60" i="2"/>
  <c r="AG61" i="2" s="1"/>
  <c r="AG9" i="3"/>
  <c r="AC60" i="2"/>
  <c r="AC61" i="2" s="1"/>
  <c r="AC9" i="3"/>
  <c r="AI60" i="2"/>
  <c r="AI61" i="2" s="1"/>
  <c r="AI9" i="3"/>
  <c r="AE60" i="2"/>
  <c r="AE61" i="2" s="1"/>
  <c r="AE9" i="3"/>
  <c r="AA60" i="2"/>
  <c r="AA61" i="2" s="1"/>
  <c r="AA9" i="3"/>
  <c r="AG263" i="1"/>
  <c r="AG326" i="1"/>
  <c r="AE10" i="1"/>
  <c r="K188" i="1"/>
  <c r="AA263" i="1"/>
  <c r="AC263" i="1"/>
  <c r="AE263" i="1"/>
  <c r="W263" i="1"/>
  <c r="AI263" i="1"/>
  <c r="Y263" i="1"/>
  <c r="W257" i="1"/>
  <c r="AC184" i="1"/>
  <c r="AF260" i="1"/>
  <c r="Z260" i="1"/>
  <c r="AG268" i="1"/>
  <c r="Y257" i="1"/>
  <c r="AH260" i="1"/>
  <c r="AB260" i="1"/>
  <c r="V260" i="1"/>
  <c r="J260" i="1"/>
  <c r="G260" i="1"/>
  <c r="D260" i="1"/>
  <c r="AI361" i="1"/>
  <c r="F361" i="1"/>
  <c r="I260" i="1"/>
  <c r="F260" i="1"/>
  <c r="J361" i="1"/>
  <c r="J364" i="1" s="1"/>
  <c r="J366" i="1" s="1"/>
  <c r="T260" i="1"/>
  <c r="G22" i="1"/>
  <c r="AD260" i="1"/>
  <c r="X260" i="1"/>
  <c r="K260" i="1"/>
  <c r="H260" i="1"/>
  <c r="E260" i="1"/>
  <c r="AF366" i="1"/>
  <c r="AG257" i="1"/>
  <c r="AE175" i="1"/>
  <c r="AG176" i="1" s="1"/>
  <c r="AH186" i="1"/>
  <c r="D356" i="1"/>
  <c r="W184" i="1"/>
  <c r="AI184" i="1"/>
  <c r="K186" i="1"/>
  <c r="G188" i="1"/>
  <c r="AE257" i="1"/>
  <c r="Y184" i="1"/>
  <c r="U184" i="1"/>
  <c r="I186" i="1"/>
  <c r="AI10" i="1"/>
  <c r="AI257" i="1"/>
  <c r="I22" i="1"/>
  <c r="AD186" i="1"/>
  <c r="W10" i="1"/>
  <c r="I361" i="1"/>
  <c r="I364" i="1" s="1"/>
  <c r="AG184" i="1"/>
  <c r="AD22" i="1"/>
  <c r="AC257" i="1"/>
  <c r="U257" i="1"/>
  <c r="AA10" i="1"/>
  <c r="AF188" i="1"/>
  <c r="AA184" i="1"/>
  <c r="AE184" i="1"/>
  <c r="J186" i="1"/>
  <c r="H186" i="1"/>
  <c r="AI176" i="1"/>
  <c r="AA257" i="1"/>
  <c r="J176" i="1"/>
  <c r="AI268" i="1"/>
  <c r="D350" i="1"/>
  <c r="I176" i="1"/>
  <c r="AB188" i="1"/>
  <c r="E361" i="1"/>
  <c r="E364" i="1" s="1"/>
  <c r="E366" i="1" s="1"/>
  <c r="AC364" i="1"/>
  <c r="H366" i="1"/>
  <c r="AC366" i="1" s="1"/>
  <c r="AC361" i="1"/>
  <c r="K361" i="1"/>
  <c r="K364" i="1" s="1"/>
  <c r="J24" i="1" l="1"/>
  <c r="AN38" i="13"/>
  <c r="AP24" i="13"/>
  <c r="H388" i="1"/>
  <c r="P148" i="1"/>
  <c r="P384" i="1" s="1"/>
  <c r="O384" i="1"/>
  <c r="K62" i="1"/>
  <c r="J382" i="1"/>
  <c r="AB239" i="1"/>
  <c r="H239" i="1"/>
  <c r="I238" i="1"/>
  <c r="I385" i="1" s="1"/>
  <c r="I388" i="1" s="1"/>
  <c r="J63" i="1"/>
  <c r="L130" i="1"/>
  <c r="AE364" i="1"/>
  <c r="AE366" i="1" s="1"/>
  <c r="G366" i="1"/>
  <c r="AA366" i="1" s="1"/>
  <c r="E27" i="11"/>
  <c r="BX26" i="13"/>
  <c r="BZ26" i="13"/>
  <c r="BS26" i="13"/>
  <c r="BX25" i="13"/>
  <c r="BV26" i="13"/>
  <c r="BX27" i="13"/>
  <c r="BU27" i="13"/>
  <c r="BT27" i="13"/>
  <c r="BT26" i="13"/>
  <c r="BW27" i="13"/>
  <c r="BW26" i="13"/>
  <c r="BS27" i="13"/>
  <c r="BV27" i="13"/>
  <c r="BY25" i="13"/>
  <c r="BZ25" i="13"/>
  <c r="BU26" i="13"/>
  <c r="BY26" i="13"/>
  <c r="BL29" i="13"/>
  <c r="BO29" i="13"/>
  <c r="BO28" i="13"/>
  <c r="BV17" i="13"/>
  <c r="BM29" i="13"/>
  <c r="BM28" i="13"/>
  <c r="BZ17" i="13"/>
  <c r="AZ26" i="13"/>
  <c r="BU18" i="13"/>
  <c r="BT18" i="13"/>
  <c r="BL26" i="13"/>
  <c r="BS17" i="13"/>
  <c r="BK29" i="13"/>
  <c r="AY26" i="13"/>
  <c r="BT17" i="13"/>
  <c r="AW26" i="13"/>
  <c r="BW18" i="13"/>
  <c r="BW17" i="13"/>
  <c r="AW27" i="13"/>
  <c r="BD26" i="13"/>
  <c r="BX18" i="13"/>
  <c r="BX17" i="13"/>
  <c r="BK26" i="13"/>
  <c r="BG26" i="13"/>
  <c r="BC26" i="13"/>
  <c r="AX27" i="13"/>
  <c r="BX16" i="13"/>
  <c r="BM8" i="13"/>
  <c r="BH26" i="13"/>
  <c r="BI8" i="13"/>
  <c r="BE8" i="13"/>
  <c r="BA8" i="13"/>
  <c r="AX26" i="13"/>
  <c r="BU17" i="13"/>
  <c r="BV18" i="13"/>
  <c r="BS18" i="13"/>
  <c r="BY16" i="13"/>
  <c r="BZ16" i="13"/>
  <c r="BY17" i="13"/>
  <c r="CA8" i="13"/>
  <c r="CA88" i="13" s="1"/>
  <c r="I366" i="1"/>
  <c r="AG364" i="1"/>
  <c r="AG366" i="1" s="1"/>
  <c r="M320" i="1"/>
  <c r="N322" i="1"/>
  <c r="L20" i="1"/>
  <c r="L321" i="1"/>
  <c r="AK320" i="1"/>
  <c r="E40" i="3"/>
  <c r="U43" i="3"/>
  <c r="V40" i="3"/>
  <c r="V43" i="3" s="1"/>
  <c r="N183" i="1"/>
  <c r="N123" i="1"/>
  <c r="N177" i="1"/>
  <c r="N178" i="1" s="1"/>
  <c r="N140" i="1"/>
  <c r="N141" i="1" s="1"/>
  <c r="H17" i="11"/>
  <c r="M124" i="1"/>
  <c r="O118" i="1"/>
  <c r="O117" i="1" s="1"/>
  <c r="O149" i="1" s="1"/>
  <c r="P118" i="1"/>
  <c r="M184" i="1"/>
  <c r="M10" i="1"/>
  <c r="K22" i="1"/>
  <c r="AH22" i="1"/>
  <c r="X191" i="1"/>
  <c r="V191" i="1"/>
  <c r="V22" i="1"/>
  <c r="AC238" i="1"/>
  <c r="T191" i="1"/>
  <c r="D191" i="1"/>
  <c r="E191" i="1"/>
  <c r="F191" i="1"/>
  <c r="F22" i="1"/>
  <c r="Z191" i="1"/>
  <c r="AB152" i="1"/>
  <c r="AB153" i="1"/>
  <c r="AB154" i="1" s="1"/>
  <c r="AG148" i="1"/>
  <c r="AD151" i="1"/>
  <c r="G243" i="1"/>
  <c r="G244" i="1"/>
  <c r="AB242" i="1"/>
  <c r="AD239" i="1"/>
  <c r="Z243" i="1"/>
  <c r="Z244" i="1"/>
  <c r="Z245" i="1" s="1"/>
  <c r="H242" i="1"/>
  <c r="F364" i="1"/>
  <c r="F366" i="1" s="1"/>
  <c r="AE22" i="1"/>
  <c r="G191" i="1"/>
  <c r="D361" i="1"/>
  <c r="D364" i="1" s="1"/>
  <c r="D366" i="1" s="1"/>
  <c r="AH191" i="1"/>
  <c r="J22" i="1"/>
  <c r="J191" i="1"/>
  <c r="H22" i="1"/>
  <c r="H191" i="1"/>
  <c r="AB191" i="1"/>
  <c r="AB22" i="1"/>
  <c r="AD191" i="1"/>
  <c r="I191" i="1"/>
  <c r="AF191" i="1"/>
  <c r="AF22" i="1"/>
  <c r="K191" i="1"/>
  <c r="K366" i="1"/>
  <c r="AI364" i="1"/>
  <c r="AI366" i="1" s="1"/>
  <c r="G245" i="1" l="1"/>
  <c r="F28" i="11"/>
  <c r="AP38" i="13"/>
  <c r="L62" i="1"/>
  <c r="K382" i="1"/>
  <c r="J238" i="1"/>
  <c r="J385" i="1" s="1"/>
  <c r="J388" i="1" s="1"/>
  <c r="I239" i="1"/>
  <c r="K63" i="1"/>
  <c r="F27" i="11"/>
  <c r="G27" i="11"/>
  <c r="BA26" i="13"/>
  <c r="BA88" i="13"/>
  <c r="BE26" i="13"/>
  <c r="BE88" i="13"/>
  <c r="BI26" i="13"/>
  <c r="CA17" i="13"/>
  <c r="CA26" i="13"/>
  <c r="BM26" i="13"/>
  <c r="BB26" i="13"/>
  <c r="BJ26" i="13"/>
  <c r="BF26" i="13"/>
  <c r="H26" i="11"/>
  <c r="AK20" i="1"/>
  <c r="AK322" i="1"/>
  <c r="O322" i="1"/>
  <c r="N320" i="1"/>
  <c r="M20" i="1"/>
  <c r="M321" i="1"/>
  <c r="E43" i="3"/>
  <c r="W40" i="3"/>
  <c r="N184" i="1"/>
  <c r="N10" i="1"/>
  <c r="O123" i="1"/>
  <c r="O177" i="1"/>
  <c r="O178" i="1" s="1"/>
  <c r="O140" i="1"/>
  <c r="O141" i="1" s="1"/>
  <c r="O183" i="1"/>
  <c r="P117" i="1"/>
  <c r="P149" i="1" s="1"/>
  <c r="I17" i="11"/>
  <c r="N124" i="1"/>
  <c r="AE238" i="1"/>
  <c r="AF151" i="1"/>
  <c r="AF239" i="1"/>
  <c r="AD242" i="1"/>
  <c r="H243" i="1"/>
  <c r="H244" i="1"/>
  <c r="I242" i="1"/>
  <c r="AD152" i="1"/>
  <c r="AD153" i="1"/>
  <c r="AD154" i="1" s="1"/>
  <c r="AB244" i="1"/>
  <c r="AB245" i="1" s="1"/>
  <c r="AB243" i="1"/>
  <c r="AI320" i="1"/>
  <c r="AI20" i="1" s="1"/>
  <c r="AG320" i="1"/>
  <c r="AG20" i="1" s="1"/>
  <c r="AE320" i="1"/>
  <c r="AE20" i="1" s="1"/>
  <c r="AC320" i="1"/>
  <c r="AC20" i="1" s="1"/>
  <c r="AA320" i="1"/>
  <c r="AA20" i="1" s="1"/>
  <c r="K318" i="1"/>
  <c r="AH318" i="1"/>
  <c r="J318" i="1"/>
  <c r="AF318" i="1"/>
  <c r="I318" i="1"/>
  <c r="AD318" i="1"/>
  <c r="AB318" i="1"/>
  <c r="AI317" i="1"/>
  <c r="AG317" i="1"/>
  <c r="AG8" i="1" s="1"/>
  <c r="AE317" i="1"/>
  <c r="AC317" i="1"/>
  <c r="J310" i="1"/>
  <c r="K310" i="1"/>
  <c r="AH310" i="1"/>
  <c r="K309" i="1"/>
  <c r="AI308" i="1"/>
  <c r="K305" i="1"/>
  <c r="AH305" i="1"/>
  <c r="K304" i="1"/>
  <c r="AI303" i="1"/>
  <c r="G340" i="1"/>
  <c r="G9" i="1" s="1"/>
  <c r="Z340" i="1"/>
  <c r="Z9" i="1" s="1"/>
  <c r="F340" i="1"/>
  <c r="F9" i="1" s="1"/>
  <c r="X340" i="1"/>
  <c r="X9" i="1" s="1"/>
  <c r="W340" i="1"/>
  <c r="W9" i="1" s="1"/>
  <c r="U340" i="1"/>
  <c r="U9" i="1" s="1"/>
  <c r="AD198" i="1"/>
  <c r="AE198" i="1"/>
  <c r="I198" i="1"/>
  <c r="H198" i="1"/>
  <c r="S197" i="1"/>
  <c r="C197" i="1"/>
  <c r="T197" i="1"/>
  <c r="D197" i="1"/>
  <c r="V197" i="1"/>
  <c r="E197" i="1"/>
  <c r="X197" i="1"/>
  <c r="F197" i="1"/>
  <c r="Z197" i="1"/>
  <c r="G197" i="1"/>
  <c r="AB197" i="1"/>
  <c r="H197" i="1"/>
  <c r="AD197" i="1"/>
  <c r="I197" i="1"/>
  <c r="J197" i="1"/>
  <c r="J194" i="1" s="1"/>
  <c r="J12" i="1" s="1"/>
  <c r="AH197" i="1"/>
  <c r="K197" i="1"/>
  <c r="BY122" i="13" s="1"/>
  <c r="R197" i="1"/>
  <c r="AB135" i="1"/>
  <c r="H135" i="1"/>
  <c r="AD135" i="1"/>
  <c r="I135" i="1"/>
  <c r="AF135" i="1"/>
  <c r="J135" i="1"/>
  <c r="AH135" i="1"/>
  <c r="K135" i="1"/>
  <c r="G135" i="1"/>
  <c r="AB140" i="1"/>
  <c r="H140" i="1"/>
  <c r="AD140" i="1"/>
  <c r="I140" i="1"/>
  <c r="AF140" i="1"/>
  <c r="J140" i="1"/>
  <c r="AH140" i="1"/>
  <c r="K140" i="1"/>
  <c r="L141" i="1" s="1"/>
  <c r="G140" i="1"/>
  <c r="K139" i="1"/>
  <c r="AH139" i="1"/>
  <c r="J139" i="1"/>
  <c r="AF139" i="1"/>
  <c r="I139" i="1"/>
  <c r="AD139" i="1"/>
  <c r="H139" i="1"/>
  <c r="K134" i="1"/>
  <c r="AH134" i="1"/>
  <c r="J134" i="1"/>
  <c r="AF134" i="1"/>
  <c r="I134" i="1"/>
  <c r="AD134" i="1"/>
  <c r="H134" i="1"/>
  <c r="AH296" i="1"/>
  <c r="AJ296" i="1" s="1"/>
  <c r="AJ294" i="1" s="1"/>
  <c r="K296" i="1"/>
  <c r="L296" i="1" s="1"/>
  <c r="J296" i="1"/>
  <c r="K295" i="1"/>
  <c r="K274" i="1"/>
  <c r="AI203" i="1"/>
  <c r="R235" i="1"/>
  <c r="S235" i="1"/>
  <c r="C235" i="1"/>
  <c r="T235" i="1"/>
  <c r="D235" i="1"/>
  <c r="V235" i="1"/>
  <c r="E235" i="1"/>
  <c r="X235" i="1"/>
  <c r="F235" i="1"/>
  <c r="Z235" i="1"/>
  <c r="G235" i="1"/>
  <c r="AB235" i="1"/>
  <c r="H235" i="1"/>
  <c r="AD235" i="1"/>
  <c r="I235" i="1"/>
  <c r="AF235" i="1"/>
  <c r="J235" i="1"/>
  <c r="AH235" i="1"/>
  <c r="K235" i="1"/>
  <c r="K234" i="1"/>
  <c r="AH234" i="1"/>
  <c r="J234" i="1"/>
  <c r="AF234" i="1"/>
  <c r="I234" i="1"/>
  <c r="AD234" i="1"/>
  <c r="H234" i="1"/>
  <c r="AB234" i="1"/>
  <c r="G234" i="1"/>
  <c r="Z234" i="1"/>
  <c r="F234" i="1"/>
  <c r="X234" i="1"/>
  <c r="E234" i="1"/>
  <c r="V234" i="1"/>
  <c r="D234" i="1"/>
  <c r="T234" i="1"/>
  <c r="AI233" i="1"/>
  <c r="AI202" i="1" s="1"/>
  <c r="AG233" i="1"/>
  <c r="AG202" i="1" s="1"/>
  <c r="AG201" i="1" s="1"/>
  <c r="AG24" i="1" s="1"/>
  <c r="AE233" i="1"/>
  <c r="AC233" i="1"/>
  <c r="AC24" i="1" s="1"/>
  <c r="AA233" i="1"/>
  <c r="Y233" i="1"/>
  <c r="Y238" i="1" s="1"/>
  <c r="W233" i="1"/>
  <c r="W242" i="1" s="1"/>
  <c r="U233" i="1"/>
  <c r="AC228" i="1"/>
  <c r="AC223" i="1"/>
  <c r="J213" i="1"/>
  <c r="E213" i="1"/>
  <c r="W213" i="1" s="1"/>
  <c r="F213" i="1"/>
  <c r="Z213" i="1"/>
  <c r="Z214" i="1" s="1"/>
  <c r="G213" i="1"/>
  <c r="AB213" i="1"/>
  <c r="H213" i="1"/>
  <c r="AD213" i="1"/>
  <c r="I213" i="1"/>
  <c r="AF213" i="1"/>
  <c r="AH213" i="1"/>
  <c r="K213" i="1"/>
  <c r="AF209" i="1"/>
  <c r="K208" i="1"/>
  <c r="K211" i="1" s="1"/>
  <c r="AH208" i="1"/>
  <c r="AH211" i="1" s="1"/>
  <c r="J208" i="1"/>
  <c r="J211" i="1" s="1"/>
  <c r="AF208" i="1"/>
  <c r="I208" i="1"/>
  <c r="I211" i="1" s="1"/>
  <c r="AD208" i="1"/>
  <c r="AD211" i="1" s="1"/>
  <c r="H208" i="1"/>
  <c r="H211" i="1" s="1"/>
  <c r="AB208" i="1"/>
  <c r="AB211" i="1" s="1"/>
  <c r="G208" i="1"/>
  <c r="G211" i="1" s="1"/>
  <c r="Z208" i="1"/>
  <c r="Z211" i="1" s="1"/>
  <c r="F208" i="1"/>
  <c r="F211" i="1" s="1"/>
  <c r="X208" i="1"/>
  <c r="X211" i="1" s="1"/>
  <c r="E208" i="1"/>
  <c r="E211" i="1" s="1"/>
  <c r="V208" i="1"/>
  <c r="V211" i="1" s="1"/>
  <c r="D208" i="1"/>
  <c r="D211" i="1" s="1"/>
  <c r="T208" i="1"/>
  <c r="T211" i="1" s="1"/>
  <c r="R145" i="1"/>
  <c r="C145" i="1"/>
  <c r="D145" i="1"/>
  <c r="V145" i="1"/>
  <c r="E145" i="1"/>
  <c r="X145" i="1"/>
  <c r="F145" i="1"/>
  <c r="Z145" i="1"/>
  <c r="G145" i="1"/>
  <c r="AB145" i="1"/>
  <c r="H145" i="1"/>
  <c r="AD145" i="1"/>
  <c r="I145" i="1"/>
  <c r="AF145" i="1"/>
  <c r="J145" i="1"/>
  <c r="AH145" i="1"/>
  <c r="K145" i="1"/>
  <c r="T145" i="1"/>
  <c r="K144" i="1"/>
  <c r="AH144" i="1"/>
  <c r="J144" i="1"/>
  <c r="AF144" i="1"/>
  <c r="I144" i="1"/>
  <c r="AD144" i="1"/>
  <c r="H144" i="1"/>
  <c r="AB144" i="1"/>
  <c r="G144" i="1"/>
  <c r="Z144" i="1"/>
  <c r="F144" i="1"/>
  <c r="X144" i="1"/>
  <c r="E144" i="1"/>
  <c r="V144" i="1"/>
  <c r="D144" i="1"/>
  <c r="T144" i="1"/>
  <c r="R123" i="1"/>
  <c r="T123" i="1"/>
  <c r="C123" i="1"/>
  <c r="V123" i="1"/>
  <c r="D123" i="1"/>
  <c r="X123" i="1"/>
  <c r="E123" i="1"/>
  <c r="Z123" i="1"/>
  <c r="F123" i="1"/>
  <c r="AB123" i="1"/>
  <c r="G123" i="1"/>
  <c r="AD123" i="1"/>
  <c r="H123" i="1"/>
  <c r="AF123" i="1"/>
  <c r="I123" i="1"/>
  <c r="AH123" i="1"/>
  <c r="J123" i="1"/>
  <c r="K123" i="1"/>
  <c r="L124" i="1" s="1"/>
  <c r="H111" i="1"/>
  <c r="AD111" i="1"/>
  <c r="I111" i="1"/>
  <c r="AF111" i="1"/>
  <c r="J111" i="1"/>
  <c r="AH111" i="1"/>
  <c r="AJ111" i="1" s="1"/>
  <c r="AJ109" i="1" s="1"/>
  <c r="AJ110" i="1" s="1"/>
  <c r="K111" i="1"/>
  <c r="AB111" i="1"/>
  <c r="C83" i="1"/>
  <c r="T83" i="1"/>
  <c r="D83" i="1"/>
  <c r="V83" i="1"/>
  <c r="X83" i="1"/>
  <c r="Z83" i="1"/>
  <c r="G83" i="1"/>
  <c r="AB83" i="1"/>
  <c r="H83" i="1"/>
  <c r="AD83" i="1"/>
  <c r="I83" i="1"/>
  <c r="AF83" i="1"/>
  <c r="J83" i="1"/>
  <c r="AH83" i="1"/>
  <c r="R83" i="1"/>
  <c r="I54" i="1"/>
  <c r="AF54" i="1"/>
  <c r="J54" i="1"/>
  <c r="AH54" i="1"/>
  <c r="AJ55" i="1" s="1"/>
  <c r="K54" i="1"/>
  <c r="L55" i="1" s="1"/>
  <c r="K53" i="1"/>
  <c r="AH53" i="1"/>
  <c r="J53" i="1"/>
  <c r="AD52" i="1"/>
  <c r="H52" i="1"/>
  <c r="H54" i="1" s="1"/>
  <c r="G52" i="1"/>
  <c r="AB52" i="1"/>
  <c r="AB54" i="1" s="1"/>
  <c r="Z52" i="1"/>
  <c r="G49" i="1"/>
  <c r="AB49" i="1"/>
  <c r="H49" i="1"/>
  <c r="AD49" i="1"/>
  <c r="I49" i="1"/>
  <c r="AF49" i="1"/>
  <c r="J49" i="1"/>
  <c r="AH49" i="1"/>
  <c r="K49" i="1"/>
  <c r="Z49" i="1"/>
  <c r="Z50" i="1" s="1"/>
  <c r="C47" i="4"/>
  <c r="T47" i="4"/>
  <c r="D47" i="4"/>
  <c r="V47" i="4"/>
  <c r="E47" i="4"/>
  <c r="X47" i="4"/>
  <c r="F47" i="4"/>
  <c r="Z47" i="4"/>
  <c r="G47" i="4"/>
  <c r="AB47" i="4"/>
  <c r="AD47" i="4"/>
  <c r="I47" i="4"/>
  <c r="AF47" i="4"/>
  <c r="J47" i="4"/>
  <c r="AH47" i="4"/>
  <c r="K47" i="4"/>
  <c r="C39" i="4"/>
  <c r="R39" i="4"/>
  <c r="K38" i="4"/>
  <c r="AH38" i="4"/>
  <c r="J38" i="4"/>
  <c r="AF38" i="4"/>
  <c r="I38" i="4"/>
  <c r="AD38" i="4"/>
  <c r="H38" i="4"/>
  <c r="AB38" i="4"/>
  <c r="G38" i="4"/>
  <c r="Z38" i="4"/>
  <c r="F38" i="4"/>
  <c r="X38" i="4"/>
  <c r="E38" i="4"/>
  <c r="V38" i="4"/>
  <c r="D38" i="4"/>
  <c r="T38" i="4"/>
  <c r="C33" i="4"/>
  <c r="R33" i="4"/>
  <c r="K32" i="4"/>
  <c r="AH32" i="4"/>
  <c r="J32" i="4"/>
  <c r="AF32" i="4"/>
  <c r="I32" i="4"/>
  <c r="AD32" i="4"/>
  <c r="H32" i="4"/>
  <c r="AB32" i="4"/>
  <c r="G32" i="4"/>
  <c r="Z32" i="4"/>
  <c r="F32" i="4"/>
  <c r="X32" i="4"/>
  <c r="E32" i="4"/>
  <c r="V32" i="4"/>
  <c r="D32" i="4"/>
  <c r="T32" i="4"/>
  <c r="X26" i="4"/>
  <c r="V26" i="4"/>
  <c r="T26" i="4"/>
  <c r="C21" i="4"/>
  <c r="R21" i="4"/>
  <c r="K20" i="4"/>
  <c r="AH20" i="4"/>
  <c r="J20" i="4"/>
  <c r="AF20" i="4"/>
  <c r="I20" i="4"/>
  <c r="AD20" i="4"/>
  <c r="H20" i="4"/>
  <c r="AB20" i="4"/>
  <c r="G20" i="4"/>
  <c r="Z20" i="4"/>
  <c r="AD19" i="4"/>
  <c r="H17" i="4"/>
  <c r="G17" i="4"/>
  <c r="AH16" i="4"/>
  <c r="V17" i="4"/>
  <c r="X17" i="4"/>
  <c r="F20" i="4"/>
  <c r="X20" i="4"/>
  <c r="E20" i="4"/>
  <c r="V20" i="4"/>
  <c r="D20" i="4"/>
  <c r="T20" i="4"/>
  <c r="F17" i="4"/>
  <c r="E17" i="4"/>
  <c r="D17" i="4"/>
  <c r="C11" i="4"/>
  <c r="R11" i="4"/>
  <c r="Z9" i="4"/>
  <c r="K11" i="4"/>
  <c r="AH9" i="4"/>
  <c r="J11" i="4"/>
  <c r="AF9" i="4"/>
  <c r="AD9" i="4"/>
  <c r="AB9" i="4"/>
  <c r="F11" i="4"/>
  <c r="X9" i="4"/>
  <c r="V9" i="4"/>
  <c r="D11" i="4"/>
  <c r="T9" i="4"/>
  <c r="AH37" i="1"/>
  <c r="J37" i="1"/>
  <c r="AF37" i="1"/>
  <c r="I37" i="1"/>
  <c r="AD37" i="1"/>
  <c r="H37" i="1"/>
  <c r="AB37" i="1"/>
  <c r="H245" i="1" l="1"/>
  <c r="F33" i="4"/>
  <c r="F39" i="4"/>
  <c r="AD49" i="4"/>
  <c r="E49" i="4"/>
  <c r="AB17" i="4"/>
  <c r="AB16" i="4" s="1"/>
  <c r="Z33" i="4"/>
  <c r="T39" i="4"/>
  <c r="Z39" i="4"/>
  <c r="AF39" i="4"/>
  <c r="K49" i="4"/>
  <c r="O36" i="11" s="1"/>
  <c r="AB49" i="4"/>
  <c r="V49" i="4"/>
  <c r="AH17" i="4"/>
  <c r="X65" i="4"/>
  <c r="X66" i="4" s="1"/>
  <c r="Y66" i="4" s="1"/>
  <c r="Y8" i="3" s="1"/>
  <c r="D39" i="4"/>
  <c r="G39" i="4"/>
  <c r="AH49" i="4"/>
  <c r="G49" i="4"/>
  <c r="D49" i="4"/>
  <c r="Z17" i="4"/>
  <c r="Z16" i="4" s="1"/>
  <c r="AB33" i="4"/>
  <c r="J49" i="4"/>
  <c r="N36" i="11" s="1"/>
  <c r="T49" i="4"/>
  <c r="AF11" i="4"/>
  <c r="V11" i="4"/>
  <c r="L20" i="4"/>
  <c r="X11" i="4"/>
  <c r="D33" i="4"/>
  <c r="AH39" i="4"/>
  <c r="AB11" i="4"/>
  <c r="Z11" i="4"/>
  <c r="T65" i="4"/>
  <c r="T66" i="4" s="1"/>
  <c r="E33" i="4"/>
  <c r="L32" i="4"/>
  <c r="E39" i="4"/>
  <c r="H39" i="4"/>
  <c r="L38" i="4"/>
  <c r="AF49" i="4"/>
  <c r="F49" i="4"/>
  <c r="C49" i="4"/>
  <c r="AH11" i="4"/>
  <c r="V39" i="4"/>
  <c r="AB39" i="4"/>
  <c r="Z49" i="4"/>
  <c r="T11" i="4"/>
  <c r="AD11" i="4"/>
  <c r="V65" i="4"/>
  <c r="V66" i="4" s="1"/>
  <c r="V8" i="3" s="1"/>
  <c r="X39" i="4"/>
  <c r="AD39" i="4"/>
  <c r="I49" i="4"/>
  <c r="M36" i="11" s="1"/>
  <c r="X49" i="4"/>
  <c r="N42" i="11"/>
  <c r="M42" i="11"/>
  <c r="O42" i="11"/>
  <c r="N18" i="11"/>
  <c r="N17" i="11" s="1"/>
  <c r="O18" i="11"/>
  <c r="O17" i="11" s="1"/>
  <c r="M62" i="1"/>
  <c r="L382" i="1"/>
  <c r="K238" i="1"/>
  <c r="K385" i="1" s="1"/>
  <c r="K388" i="1" s="1"/>
  <c r="D49" i="6" s="1"/>
  <c r="J239" i="1"/>
  <c r="L63" i="1"/>
  <c r="F18" i="11"/>
  <c r="W214" i="1"/>
  <c r="AH12" i="1"/>
  <c r="BL122" i="13"/>
  <c r="BN129" i="13" s="1"/>
  <c r="BN39" i="13" s="1"/>
  <c r="BK7" i="13"/>
  <c r="BY9" i="13"/>
  <c r="I26" i="11"/>
  <c r="AK321" i="1"/>
  <c r="AD50" i="1"/>
  <c r="AF112" i="1"/>
  <c r="AF146" i="1"/>
  <c r="Z146" i="1"/>
  <c r="M296" i="1"/>
  <c r="L294" i="1"/>
  <c r="AJ203" i="1"/>
  <c r="AJ295" i="1"/>
  <c r="AI204" i="1"/>
  <c r="AI24" i="1" s="1"/>
  <c r="AI8" i="1"/>
  <c r="AK318" i="1"/>
  <c r="N20" i="1"/>
  <c r="N321" i="1"/>
  <c r="P322" i="1"/>
  <c r="P320" i="1" s="1"/>
  <c r="O320" i="1"/>
  <c r="W43" i="3"/>
  <c r="F40" i="3"/>
  <c r="X40" i="3"/>
  <c r="X43" i="3" s="1"/>
  <c r="O184" i="1"/>
  <c r="O10" i="1"/>
  <c r="O124" i="1"/>
  <c r="J17" i="11"/>
  <c r="AH141" i="1"/>
  <c r="I136" i="1"/>
  <c r="P140" i="1"/>
  <c r="P141" i="1" s="1"/>
  <c r="P183" i="1"/>
  <c r="P123" i="1"/>
  <c r="P177" i="1"/>
  <c r="P178" i="1" s="1"/>
  <c r="AD146" i="1"/>
  <c r="X146" i="1"/>
  <c r="AF211" i="1"/>
  <c r="X236" i="1"/>
  <c r="AF141" i="1"/>
  <c r="AF50" i="1"/>
  <c r="AD236" i="1"/>
  <c r="K55" i="1"/>
  <c r="K311" i="1"/>
  <c r="K136" i="1"/>
  <c r="J50" i="1"/>
  <c r="I55" i="1"/>
  <c r="T236" i="1"/>
  <c r="I112" i="1"/>
  <c r="I146" i="1"/>
  <c r="F146" i="1"/>
  <c r="I236" i="1"/>
  <c r="F236" i="1"/>
  <c r="J141" i="1"/>
  <c r="AD136" i="1"/>
  <c r="I50" i="1"/>
  <c r="AF236" i="1"/>
  <c r="Z236" i="1"/>
  <c r="AG238" i="1"/>
  <c r="J112" i="1"/>
  <c r="J146" i="1"/>
  <c r="G146" i="1"/>
  <c r="D146" i="1"/>
  <c r="J236" i="1"/>
  <c r="G236" i="1"/>
  <c r="D236" i="1"/>
  <c r="K141" i="1"/>
  <c r="H141" i="1"/>
  <c r="AF136" i="1"/>
  <c r="Z54" i="1"/>
  <c r="Z55" i="1" s="1"/>
  <c r="Z53" i="1"/>
  <c r="G54" i="1"/>
  <c r="G53" i="1"/>
  <c r="T146" i="1"/>
  <c r="K297" i="1"/>
  <c r="H136" i="1"/>
  <c r="K146" i="1"/>
  <c r="H146" i="1"/>
  <c r="E146" i="1"/>
  <c r="K236" i="1"/>
  <c r="H236" i="1"/>
  <c r="E236" i="1"/>
  <c r="I141" i="1"/>
  <c r="AH136" i="1"/>
  <c r="AH146" i="1"/>
  <c r="AB146" i="1"/>
  <c r="V146" i="1"/>
  <c r="AH236" i="1"/>
  <c r="AB236" i="1"/>
  <c r="V236" i="1"/>
  <c r="AD141" i="1"/>
  <c r="J136" i="1"/>
  <c r="AH151" i="1"/>
  <c r="AH152" i="1" s="1"/>
  <c r="AI148" i="1"/>
  <c r="AD112" i="1"/>
  <c r="AI305" i="1"/>
  <c r="AI199" i="1"/>
  <c r="BM124" i="13" s="1"/>
  <c r="AL124" i="13" s="1"/>
  <c r="AL131" i="13" s="1"/>
  <c r="K50" i="1"/>
  <c r="H50" i="1"/>
  <c r="AH55" i="1"/>
  <c r="K112" i="1"/>
  <c r="AH50" i="1"/>
  <c r="AB50" i="1"/>
  <c r="J55" i="1"/>
  <c r="AH112" i="1"/>
  <c r="K195" i="1"/>
  <c r="K12" i="1"/>
  <c r="K124" i="1"/>
  <c r="V124" i="1"/>
  <c r="H214" i="1"/>
  <c r="I124" i="1"/>
  <c r="F124" i="1"/>
  <c r="AB214" i="1"/>
  <c r="Z124" i="1"/>
  <c r="T124" i="1"/>
  <c r="AH214" i="1"/>
  <c r="G214" i="1"/>
  <c r="J214" i="1"/>
  <c r="H124" i="1"/>
  <c r="E124" i="1"/>
  <c r="AF214" i="1"/>
  <c r="I214" i="1"/>
  <c r="Y213" i="1"/>
  <c r="F214" i="1"/>
  <c r="K214" i="1"/>
  <c r="AD214" i="1"/>
  <c r="AH128" i="1"/>
  <c r="AH124" i="1"/>
  <c r="AB128" i="1"/>
  <c r="AB130" i="1" s="1"/>
  <c r="AB124" i="1"/>
  <c r="AF128" i="1"/>
  <c r="AF130" i="1" s="1"/>
  <c r="AF124" i="1"/>
  <c r="AD128" i="1"/>
  <c r="AD130" i="1" s="1"/>
  <c r="AD124" i="1"/>
  <c r="X124" i="1"/>
  <c r="J124" i="1"/>
  <c r="G124" i="1"/>
  <c r="D124" i="1"/>
  <c r="AD38" i="1"/>
  <c r="I38" i="1"/>
  <c r="AF38" i="1"/>
  <c r="J38" i="1"/>
  <c r="AH38" i="1"/>
  <c r="AF242" i="1"/>
  <c r="AA242" i="1"/>
  <c r="AD244" i="1"/>
  <c r="AD245" i="1" s="1"/>
  <c r="U24" i="1"/>
  <c r="U242" i="1"/>
  <c r="W243" i="1" s="1"/>
  <c r="I243" i="1"/>
  <c r="I244" i="1"/>
  <c r="AF152" i="1"/>
  <c r="AF153" i="1"/>
  <c r="AF154" i="1" s="1"/>
  <c r="Y243" i="1"/>
  <c r="W238" i="1"/>
  <c r="J242" i="1"/>
  <c r="X27" i="4"/>
  <c r="X33" i="4" s="1"/>
  <c r="T27" i="4"/>
  <c r="T33" i="4" s="1"/>
  <c r="S123" i="1"/>
  <c r="S125" i="1" s="1"/>
  <c r="U123" i="1"/>
  <c r="U125" i="1" s="1"/>
  <c r="H218" i="1"/>
  <c r="H220" i="1" s="1"/>
  <c r="AC213" i="1"/>
  <c r="AB218" i="1"/>
  <c r="AB220" i="1" s="1"/>
  <c r="AH218" i="1"/>
  <c r="G218" i="1"/>
  <c r="G220" i="1" s="1"/>
  <c r="AA213" i="1"/>
  <c r="AF218" i="1"/>
  <c r="AF220" i="1" s="1"/>
  <c r="J218" i="1"/>
  <c r="J220" i="1" s="1"/>
  <c r="AG213" i="1"/>
  <c r="K218" i="1"/>
  <c r="AI213" i="1"/>
  <c r="I218" i="1"/>
  <c r="AE213" i="1"/>
  <c r="AD218" i="1"/>
  <c r="AE37" i="1"/>
  <c r="AG37" i="1"/>
  <c r="K128" i="1"/>
  <c r="L129" i="1" s="1"/>
  <c r="AI123" i="1"/>
  <c r="AC37" i="1"/>
  <c r="J128" i="1"/>
  <c r="J130" i="1" s="1"/>
  <c r="AG123" i="1"/>
  <c r="G128" i="1"/>
  <c r="G130" i="1" s="1"/>
  <c r="AA123" i="1"/>
  <c r="AA125" i="1" s="1"/>
  <c r="I128" i="1"/>
  <c r="I130" i="1" s="1"/>
  <c r="AE123" i="1"/>
  <c r="Y123" i="1"/>
  <c r="Y125" i="1" s="1"/>
  <c r="H128" i="1"/>
  <c r="H130" i="1" s="1"/>
  <c r="AC123" i="1"/>
  <c r="W123" i="1"/>
  <c r="W125" i="1" s="1"/>
  <c r="J39" i="4"/>
  <c r="H84" i="1"/>
  <c r="K84" i="1"/>
  <c r="D84" i="1"/>
  <c r="I39" i="4"/>
  <c r="I21" i="4"/>
  <c r="R23" i="4"/>
  <c r="V33" i="4"/>
  <c r="R41" i="4"/>
  <c r="E21" i="4"/>
  <c r="C23" i="4"/>
  <c r="C41" i="4"/>
  <c r="K39" i="4"/>
  <c r="F21" i="4"/>
  <c r="F23" i="4" s="1"/>
  <c r="T17" i="4"/>
  <c r="AF42" i="1"/>
  <c r="AF44" i="1" s="1"/>
  <c r="J42" i="1"/>
  <c r="J44" i="1" s="1"/>
  <c r="AE202" i="1"/>
  <c r="AE24" i="1"/>
  <c r="AB42" i="1"/>
  <c r="AB44" i="1" s="1"/>
  <c r="AH42" i="1"/>
  <c r="H42" i="1"/>
  <c r="H44" i="1" s="1"/>
  <c r="W202" i="1"/>
  <c r="W24" i="1"/>
  <c r="I42" i="1"/>
  <c r="I44" i="1" s="1"/>
  <c r="AD42" i="1"/>
  <c r="AD44" i="1" s="1"/>
  <c r="Y202" i="1"/>
  <c r="Y24" i="1"/>
  <c r="AA202" i="1"/>
  <c r="AA24" i="1"/>
  <c r="AE224" i="1"/>
  <c r="AE229" i="1"/>
  <c r="AI326" i="1"/>
  <c r="U234" i="1"/>
  <c r="U202" i="1"/>
  <c r="AC234" i="1"/>
  <c r="AC202" i="1"/>
  <c r="AC325" i="1"/>
  <c r="AC8" i="1"/>
  <c r="AE325" i="1"/>
  <c r="AE8" i="1"/>
  <c r="AG234" i="1"/>
  <c r="Y234" i="1"/>
  <c r="AI310" i="1"/>
  <c r="H53" i="1"/>
  <c r="I53" i="1"/>
  <c r="AI318" i="1"/>
  <c r="T84" i="1"/>
  <c r="AD84" i="1"/>
  <c r="V84" i="1"/>
  <c r="AE322" i="1"/>
  <c r="AE321" i="1"/>
  <c r="AG321" i="1"/>
  <c r="AG322" i="1"/>
  <c r="AI321" i="1"/>
  <c r="AI322" i="1"/>
  <c r="AK323" i="1" s="1"/>
  <c r="AA234" i="1"/>
  <c r="AE318" i="1"/>
  <c r="AG318" i="1"/>
  <c r="AC321" i="1"/>
  <c r="AC322" i="1"/>
  <c r="G33" i="4"/>
  <c r="Z84" i="1"/>
  <c r="AE234" i="1"/>
  <c r="I84" i="1"/>
  <c r="E11" i="4"/>
  <c r="D21" i="4"/>
  <c r="D23" i="4" s="1"/>
  <c r="I33" i="4"/>
  <c r="H47" i="4"/>
  <c r="AB53" i="1"/>
  <c r="Y340" i="1"/>
  <c r="W234" i="1"/>
  <c r="AI234" i="1"/>
  <c r="H33" i="4"/>
  <c r="AH84" i="1"/>
  <c r="AA340" i="1"/>
  <c r="J84" i="1"/>
  <c r="H21" i="4"/>
  <c r="AD53" i="1"/>
  <c r="AD54" i="1"/>
  <c r="AD55" i="1" s="1"/>
  <c r="AF53" i="1"/>
  <c r="X84" i="1"/>
  <c r="AB84" i="1"/>
  <c r="AF84" i="1"/>
  <c r="J33" i="4"/>
  <c r="AF33" i="4"/>
  <c r="AD33" i="4"/>
  <c r="V21" i="4"/>
  <c r="J21" i="4"/>
  <c r="I11" i="4"/>
  <c r="X21" i="4"/>
  <c r="K21" i="4"/>
  <c r="G21" i="4"/>
  <c r="G11" i="4"/>
  <c r="H11" i="4"/>
  <c r="AD17" i="4"/>
  <c r="AD16" i="4" s="1"/>
  <c r="W66" i="4" l="1"/>
  <c r="W8" i="3" s="1"/>
  <c r="I245" i="1"/>
  <c r="L21" i="4"/>
  <c r="M20" i="4"/>
  <c r="AH21" i="4"/>
  <c r="AH23" i="4" s="1"/>
  <c r="Z21" i="4"/>
  <c r="Z23" i="4" s="1"/>
  <c r="F41" i="4"/>
  <c r="E41" i="4"/>
  <c r="AB21" i="4"/>
  <c r="AB23" i="4" s="1"/>
  <c r="X8" i="3"/>
  <c r="L39" i="4"/>
  <c r="Z41" i="4"/>
  <c r="M38" i="4"/>
  <c r="V23" i="4"/>
  <c r="AB41" i="4"/>
  <c r="M32" i="4"/>
  <c r="X23" i="4"/>
  <c r="D41" i="4"/>
  <c r="V41" i="4"/>
  <c r="H49" i="4"/>
  <c r="AD21" i="4"/>
  <c r="AD23" i="4" s="1"/>
  <c r="G41" i="4"/>
  <c r="AD41" i="4"/>
  <c r="T41" i="4"/>
  <c r="AF41" i="4"/>
  <c r="H41" i="4"/>
  <c r="T21" i="4"/>
  <c r="T23" i="4" s="1"/>
  <c r="X41" i="4"/>
  <c r="N27" i="11"/>
  <c r="N26" i="11" s="1"/>
  <c r="O31" i="11"/>
  <c r="O30" i="11" s="1"/>
  <c r="M27" i="11"/>
  <c r="M26" i="11" s="1"/>
  <c r="M23" i="11"/>
  <c r="M22" i="11" s="1"/>
  <c r="N31" i="11"/>
  <c r="N30" i="11" s="1"/>
  <c r="M31" i="11"/>
  <c r="M30" i="11" s="1"/>
  <c r="M18" i="11"/>
  <c r="M17" i="11" s="1"/>
  <c r="N62" i="1"/>
  <c r="M382" i="1"/>
  <c r="L238" i="1"/>
  <c r="K239" i="1"/>
  <c r="AJ239" i="1"/>
  <c r="AH239" i="1"/>
  <c r="M63" i="1"/>
  <c r="BL9" i="13"/>
  <c r="BN27" i="13" s="1"/>
  <c r="Y214" i="1"/>
  <c r="AJ214" i="1"/>
  <c r="BY18" i="13"/>
  <c r="BY27" i="13"/>
  <c r="BL25" i="13"/>
  <c r="P23" i="11"/>
  <c r="P22" i="11" s="1"/>
  <c r="BK25" i="13"/>
  <c r="BI7" i="13"/>
  <c r="BI25" i="13" s="1"/>
  <c r="BM7" i="13"/>
  <c r="BG7" i="13"/>
  <c r="BH25" i="13" s="1"/>
  <c r="G18" i="11"/>
  <c r="BZ9" i="13"/>
  <c r="J26" i="11"/>
  <c r="J23" i="4"/>
  <c r="N23" i="11"/>
  <c r="N22" i="11" s="1"/>
  <c r="K23" i="4"/>
  <c r="O23" i="11"/>
  <c r="O22" i="11" s="1"/>
  <c r="U126" i="1"/>
  <c r="Y126" i="1"/>
  <c r="J45" i="1"/>
  <c r="I45" i="1"/>
  <c r="W126" i="1"/>
  <c r="AA126" i="1"/>
  <c r="K220" i="1"/>
  <c r="K221" i="1" s="1"/>
  <c r="AH220" i="1"/>
  <c r="AH221" i="1" s="1"/>
  <c r="AH242" i="1"/>
  <c r="AH244" i="1" s="1"/>
  <c r="O321" i="1"/>
  <c r="O20" i="1"/>
  <c r="P20" i="1"/>
  <c r="P321" i="1"/>
  <c r="L295" i="1"/>
  <c r="AK294" i="1"/>
  <c r="L203" i="1"/>
  <c r="M294" i="1"/>
  <c r="N296" i="1"/>
  <c r="F43" i="3"/>
  <c r="Y40" i="3"/>
  <c r="P124" i="1"/>
  <c r="P10" i="1"/>
  <c r="P184" i="1"/>
  <c r="AH130" i="1"/>
  <c r="AH131" i="1" s="1"/>
  <c r="K130" i="1"/>
  <c r="AH44" i="1"/>
  <c r="AJ42" i="1"/>
  <c r="AE323" i="1"/>
  <c r="K242" i="1"/>
  <c r="K244" i="1" s="1"/>
  <c r="AI238" i="1"/>
  <c r="AH153" i="1"/>
  <c r="AH154" i="1" s="1"/>
  <c r="AB55" i="1"/>
  <c r="J131" i="1"/>
  <c r="H221" i="1"/>
  <c r="AI323" i="1"/>
  <c r="I131" i="1"/>
  <c r="AA214" i="1"/>
  <c r="H55" i="1"/>
  <c r="AG323" i="1"/>
  <c r="AF55" i="1"/>
  <c r="AD131" i="1"/>
  <c r="H131" i="1"/>
  <c r="AF131" i="1"/>
  <c r="Y124" i="1"/>
  <c r="U66" i="4"/>
  <c r="U8" i="3" s="1"/>
  <c r="T8" i="3"/>
  <c r="AG214" i="1"/>
  <c r="AE214" i="1"/>
  <c r="AI214" i="1"/>
  <c r="AC218" i="1"/>
  <c r="AC214" i="1"/>
  <c r="AE124" i="1"/>
  <c r="AH129" i="1"/>
  <c r="AI124" i="1"/>
  <c r="W124" i="1"/>
  <c r="AA124" i="1"/>
  <c r="AC124" i="1"/>
  <c r="AG38" i="1"/>
  <c r="AF129" i="1"/>
  <c r="AD129" i="1"/>
  <c r="AG124" i="1"/>
  <c r="U124" i="1"/>
  <c r="AE38" i="1"/>
  <c r="AC242" i="1"/>
  <c r="AA243" i="1"/>
  <c r="J244" i="1"/>
  <c r="J243" i="1"/>
  <c r="U238" i="1"/>
  <c r="U243" i="1"/>
  <c r="AF244" i="1"/>
  <c r="AF245" i="1" s="1"/>
  <c r="AF243" i="1"/>
  <c r="J41" i="4"/>
  <c r="I219" i="1"/>
  <c r="J219" i="1"/>
  <c r="H219" i="1"/>
  <c r="H129" i="1"/>
  <c r="I220" i="1"/>
  <c r="I221" i="1" s="1"/>
  <c r="AD219" i="1"/>
  <c r="AD220" i="1"/>
  <c r="AD221" i="1" s="1"/>
  <c r="K219" i="1"/>
  <c r="AF219" i="1"/>
  <c r="AE218" i="1"/>
  <c r="AG218" i="1"/>
  <c r="AH219" i="1"/>
  <c r="AI218" i="1"/>
  <c r="K129" i="1"/>
  <c r="J129" i="1"/>
  <c r="I129" i="1"/>
  <c r="J43" i="1"/>
  <c r="AH43" i="1"/>
  <c r="AF43" i="1"/>
  <c r="I43" i="1"/>
  <c r="C50" i="4"/>
  <c r="I23" i="4"/>
  <c r="AD43" i="1"/>
  <c r="I41" i="4"/>
  <c r="R50" i="4"/>
  <c r="E23" i="4"/>
  <c r="H23" i="4"/>
  <c r="Y21" i="1"/>
  <c r="Y9" i="1"/>
  <c r="AA9" i="1"/>
  <c r="G23" i="4"/>
  <c r="AH33" i="4"/>
  <c r="J245" i="1" l="1"/>
  <c r="F50" i="4"/>
  <c r="M21" i="4"/>
  <c r="Q23" i="11" s="1"/>
  <c r="Q22" i="11" s="1"/>
  <c r="N20" i="4"/>
  <c r="Z50" i="4"/>
  <c r="P31" i="11"/>
  <c r="P30" i="11" s="1"/>
  <c r="M39" i="4"/>
  <c r="V50" i="4"/>
  <c r="N38" i="4"/>
  <c r="D50" i="4"/>
  <c r="AD50" i="4"/>
  <c r="N32" i="4"/>
  <c r="AB50" i="4"/>
  <c r="X50" i="4"/>
  <c r="T50" i="4"/>
  <c r="H50" i="4"/>
  <c r="AH41" i="4"/>
  <c r="G50" i="4"/>
  <c r="E50" i="4"/>
  <c r="M238" i="1"/>
  <c r="L385" i="1"/>
  <c r="L388" i="1" s="1"/>
  <c r="E49" i="6" s="1"/>
  <c r="O62" i="1"/>
  <c r="N382" i="1"/>
  <c r="N63" i="1"/>
  <c r="K131" i="1"/>
  <c r="L131" i="1"/>
  <c r="BZ18" i="13"/>
  <c r="BZ27" i="13"/>
  <c r="BO25" i="13"/>
  <c r="BM25" i="13"/>
  <c r="BG25" i="13"/>
  <c r="BJ25" i="13"/>
  <c r="J50" i="4"/>
  <c r="K243" i="1"/>
  <c r="AH243" i="1"/>
  <c r="O296" i="1"/>
  <c r="N294" i="1"/>
  <c r="M203" i="1"/>
  <c r="M295" i="1"/>
  <c r="AK295" i="1"/>
  <c r="AK296" i="1"/>
  <c r="AK297" i="1" s="1"/>
  <c r="AK203" i="1"/>
  <c r="Y43" i="3"/>
  <c r="Z40" i="3"/>
  <c r="Z43" i="3" s="1"/>
  <c r="G40" i="3"/>
  <c r="AJ44" i="1"/>
  <c r="AJ47" i="1"/>
  <c r="K245" i="1"/>
  <c r="AF221" i="1"/>
  <c r="AH245" i="1"/>
  <c r="J221" i="1"/>
  <c r="AE219" i="1"/>
  <c r="AC243" i="1"/>
  <c r="AE242" i="1"/>
  <c r="AG219" i="1"/>
  <c r="AI219" i="1"/>
  <c r="I50" i="4"/>
  <c r="K33" i="4"/>
  <c r="N39" i="4" l="1"/>
  <c r="O38" i="4"/>
  <c r="N21" i="4"/>
  <c r="R23" i="11" s="1"/>
  <c r="R22" i="11" s="1"/>
  <c r="O20" i="4"/>
  <c r="Q31" i="11"/>
  <c r="Q30" i="11" s="1"/>
  <c r="O32" i="4"/>
  <c r="AH50" i="4"/>
  <c r="P62" i="1"/>
  <c r="P382" i="1" s="1"/>
  <c r="O382" i="1"/>
  <c r="N238" i="1"/>
  <c r="M385" i="1"/>
  <c r="M388" i="1" s="1"/>
  <c r="F49" i="6" s="1"/>
  <c r="O63" i="1"/>
  <c r="K41" i="4"/>
  <c r="O27" i="11"/>
  <c r="O26" i="11" s="1"/>
  <c r="N203" i="1"/>
  <c r="N295" i="1"/>
  <c r="P296" i="1"/>
  <c r="P294" i="1" s="1"/>
  <c r="O294" i="1"/>
  <c r="G43" i="3"/>
  <c r="AA40" i="3"/>
  <c r="L186" i="1"/>
  <c r="L135" i="1"/>
  <c r="L136" i="1" s="1"/>
  <c r="L134" i="1"/>
  <c r="AJ57" i="1"/>
  <c r="AJ48" i="1"/>
  <c r="AJ49" i="1"/>
  <c r="AJ50" i="1" s="1"/>
  <c r="AI242" i="1"/>
  <c r="AG242" i="1"/>
  <c r="AF17" i="4"/>
  <c r="AF16" i="4" s="1"/>
  <c r="P38" i="4" l="1"/>
  <c r="R31" i="11"/>
  <c r="R30" i="11" s="1"/>
  <c r="O39" i="4"/>
  <c r="P20" i="4"/>
  <c r="O21" i="4"/>
  <c r="P32" i="4"/>
  <c r="K50" i="4"/>
  <c r="AF21" i="4"/>
  <c r="AF23" i="4" s="1"/>
  <c r="P39" i="4"/>
  <c r="P63" i="1"/>
  <c r="O238" i="1"/>
  <c r="N385" i="1"/>
  <c r="N388" i="1" s="1"/>
  <c r="G49" i="6" s="1"/>
  <c r="AJ201" i="1"/>
  <c r="AJ234" i="1"/>
  <c r="AJ236" i="1"/>
  <c r="AJ242" i="1"/>
  <c r="O203" i="1"/>
  <c r="O295" i="1"/>
  <c r="P295" i="1"/>
  <c r="P203" i="1"/>
  <c r="AA43" i="3"/>
  <c r="H40" i="3"/>
  <c r="AB40" i="3"/>
  <c r="AB43" i="3" s="1"/>
  <c r="L144" i="1"/>
  <c r="L190" i="1"/>
  <c r="L151" i="1"/>
  <c r="AJ19" i="1"/>
  <c r="AJ58" i="1"/>
  <c r="AJ59" i="1"/>
  <c r="AG243" i="1"/>
  <c r="AI243" i="1"/>
  <c r="R19" i="1"/>
  <c r="R26" i="1" s="1"/>
  <c r="R28" i="2" s="1"/>
  <c r="S19" i="1"/>
  <c r="C19" i="1"/>
  <c r="C26" i="1" s="1"/>
  <c r="C28" i="2" s="1"/>
  <c r="T19" i="1"/>
  <c r="T26" i="1" s="1"/>
  <c r="D19" i="1"/>
  <c r="D26" i="1" s="1"/>
  <c r="V19" i="1"/>
  <c r="V26" i="1" s="1"/>
  <c r="E19" i="1"/>
  <c r="E26" i="1" s="1"/>
  <c r="X19" i="1"/>
  <c r="X26" i="1" s="1"/>
  <c r="F19" i="1"/>
  <c r="F26" i="1" s="1"/>
  <c r="Z19" i="1"/>
  <c r="Z26" i="1" s="1"/>
  <c r="G19" i="1"/>
  <c r="G26" i="1" s="1"/>
  <c r="AB19" i="1"/>
  <c r="AB26" i="1" s="1"/>
  <c r="H19" i="1"/>
  <c r="H26" i="1" s="1"/>
  <c r="AD19" i="1"/>
  <c r="AD26" i="1" s="1"/>
  <c r="I19" i="1"/>
  <c r="AF19" i="1"/>
  <c r="AF26" i="1" s="1"/>
  <c r="J19" i="1"/>
  <c r="AH19" i="1"/>
  <c r="R7" i="1"/>
  <c r="C7" i="1"/>
  <c r="T7" i="1"/>
  <c r="D7" i="1"/>
  <c r="V7" i="1"/>
  <c r="E7" i="1"/>
  <c r="X7" i="1"/>
  <c r="Z7" i="1"/>
  <c r="G7" i="1"/>
  <c r="AB7" i="1"/>
  <c r="H7" i="1"/>
  <c r="AD7" i="1"/>
  <c r="I7" i="1"/>
  <c r="AF7" i="1"/>
  <c r="J7" i="1"/>
  <c r="AH7" i="1"/>
  <c r="R41" i="3"/>
  <c r="R67" i="2"/>
  <c r="R60" i="2"/>
  <c r="R61" i="2" s="1"/>
  <c r="K19" i="1"/>
  <c r="K37" i="1"/>
  <c r="L38" i="1" s="1"/>
  <c r="K7" i="1"/>
  <c r="G37" i="1"/>
  <c r="Z37" i="1"/>
  <c r="X37" i="1"/>
  <c r="X42" i="1" s="1"/>
  <c r="E37" i="1"/>
  <c r="V37" i="1"/>
  <c r="V42" i="1" s="1"/>
  <c r="D37" i="1"/>
  <c r="T37" i="1"/>
  <c r="T42" i="1" s="1"/>
  <c r="C37" i="1"/>
  <c r="R37" i="1"/>
  <c r="R42" i="1" s="1"/>
  <c r="R44" i="1" s="1"/>
  <c r="P21" i="4" l="1"/>
  <c r="AH26" i="1"/>
  <c r="AJ24" i="1"/>
  <c r="S41" i="3"/>
  <c r="C31" i="2"/>
  <c r="AF50" i="4"/>
  <c r="P238" i="1"/>
  <c r="P385" i="1" s="1"/>
  <c r="P388" i="1" s="1"/>
  <c r="I49" i="6" s="1"/>
  <c r="O385" i="1"/>
  <c r="O388" i="1" s="1"/>
  <c r="H49" i="6" s="1"/>
  <c r="G25" i="11"/>
  <c r="BY6" i="13"/>
  <c r="BV6" i="13"/>
  <c r="BX6" i="13"/>
  <c r="C15" i="1"/>
  <c r="BR6" i="13"/>
  <c r="E15" i="1"/>
  <c r="BT6" i="13"/>
  <c r="H15" i="1"/>
  <c r="BW6" i="13"/>
  <c r="G15" i="11"/>
  <c r="BZ6" i="13"/>
  <c r="D15" i="1"/>
  <c r="BS6" i="13"/>
  <c r="L146" i="1"/>
  <c r="P42" i="11"/>
  <c r="AJ244" i="1"/>
  <c r="AJ245" i="1" s="1"/>
  <c r="AJ243" i="1"/>
  <c r="H43" i="3"/>
  <c r="AC40" i="3"/>
  <c r="L188" i="1"/>
  <c r="L22" i="1"/>
  <c r="L191" i="1"/>
  <c r="L153" i="1"/>
  <c r="V44" i="1"/>
  <c r="V43" i="1"/>
  <c r="X43" i="1"/>
  <c r="X44" i="1"/>
  <c r="T44" i="1"/>
  <c r="T43" i="1"/>
  <c r="AF28" i="2"/>
  <c r="AF27" i="1"/>
  <c r="Z28" i="2"/>
  <c r="Z27" i="1"/>
  <c r="F28" i="2"/>
  <c r="F27" i="1"/>
  <c r="AD28" i="2"/>
  <c r="AD27" i="1"/>
  <c r="X28" i="2"/>
  <c r="X27" i="1"/>
  <c r="H28" i="2"/>
  <c r="H27" i="1"/>
  <c r="E28" i="2"/>
  <c r="E27" i="1"/>
  <c r="V28" i="2"/>
  <c r="V27" i="1"/>
  <c r="T28" i="2"/>
  <c r="T27" i="1"/>
  <c r="AB28" i="2"/>
  <c r="AB27" i="1"/>
  <c r="G28" i="2"/>
  <c r="G27" i="1"/>
  <c r="D28" i="2"/>
  <c r="D27" i="1"/>
  <c r="F15" i="11"/>
  <c r="I26" i="1"/>
  <c r="E25" i="11"/>
  <c r="I15" i="1"/>
  <c r="E15" i="11"/>
  <c r="J26" i="1"/>
  <c r="F25" i="11"/>
  <c r="R21" i="2"/>
  <c r="R31" i="2"/>
  <c r="AH15" i="1"/>
  <c r="BL6" i="13"/>
  <c r="AB15" i="1"/>
  <c r="BF6" i="13"/>
  <c r="T15" i="1"/>
  <c r="AX6" i="13"/>
  <c r="BJ6" i="13"/>
  <c r="Z15" i="1"/>
  <c r="BD6" i="13"/>
  <c r="X15" i="1"/>
  <c r="BB6" i="13"/>
  <c r="R15" i="1"/>
  <c r="AV6" i="13"/>
  <c r="AD15" i="1"/>
  <c r="BH6" i="13"/>
  <c r="V15" i="1"/>
  <c r="AZ6" i="13"/>
  <c r="C21" i="2"/>
  <c r="V38" i="1"/>
  <c r="X38" i="1"/>
  <c r="T38" i="1"/>
  <c r="H38" i="1"/>
  <c r="Z38" i="1"/>
  <c r="AB38" i="1"/>
  <c r="AI37" i="1"/>
  <c r="K38" i="1"/>
  <c r="D38" i="1"/>
  <c r="E38" i="1"/>
  <c r="C39" i="2"/>
  <c r="C6" i="3"/>
  <c r="R6" i="3"/>
  <c r="W37" i="1"/>
  <c r="S37" i="1"/>
  <c r="AA37" i="1"/>
  <c r="U37" i="1"/>
  <c r="R39" i="2"/>
  <c r="R43" i="3"/>
  <c r="S43" i="3" s="1"/>
  <c r="Z42" i="1"/>
  <c r="G42" i="1"/>
  <c r="H43" i="1" s="1"/>
  <c r="K42" i="1"/>
  <c r="K15" i="1"/>
  <c r="AI207" i="1"/>
  <c r="AG207" i="1"/>
  <c r="AE207" i="1"/>
  <c r="AE239" i="1" s="1"/>
  <c r="AC207" i="1"/>
  <c r="AC239" i="1" s="1"/>
  <c r="AA207" i="1"/>
  <c r="AA239" i="1" s="1"/>
  <c r="Y207" i="1"/>
  <c r="Y239" i="1" s="1"/>
  <c r="W207" i="1"/>
  <c r="U207" i="1"/>
  <c r="K118" i="1"/>
  <c r="K121" i="1" s="1"/>
  <c r="AH118" i="1"/>
  <c r="J118" i="1"/>
  <c r="J121" i="1" s="1"/>
  <c r="AF118" i="1"/>
  <c r="I118" i="1"/>
  <c r="I121" i="1" s="1"/>
  <c r="AD118" i="1"/>
  <c r="H118" i="1"/>
  <c r="H121" i="1" s="1"/>
  <c r="AB118" i="1"/>
  <c r="G118" i="1"/>
  <c r="G121" i="1" s="1"/>
  <c r="Z118" i="1"/>
  <c r="F118" i="1"/>
  <c r="F121" i="1" s="1"/>
  <c r="X118" i="1"/>
  <c r="E118" i="1"/>
  <c r="E121" i="1" s="1"/>
  <c r="V118" i="1"/>
  <c r="D118" i="1"/>
  <c r="D121" i="1" s="1"/>
  <c r="T118" i="1"/>
  <c r="AI138" i="1"/>
  <c r="AK139" i="1" s="1"/>
  <c r="AI133" i="1"/>
  <c r="AG138" i="1"/>
  <c r="AG133" i="1"/>
  <c r="AE138" i="1"/>
  <c r="AE133" i="1"/>
  <c r="AC138" i="1"/>
  <c r="AC133" i="1"/>
  <c r="S143" i="1"/>
  <c r="S151" i="1" s="1"/>
  <c r="AI143" i="1"/>
  <c r="AG143" i="1"/>
  <c r="AE143" i="1"/>
  <c r="AC143" i="1"/>
  <c r="AA143" i="1"/>
  <c r="Y143" i="1"/>
  <c r="Y148" i="1" s="1"/>
  <c r="Y149" i="1" s="1"/>
  <c r="W143" i="1"/>
  <c r="W151" i="1" s="1"/>
  <c r="U143" i="1"/>
  <c r="U151" i="1" s="1"/>
  <c r="AI117" i="1"/>
  <c r="AI149" i="1" s="1"/>
  <c r="AG117" i="1"/>
  <c r="AE117" i="1"/>
  <c r="AC117" i="1"/>
  <c r="AC149" i="1" s="1"/>
  <c r="AA181" i="1"/>
  <c r="Y181" i="1"/>
  <c r="W181" i="1"/>
  <c r="U181" i="1"/>
  <c r="K81" i="1"/>
  <c r="AH81" i="1"/>
  <c r="J81" i="1"/>
  <c r="AF81" i="1"/>
  <c r="I81" i="1"/>
  <c r="AD81" i="1"/>
  <c r="H81" i="1"/>
  <c r="AB81" i="1"/>
  <c r="G81" i="1"/>
  <c r="Z81" i="1"/>
  <c r="Z62" i="1" s="1"/>
  <c r="X81" i="1"/>
  <c r="V81" i="1"/>
  <c r="D81" i="1"/>
  <c r="T81" i="1"/>
  <c r="AC86" i="1"/>
  <c r="AE86" i="1"/>
  <c r="AA86" i="1"/>
  <c r="Y86" i="1"/>
  <c r="U86" i="1"/>
  <c r="S80" i="1"/>
  <c r="S86" i="1" s="1"/>
  <c r="AI86" i="1"/>
  <c r="E80" i="1"/>
  <c r="K110" i="1"/>
  <c r="AH110" i="1"/>
  <c r="J110" i="1"/>
  <c r="AF110" i="1"/>
  <c r="I110" i="1"/>
  <c r="AD110" i="1"/>
  <c r="K104" i="1"/>
  <c r="AH104" i="1"/>
  <c r="J104" i="1"/>
  <c r="AF104" i="1"/>
  <c r="I104" i="1"/>
  <c r="AD104" i="1"/>
  <c r="H104" i="1"/>
  <c r="AB104" i="1"/>
  <c r="AI109" i="1"/>
  <c r="AG109" i="1"/>
  <c r="AE109" i="1"/>
  <c r="AC109" i="1"/>
  <c r="AI103" i="1"/>
  <c r="AK104" i="1" s="1"/>
  <c r="AG103" i="1"/>
  <c r="AE103" i="1"/>
  <c r="AC103" i="1"/>
  <c r="AA103" i="1"/>
  <c r="X103" i="1"/>
  <c r="X105" i="1" s="1"/>
  <c r="E103" i="1"/>
  <c r="V103" i="1"/>
  <c r="V105" i="1" s="1"/>
  <c r="U103" i="1"/>
  <c r="D99" i="1"/>
  <c r="K48" i="1"/>
  <c r="AH48" i="1"/>
  <c r="J48" i="1"/>
  <c r="AF48" i="1"/>
  <c r="I48" i="1"/>
  <c r="AD48" i="1"/>
  <c r="H48" i="1"/>
  <c r="AI52" i="1"/>
  <c r="AK53" i="1" s="1"/>
  <c r="AG52" i="1"/>
  <c r="AE52" i="1"/>
  <c r="AG47" i="1"/>
  <c r="AE47" i="1"/>
  <c r="AC47" i="1"/>
  <c r="AA47" i="1"/>
  <c r="AA48" i="1" s="1"/>
  <c r="C59" i="1"/>
  <c r="T59" i="1"/>
  <c r="D59" i="1"/>
  <c r="V59" i="1"/>
  <c r="E59" i="1"/>
  <c r="X59" i="1"/>
  <c r="Z59" i="1"/>
  <c r="G59" i="1"/>
  <c r="AB59" i="1"/>
  <c r="H59" i="1"/>
  <c r="AD59" i="1"/>
  <c r="I59" i="1"/>
  <c r="AF59" i="1"/>
  <c r="J59" i="1"/>
  <c r="AH59" i="1"/>
  <c r="K59" i="1"/>
  <c r="R59" i="1"/>
  <c r="K58" i="1"/>
  <c r="AH58" i="1"/>
  <c r="J58" i="1"/>
  <c r="AF58" i="1"/>
  <c r="I58" i="1"/>
  <c r="AD58" i="1"/>
  <c r="H58" i="1"/>
  <c r="AB58" i="1"/>
  <c r="G58" i="1"/>
  <c r="Z58" i="1"/>
  <c r="F58" i="1"/>
  <c r="X58" i="1"/>
  <c r="E58" i="1"/>
  <c r="V58" i="1"/>
  <c r="D58" i="1"/>
  <c r="T58" i="1"/>
  <c r="AI57" i="1"/>
  <c r="AG57" i="1"/>
  <c r="AE57" i="1"/>
  <c r="AC57" i="1"/>
  <c r="AA57" i="1"/>
  <c r="Y57" i="1"/>
  <c r="W57" i="1"/>
  <c r="W52" i="1" s="1"/>
  <c r="V31" i="1"/>
  <c r="V35" i="1" s="1"/>
  <c r="E31" i="1"/>
  <c r="X31" i="1"/>
  <c r="X35" i="1" s="1"/>
  <c r="Z31" i="1"/>
  <c r="Z35" i="1" s="1"/>
  <c r="AB31" i="1"/>
  <c r="AB35" i="1" s="1"/>
  <c r="H31" i="1"/>
  <c r="AD31" i="1"/>
  <c r="AD35" i="1" s="1"/>
  <c r="I31" i="1"/>
  <c r="AF31" i="1"/>
  <c r="AF35" i="1" s="1"/>
  <c r="J31" i="1"/>
  <c r="AH31" i="1"/>
  <c r="AH35" i="1" s="1"/>
  <c r="K31" i="1"/>
  <c r="D31" i="1"/>
  <c r="T31" i="1"/>
  <c r="T35" i="1" s="1"/>
  <c r="AI30" i="1"/>
  <c r="AG30" i="1"/>
  <c r="AG39" i="1" s="1"/>
  <c r="S30" i="1"/>
  <c r="AE30" i="1"/>
  <c r="AE39" i="1" s="1"/>
  <c r="AC30" i="1"/>
  <c r="AC39" i="1" s="1"/>
  <c r="AA30" i="1"/>
  <c r="F30" i="1"/>
  <c r="AK31" i="1" l="1"/>
  <c r="C11" i="3"/>
  <c r="C70" i="2"/>
  <c r="C65" i="2" s="1"/>
  <c r="X39" i="2"/>
  <c r="X46" i="2" s="1"/>
  <c r="Z21" i="2"/>
  <c r="AB31" i="2"/>
  <c r="AD21" i="2"/>
  <c r="AF39" i="2"/>
  <c r="AF70" i="2" s="1"/>
  <c r="R11" i="3"/>
  <c r="D29" i="2"/>
  <c r="T21" i="2"/>
  <c r="T22" i="2" s="1"/>
  <c r="H39" i="2"/>
  <c r="H70" i="2" s="1"/>
  <c r="F21" i="2"/>
  <c r="H54" i="4"/>
  <c r="F63" i="1"/>
  <c r="G63" i="1" s="1"/>
  <c r="G107" i="1"/>
  <c r="F107" i="1"/>
  <c r="E107" i="1"/>
  <c r="J35" i="1"/>
  <c r="H35" i="1"/>
  <c r="I35" i="1"/>
  <c r="E35" i="1"/>
  <c r="K35" i="1"/>
  <c r="D35" i="1"/>
  <c r="N40" i="11"/>
  <c r="O40" i="11"/>
  <c r="M40" i="11"/>
  <c r="AG215" i="1"/>
  <c r="AG239" i="1"/>
  <c r="AI215" i="1"/>
  <c r="AI239" i="1"/>
  <c r="BI84" i="13"/>
  <c r="BI88" i="13" s="1"/>
  <c r="AE149" i="1"/>
  <c r="BK84" i="13"/>
  <c r="BK88" i="13" s="1"/>
  <c r="AG149" i="1"/>
  <c r="Z63" i="1"/>
  <c r="AB62" i="1"/>
  <c r="U244" i="1"/>
  <c r="U245" i="1" s="1"/>
  <c r="U215" i="1"/>
  <c r="U216" i="1" s="1"/>
  <c r="W244" i="1"/>
  <c r="W215" i="1"/>
  <c r="I27" i="1"/>
  <c r="AA244" i="1"/>
  <c r="AA215" i="1"/>
  <c r="AE244" i="1"/>
  <c r="AE215" i="1"/>
  <c r="Y244" i="1"/>
  <c r="Y215" i="1"/>
  <c r="AC244" i="1"/>
  <c r="AC215" i="1"/>
  <c r="AC167" i="1"/>
  <c r="BG84" i="13"/>
  <c r="AI167" i="1"/>
  <c r="BM84" i="13"/>
  <c r="BW24" i="13"/>
  <c r="BX24" i="13"/>
  <c r="BT24" i="13"/>
  <c r="BZ24" i="13"/>
  <c r="BZ38" i="13" s="1"/>
  <c r="CA24" i="13"/>
  <c r="CA38" i="13" s="1"/>
  <c r="BY24" i="13"/>
  <c r="BS24" i="13"/>
  <c r="BN24" i="13"/>
  <c r="BN38" i="13" s="1"/>
  <c r="BS15" i="13"/>
  <c r="C62" i="4"/>
  <c r="BX15" i="13"/>
  <c r="C54" i="4"/>
  <c r="E58" i="4"/>
  <c r="E54" i="4"/>
  <c r="C58" i="4"/>
  <c r="C55" i="4"/>
  <c r="C5" i="2"/>
  <c r="BX12" i="13"/>
  <c r="BS12" i="13"/>
  <c r="E55" i="4"/>
  <c r="BY15" i="13"/>
  <c r="R54" i="4"/>
  <c r="BW15" i="13"/>
  <c r="BR12" i="13"/>
  <c r="BZ12" i="13"/>
  <c r="BT12" i="13"/>
  <c r="BW12" i="13"/>
  <c r="AH27" i="1"/>
  <c r="H5" i="2"/>
  <c r="AH28" i="2"/>
  <c r="H62" i="4"/>
  <c r="H55" i="4"/>
  <c r="H58" i="4"/>
  <c r="D54" i="4"/>
  <c r="D62" i="4"/>
  <c r="E16" i="1"/>
  <c r="D55" i="4"/>
  <c r="BT15" i="13"/>
  <c r="BZ15" i="13"/>
  <c r="CA15" i="13"/>
  <c r="D5" i="2"/>
  <c r="E62" i="4"/>
  <c r="D58" i="4"/>
  <c r="E5" i="2"/>
  <c r="D16" i="1"/>
  <c r="AJ60" i="1"/>
  <c r="H27" i="11"/>
  <c r="AG125" i="1"/>
  <c r="AG167" i="1"/>
  <c r="AE125" i="1"/>
  <c r="AE167" i="1"/>
  <c r="V121" i="1"/>
  <c r="AB121" i="1"/>
  <c r="AB168" i="1"/>
  <c r="AH121" i="1"/>
  <c r="AD121" i="1"/>
  <c r="X121" i="1"/>
  <c r="X168" i="1"/>
  <c r="T121" i="1"/>
  <c r="T168" i="1"/>
  <c r="Z121" i="1"/>
  <c r="AF121" i="1"/>
  <c r="AC181" i="1"/>
  <c r="AC186" i="1" s="1"/>
  <c r="AC125" i="1"/>
  <c r="AC126" i="1" s="1"/>
  <c r="AI125" i="1"/>
  <c r="K58" i="4"/>
  <c r="L58" i="4" s="1"/>
  <c r="K55" i="4"/>
  <c r="K54" i="4"/>
  <c r="L54" i="4" s="1"/>
  <c r="I54" i="4"/>
  <c r="I55" i="4"/>
  <c r="I58" i="4"/>
  <c r="AC43" i="3"/>
  <c r="AD40" i="3"/>
  <c r="AD43" i="3" s="1"/>
  <c r="I40" i="3"/>
  <c r="AA39" i="1"/>
  <c r="AC40" i="1" s="1"/>
  <c r="AE40" i="1"/>
  <c r="Z44" i="1"/>
  <c r="Z43" i="1"/>
  <c r="S39" i="1"/>
  <c r="S42" i="1"/>
  <c r="S44" i="1" s="1"/>
  <c r="T45" i="1" s="1"/>
  <c r="U39" i="1"/>
  <c r="U42" i="1"/>
  <c r="W42" i="1"/>
  <c r="W39" i="1"/>
  <c r="K43" i="1"/>
  <c r="L42" i="1"/>
  <c r="L47" i="1" s="1"/>
  <c r="L57" i="1" s="1"/>
  <c r="L19" i="1" s="1"/>
  <c r="AI38" i="1"/>
  <c r="AI39" i="1"/>
  <c r="AI40" i="1" s="1"/>
  <c r="AJ38" i="1"/>
  <c r="AK38" i="1"/>
  <c r="AG40" i="1"/>
  <c r="AB6" i="3"/>
  <c r="AB39" i="2"/>
  <c r="AB21" i="2"/>
  <c r="F6" i="3"/>
  <c r="F39" i="2"/>
  <c r="V29" i="2"/>
  <c r="T6" i="3"/>
  <c r="T39" i="2"/>
  <c r="F31" i="2"/>
  <c r="X31" i="2"/>
  <c r="AD6" i="3"/>
  <c r="V31" i="2"/>
  <c r="V39" i="2"/>
  <c r="X6" i="3"/>
  <c r="X29" i="2"/>
  <c r="AD39" i="2"/>
  <c r="T31" i="2"/>
  <c r="X21" i="2"/>
  <c r="F29" i="2"/>
  <c r="H6" i="3"/>
  <c r="V21" i="2"/>
  <c r="T29" i="2"/>
  <c r="Z6" i="3"/>
  <c r="Z29" i="2"/>
  <c r="G29" i="2"/>
  <c r="Z39" i="2"/>
  <c r="H31" i="2"/>
  <c r="Z31" i="2"/>
  <c r="AB29" i="2"/>
  <c r="V6" i="3"/>
  <c r="H21" i="2"/>
  <c r="AF29" i="2"/>
  <c r="G21" i="11"/>
  <c r="E6" i="3"/>
  <c r="D6" i="3"/>
  <c r="E31" i="2"/>
  <c r="AD31" i="2"/>
  <c r="AF31" i="2"/>
  <c r="D31" i="2"/>
  <c r="E39" i="2"/>
  <c r="D39" i="2"/>
  <c r="E21" i="2"/>
  <c r="AF21" i="2"/>
  <c r="T55" i="4"/>
  <c r="T16" i="1"/>
  <c r="D21" i="2"/>
  <c r="AD58" i="4"/>
  <c r="AD16" i="1"/>
  <c r="Z58" i="4"/>
  <c r="Z16" i="1"/>
  <c r="AH55" i="4"/>
  <c r="AF6" i="3"/>
  <c r="V58" i="4"/>
  <c r="V16" i="1"/>
  <c r="X5" i="2"/>
  <c r="X16" i="1"/>
  <c r="I16" i="1"/>
  <c r="E29" i="2"/>
  <c r="AD29" i="2"/>
  <c r="AB58" i="4"/>
  <c r="AB16" i="1"/>
  <c r="G6" i="3"/>
  <c r="G31" i="2"/>
  <c r="G39" i="2"/>
  <c r="G21" i="2"/>
  <c r="H29" i="2"/>
  <c r="F30" i="11"/>
  <c r="J27" i="1"/>
  <c r="R55" i="4"/>
  <c r="R5" i="2"/>
  <c r="AH54" i="4"/>
  <c r="I60" i="1"/>
  <c r="X60" i="1"/>
  <c r="AH58" i="4"/>
  <c r="AI42" i="1"/>
  <c r="AI44" i="1" s="1"/>
  <c r="AJ45" i="1" s="1"/>
  <c r="AH5" i="2"/>
  <c r="I62" i="4"/>
  <c r="E21" i="11"/>
  <c r="I5" i="2"/>
  <c r="I28" i="2"/>
  <c r="E30" i="11"/>
  <c r="J28" i="2"/>
  <c r="T54" i="4"/>
  <c r="T58" i="4"/>
  <c r="AD60" i="1"/>
  <c r="E60" i="1"/>
  <c r="AD55" i="4"/>
  <c r="Z54" i="4"/>
  <c r="H60" i="1"/>
  <c r="K60" i="1"/>
  <c r="V60" i="1"/>
  <c r="AH60" i="1"/>
  <c r="AB60" i="1"/>
  <c r="D60" i="1"/>
  <c r="AB5" i="2"/>
  <c r="AD5" i="2"/>
  <c r="AB55" i="4"/>
  <c r="AD54" i="4"/>
  <c r="Z55" i="4"/>
  <c r="R58" i="4"/>
  <c r="V5" i="2"/>
  <c r="Z5" i="2"/>
  <c r="X106" i="1"/>
  <c r="Z106" i="1"/>
  <c r="W53" i="1"/>
  <c r="W54" i="1"/>
  <c r="W55" i="1" s="1"/>
  <c r="S67" i="1"/>
  <c r="U68" i="1" s="1"/>
  <c r="S49" i="1"/>
  <c r="U50" i="1" s="1"/>
  <c r="S54" i="1"/>
  <c r="U55" i="1" s="1"/>
  <c r="Y62" i="1"/>
  <c r="Y52" i="1"/>
  <c r="AB54" i="4"/>
  <c r="F49" i="1"/>
  <c r="F54" i="1"/>
  <c r="X55" i="4"/>
  <c r="AA62" i="1"/>
  <c r="AA63" i="1" s="1"/>
  <c r="AF60" i="1"/>
  <c r="Z60" i="1"/>
  <c r="AG244" i="1"/>
  <c r="AG197" i="1"/>
  <c r="J60" i="1"/>
  <c r="T60" i="1"/>
  <c r="T5" i="2"/>
  <c r="V55" i="4"/>
  <c r="V54" i="4"/>
  <c r="X54" i="4"/>
  <c r="X58" i="4"/>
  <c r="W186" i="1"/>
  <c r="W188" i="1"/>
  <c r="AA186" i="1"/>
  <c r="AA188" i="1"/>
  <c r="U186" i="1"/>
  <c r="U188" i="1"/>
  <c r="Y186" i="1"/>
  <c r="Y188" i="1"/>
  <c r="V62" i="4"/>
  <c r="AZ12" i="13"/>
  <c r="X62" i="4"/>
  <c r="BB12" i="13"/>
  <c r="T62" i="4"/>
  <c r="AX12" i="13"/>
  <c r="AD62" i="4"/>
  <c r="BH12" i="13"/>
  <c r="Z62" i="4"/>
  <c r="BD12" i="13"/>
  <c r="AB62" i="4"/>
  <c r="BF12" i="13"/>
  <c r="R62" i="4"/>
  <c r="AV12" i="13"/>
  <c r="AH62" i="4"/>
  <c r="BL12" i="13"/>
  <c r="AE9" i="2"/>
  <c r="U38" i="1"/>
  <c r="AC38" i="1"/>
  <c r="W38" i="1"/>
  <c r="G65" i="1"/>
  <c r="W153" i="1"/>
  <c r="W152" i="1"/>
  <c r="Y152" i="1"/>
  <c r="AI259" i="1"/>
  <c r="AI244" i="1"/>
  <c r="F105" i="1"/>
  <c r="F67" i="1"/>
  <c r="U153" i="1"/>
  <c r="U152" i="1"/>
  <c r="S153" i="1"/>
  <c r="Z65" i="1"/>
  <c r="AC19" i="1"/>
  <c r="AG19" i="1"/>
  <c r="W19" i="1"/>
  <c r="W65" i="1"/>
  <c r="W62" i="1" s="1"/>
  <c r="AI19" i="1"/>
  <c r="AE19" i="1"/>
  <c r="Y19" i="1"/>
  <c r="AA19" i="1"/>
  <c r="C46" i="2"/>
  <c r="K5" i="2"/>
  <c r="K62" i="4"/>
  <c r="L62" i="4" s="1"/>
  <c r="R70" i="2"/>
  <c r="R46" i="2"/>
  <c r="T103" i="1"/>
  <c r="T105" i="1" s="1"/>
  <c r="V106" i="1" s="1"/>
  <c r="U105" i="1"/>
  <c r="AE105" i="1"/>
  <c r="AG105" i="1"/>
  <c r="E104" i="1"/>
  <c r="E105" i="1"/>
  <c r="AI105" i="1"/>
  <c r="AK106" i="1" s="1"/>
  <c r="E86" i="1"/>
  <c r="E87" i="1" s="1"/>
  <c r="W80" i="1"/>
  <c r="AA105" i="1"/>
  <c r="AC105" i="1"/>
  <c r="AE87" i="1"/>
  <c r="AC87" i="1"/>
  <c r="AA87" i="1"/>
  <c r="AG81" i="1"/>
  <c r="AG86" i="1"/>
  <c r="AG87" i="1" s="1"/>
  <c r="U87" i="1"/>
  <c r="AB43" i="1"/>
  <c r="AI111" i="1"/>
  <c r="Y22" i="1"/>
  <c r="K44" i="1"/>
  <c r="K45" i="1" s="1"/>
  <c r="AC259" i="1"/>
  <c r="AC12" i="1"/>
  <c r="AE12" i="1"/>
  <c r="AE259" i="1"/>
  <c r="AA22" i="1"/>
  <c r="U259" i="1"/>
  <c r="U260" i="1" s="1"/>
  <c r="U12" i="1"/>
  <c r="AG259" i="1"/>
  <c r="W259" i="1"/>
  <c r="W12" i="1"/>
  <c r="G44" i="1"/>
  <c r="H45" i="1" s="1"/>
  <c r="Y259" i="1"/>
  <c r="Y12" i="1"/>
  <c r="AA12" i="1"/>
  <c r="AA259" i="1"/>
  <c r="AG181" i="1"/>
  <c r="AG188" i="1" s="1"/>
  <c r="AG177" i="1"/>
  <c r="AI225" i="1"/>
  <c r="AI230" i="1"/>
  <c r="AI269" i="1"/>
  <c r="AI220" i="1"/>
  <c r="AE225" i="1"/>
  <c r="AE230" i="1"/>
  <c r="AE269" i="1"/>
  <c r="AE220" i="1"/>
  <c r="AE181" i="1"/>
  <c r="AE177" i="1"/>
  <c r="AG230" i="1"/>
  <c r="AG225" i="1"/>
  <c r="AG269" i="1"/>
  <c r="AG220" i="1"/>
  <c r="AC111" i="1"/>
  <c r="AI181" i="1"/>
  <c r="AI188" i="1" s="1"/>
  <c r="AI177" i="1"/>
  <c r="S145" i="1"/>
  <c r="S22" i="1"/>
  <c r="S26" i="1" s="1"/>
  <c r="S28" i="2" s="1"/>
  <c r="AC230" i="1"/>
  <c r="AC225" i="1"/>
  <c r="AC220" i="1"/>
  <c r="Y145" i="1"/>
  <c r="Y144" i="1"/>
  <c r="AG139" i="1"/>
  <c r="AG140" i="1"/>
  <c r="AE208" i="1"/>
  <c r="AE211" i="1" s="1"/>
  <c r="AE197" i="1"/>
  <c r="AE235" i="1"/>
  <c r="AA145" i="1"/>
  <c r="AA144" i="1"/>
  <c r="AC128" i="1"/>
  <c r="AC130" i="1" s="1"/>
  <c r="AC135" i="1"/>
  <c r="AI135" i="1"/>
  <c r="AI128" i="1"/>
  <c r="AI134" i="1"/>
  <c r="U197" i="1"/>
  <c r="U208" i="1"/>
  <c r="U211" i="1" s="1"/>
  <c r="U235" i="1"/>
  <c r="U236" i="1" s="1"/>
  <c r="AG208" i="1"/>
  <c r="AG211" i="1" s="1"/>
  <c r="AG235" i="1"/>
  <c r="AC144" i="1"/>
  <c r="AC145" i="1"/>
  <c r="AC140" i="1"/>
  <c r="AI140" i="1"/>
  <c r="AI139" i="1"/>
  <c r="W208" i="1"/>
  <c r="W211" i="1" s="1"/>
  <c r="W197" i="1"/>
  <c r="W235" i="1"/>
  <c r="AI208" i="1"/>
  <c r="AI211" i="1" s="1"/>
  <c r="AI197" i="1"/>
  <c r="AI235" i="1"/>
  <c r="AE145" i="1"/>
  <c r="AE144" i="1"/>
  <c r="AE135" i="1"/>
  <c r="AE128" i="1"/>
  <c r="AE130" i="1" s="1"/>
  <c r="AE134" i="1"/>
  <c r="Y197" i="1"/>
  <c r="Y235" i="1"/>
  <c r="Y208" i="1"/>
  <c r="Y211" i="1" s="1"/>
  <c r="AE111" i="1"/>
  <c r="U145" i="1"/>
  <c r="U144" i="1"/>
  <c r="AG144" i="1"/>
  <c r="AG145" i="1"/>
  <c r="AE140" i="1"/>
  <c r="AE139" i="1"/>
  <c r="AA208" i="1"/>
  <c r="AA211" i="1" s="1"/>
  <c r="AA197" i="1"/>
  <c r="AA235" i="1"/>
  <c r="AG111" i="1"/>
  <c r="W145" i="1"/>
  <c r="W144" i="1"/>
  <c r="AI145" i="1"/>
  <c r="AI144" i="1"/>
  <c r="AG128" i="1"/>
  <c r="AG130" i="1" s="1"/>
  <c r="AG134" i="1"/>
  <c r="AG135" i="1"/>
  <c r="AC197" i="1"/>
  <c r="AC208" i="1"/>
  <c r="AC211" i="1" s="1"/>
  <c r="AC235" i="1"/>
  <c r="S83" i="1"/>
  <c r="F7" i="1"/>
  <c r="F83" i="1"/>
  <c r="AA7" i="1"/>
  <c r="AA83" i="1"/>
  <c r="AC7" i="1"/>
  <c r="AC83" i="1"/>
  <c r="AE7" i="1"/>
  <c r="AE83" i="1"/>
  <c r="U7" i="1"/>
  <c r="U83" i="1"/>
  <c r="W7" i="1"/>
  <c r="AG7" i="1"/>
  <c r="AG83" i="1"/>
  <c r="AI7" i="1"/>
  <c r="AI83" i="1"/>
  <c r="AA42" i="1"/>
  <c r="AA49" i="1"/>
  <c r="AC42" i="1"/>
  <c r="AC44" i="1" s="1"/>
  <c r="AC49" i="1"/>
  <c r="AE42" i="1"/>
  <c r="AE49" i="1"/>
  <c r="AG42" i="1"/>
  <c r="AG44" i="1" s="1"/>
  <c r="AG49" i="1"/>
  <c r="AE54" i="1"/>
  <c r="AG54" i="1"/>
  <c r="AG53" i="1"/>
  <c r="AI53" i="1"/>
  <c r="AI54" i="1"/>
  <c r="AK55" i="1" s="1"/>
  <c r="AI49" i="1"/>
  <c r="F81" i="1"/>
  <c r="E83" i="1"/>
  <c r="E84" i="1" s="1"/>
  <c r="U118" i="1"/>
  <c r="U58" i="1"/>
  <c r="U19" i="1"/>
  <c r="S59" i="1"/>
  <c r="S7" i="1"/>
  <c r="AC52" i="1"/>
  <c r="AE53" i="1" s="1"/>
  <c r="W118" i="1"/>
  <c r="Y30" i="1"/>
  <c r="F37" i="1"/>
  <c r="AC118" i="1"/>
  <c r="AE118" i="1"/>
  <c r="AI118" i="1"/>
  <c r="AG118" i="1"/>
  <c r="Y118" i="1"/>
  <c r="AA118" i="1"/>
  <c r="AG48" i="1"/>
  <c r="AG104" i="1"/>
  <c r="U81" i="1"/>
  <c r="AG58" i="1"/>
  <c r="AC48" i="1"/>
  <c r="AE81" i="1"/>
  <c r="E81" i="1"/>
  <c r="AG59" i="1"/>
  <c r="AA81" i="1"/>
  <c r="AC59" i="1"/>
  <c r="AI48" i="1"/>
  <c r="AE104" i="1"/>
  <c r="W103" i="1"/>
  <c r="AI104" i="1"/>
  <c r="AC81" i="1"/>
  <c r="X104" i="1"/>
  <c r="W31" i="1"/>
  <c r="W35" i="1" s="1"/>
  <c r="AE48" i="1"/>
  <c r="AE110" i="1"/>
  <c r="AI81" i="1"/>
  <c r="AC104" i="1"/>
  <c r="AG110" i="1"/>
  <c r="Y103" i="1"/>
  <c r="G104" i="1"/>
  <c r="F104" i="1"/>
  <c r="AG31" i="1"/>
  <c r="AG35" i="1" s="1"/>
  <c r="AI58" i="1"/>
  <c r="AI110" i="1"/>
  <c r="AA58" i="1"/>
  <c r="Z104" i="1"/>
  <c r="AC31" i="1"/>
  <c r="AC35" i="1" s="1"/>
  <c r="AA52" i="1"/>
  <c r="U59" i="1"/>
  <c r="W58" i="1"/>
  <c r="AE58" i="1"/>
  <c r="Y58" i="1"/>
  <c r="AI31" i="1"/>
  <c r="AI35" i="1" s="1"/>
  <c r="AE31" i="1"/>
  <c r="AE35" i="1" s="1"/>
  <c r="AI59" i="1"/>
  <c r="AE59" i="1"/>
  <c r="AA59" i="1"/>
  <c r="W59" i="1"/>
  <c r="G31" i="1"/>
  <c r="AC58" i="1"/>
  <c r="F31" i="1"/>
  <c r="F59" i="1"/>
  <c r="U31" i="1"/>
  <c r="U35" i="1" s="1"/>
  <c r="F68" i="1" l="1"/>
  <c r="K10" i="2"/>
  <c r="C71" i="2"/>
  <c r="C66" i="2" s="1"/>
  <c r="D22" i="2"/>
  <c r="E46" i="2"/>
  <c r="E11" i="3"/>
  <c r="Z11" i="3"/>
  <c r="AD11" i="3"/>
  <c r="F70" i="2"/>
  <c r="F65" i="2" s="1"/>
  <c r="E63" i="4"/>
  <c r="G11" i="3"/>
  <c r="AD46" i="2"/>
  <c r="AD56" i="2" s="1"/>
  <c r="F11" i="3"/>
  <c r="R81" i="2"/>
  <c r="I63" i="4"/>
  <c r="V22" i="2"/>
  <c r="AB22" i="2"/>
  <c r="H46" i="2"/>
  <c r="AF46" i="2"/>
  <c r="AF22" i="2"/>
  <c r="Z40" i="2"/>
  <c r="H11" i="3"/>
  <c r="X11" i="3"/>
  <c r="T46" i="2"/>
  <c r="T81" i="2" s="1"/>
  <c r="AB70" i="2"/>
  <c r="AB65" i="2" s="1"/>
  <c r="D63" i="4"/>
  <c r="D8" i="2"/>
  <c r="F22" i="2"/>
  <c r="V46" i="2"/>
  <c r="V81" i="2" s="1"/>
  <c r="T11" i="3"/>
  <c r="AB11" i="3"/>
  <c r="G46" i="2"/>
  <c r="G56" i="2" s="1"/>
  <c r="AF11" i="3"/>
  <c r="D46" i="2"/>
  <c r="D81" i="2" s="1"/>
  <c r="D11" i="3"/>
  <c r="V11" i="3"/>
  <c r="Z22" i="2"/>
  <c r="X70" i="2"/>
  <c r="F60" i="1"/>
  <c r="E106" i="1"/>
  <c r="F35" i="1"/>
  <c r="G35" i="1"/>
  <c r="AI216" i="1"/>
  <c r="AB59" i="4"/>
  <c r="AB63" i="4"/>
  <c r="X10" i="2"/>
  <c r="Z11" i="2" s="1"/>
  <c r="X63" i="4"/>
  <c r="X59" i="4"/>
  <c r="AH59" i="4"/>
  <c r="AH63" i="4"/>
  <c r="R59" i="4"/>
  <c r="R63" i="4"/>
  <c r="V63" i="4"/>
  <c r="V59" i="4"/>
  <c r="T63" i="4"/>
  <c r="T59" i="4"/>
  <c r="Z63" i="4"/>
  <c r="Z59" i="4"/>
  <c r="AD59" i="4"/>
  <c r="AD63" i="4"/>
  <c r="H9" i="2"/>
  <c r="AC9" i="2" s="1"/>
  <c r="H63" i="4"/>
  <c r="C8" i="2"/>
  <c r="C63" i="4"/>
  <c r="C59" i="4"/>
  <c r="D43" i="6"/>
  <c r="D50" i="6" s="1"/>
  <c r="K63" i="4"/>
  <c r="AG216" i="1"/>
  <c r="AA245" i="1"/>
  <c r="W245" i="1"/>
  <c r="BK85" i="13"/>
  <c r="BK87" i="13" s="1"/>
  <c r="Y63" i="1"/>
  <c r="AB63" i="1"/>
  <c r="AD62" i="1"/>
  <c r="AC216" i="1"/>
  <c r="Y245" i="1"/>
  <c r="AE245" i="1"/>
  <c r="Y216" i="1"/>
  <c r="W216" i="1"/>
  <c r="AC245" i="1"/>
  <c r="AA216" i="1"/>
  <c r="AG245" i="1"/>
  <c r="AE216" i="1"/>
  <c r="BG88" i="13"/>
  <c r="BG85" i="13"/>
  <c r="BG87" i="13" s="1"/>
  <c r="BM85" i="13"/>
  <c r="BM87" i="13" s="1"/>
  <c r="BM88" i="13"/>
  <c r="BI85" i="13"/>
  <c r="BI87" i="13" s="1"/>
  <c r="AI12" i="1"/>
  <c r="AI15" i="1" s="1"/>
  <c r="BM122" i="13"/>
  <c r="AL122" i="13" s="1"/>
  <c r="AG194" i="1"/>
  <c r="BK126" i="13" s="1"/>
  <c r="BK122" i="13"/>
  <c r="AH122" i="13" s="1"/>
  <c r="AH129" i="13" s="1"/>
  <c r="AH39" i="13" s="1"/>
  <c r="BX30" i="13"/>
  <c r="BT30" i="13"/>
  <c r="BS30" i="13"/>
  <c r="C10" i="2"/>
  <c r="I59" i="4"/>
  <c r="D10" i="2"/>
  <c r="D59" i="4"/>
  <c r="H59" i="4"/>
  <c r="K59" i="4"/>
  <c r="E59" i="4"/>
  <c r="AH21" i="2"/>
  <c r="BX21" i="13"/>
  <c r="D6" i="2"/>
  <c r="BS21" i="13"/>
  <c r="BT21" i="13"/>
  <c r="AH29" i="2"/>
  <c r="AH31" i="2"/>
  <c r="BC9" i="13"/>
  <c r="BC27" i="13" s="1"/>
  <c r="AY9" i="13"/>
  <c r="AY27" i="13" s="1"/>
  <c r="BE6" i="13"/>
  <c r="BE24" i="13" s="1"/>
  <c r="BE38" i="13" s="1"/>
  <c r="BI6" i="13"/>
  <c r="BI24" i="13" s="1"/>
  <c r="BI38" i="13" s="1"/>
  <c r="BA9" i="13"/>
  <c r="BB27" i="13" s="1"/>
  <c r="AH6" i="3"/>
  <c r="AH39" i="2"/>
  <c r="BA6" i="13"/>
  <c r="BA24" i="13" s="1"/>
  <c r="BA38" i="13" s="1"/>
  <c r="BG6" i="13"/>
  <c r="BG24" i="13" s="1"/>
  <c r="BG38" i="13" s="1"/>
  <c r="BE9" i="13"/>
  <c r="BE27" i="13" s="1"/>
  <c r="BG9" i="13"/>
  <c r="BG27" i="13" s="1"/>
  <c r="AY6" i="13"/>
  <c r="AY24" i="13" s="1"/>
  <c r="AY38" i="13" s="1"/>
  <c r="BK6" i="13"/>
  <c r="BI9" i="13"/>
  <c r="BI27" i="13" s="1"/>
  <c r="E6" i="2"/>
  <c r="F15" i="1"/>
  <c r="BU6" i="13"/>
  <c r="E10" i="2"/>
  <c r="E8" i="2"/>
  <c r="AG126" i="1"/>
  <c r="AF168" i="1"/>
  <c r="AH168" i="1"/>
  <c r="W121" i="1"/>
  <c r="U121" i="1"/>
  <c r="U168" i="1"/>
  <c r="AG221" i="1"/>
  <c r="AC121" i="1"/>
  <c r="AC168" i="1"/>
  <c r="Z168" i="1"/>
  <c r="AD168" i="1"/>
  <c r="V168" i="1"/>
  <c r="Y121" i="1"/>
  <c r="AG121" i="1"/>
  <c r="AE121" i="1"/>
  <c r="AA121" i="1"/>
  <c r="AA168" i="1"/>
  <c r="AC188" i="1"/>
  <c r="Y105" i="1"/>
  <c r="AA106" i="1" s="1"/>
  <c r="AC45" i="1"/>
  <c r="AD45" i="1"/>
  <c r="AG45" i="1"/>
  <c r="AH45" i="1"/>
  <c r="AI45" i="1"/>
  <c r="AI126" i="1"/>
  <c r="AE126" i="1"/>
  <c r="M62" i="4"/>
  <c r="M54" i="4"/>
  <c r="M58" i="4"/>
  <c r="I43" i="3"/>
  <c r="AE40" i="3"/>
  <c r="AH9" i="2"/>
  <c r="AB46" i="2"/>
  <c r="AI130" i="1"/>
  <c r="AG236" i="1"/>
  <c r="AD22" i="2"/>
  <c r="U40" i="1"/>
  <c r="W40" i="1"/>
  <c r="M42" i="1"/>
  <c r="AK42" i="1"/>
  <c r="L44" i="1"/>
  <c r="L45" i="1" s="1"/>
  <c r="W44" i="1"/>
  <c r="W43" i="1"/>
  <c r="AA44" i="1"/>
  <c r="AK40" i="1"/>
  <c r="U43" i="1"/>
  <c r="U44" i="1"/>
  <c r="F46" i="2"/>
  <c r="AB40" i="2"/>
  <c r="T40" i="2"/>
  <c r="V70" i="2"/>
  <c r="V65" i="2" s="1"/>
  <c r="V40" i="2"/>
  <c r="D70" i="2"/>
  <c r="D71" i="2" s="1"/>
  <c r="D66" i="2" s="1"/>
  <c r="Z70" i="2"/>
  <c r="Z65" i="2" s="1"/>
  <c r="X40" i="2"/>
  <c r="T70" i="2"/>
  <c r="T65" i="2" s="1"/>
  <c r="D40" i="2"/>
  <c r="Z46" i="2"/>
  <c r="X8" i="2"/>
  <c r="E70" i="2"/>
  <c r="E71" i="2" s="1"/>
  <c r="E66" i="2" s="1"/>
  <c r="X6" i="2"/>
  <c r="AF40" i="2"/>
  <c r="AD40" i="2"/>
  <c r="E22" i="2"/>
  <c r="AD70" i="2"/>
  <c r="AD71" i="2" s="1"/>
  <c r="AD66" i="2" s="1"/>
  <c r="X22" i="2"/>
  <c r="H22" i="2"/>
  <c r="E40" i="2"/>
  <c r="F40" i="2"/>
  <c r="H40" i="2"/>
  <c r="G22" i="2"/>
  <c r="G70" i="2"/>
  <c r="G65" i="2" s="1"/>
  <c r="G40" i="2"/>
  <c r="AG270" i="1"/>
  <c r="AE131" i="1"/>
  <c r="AE60" i="1"/>
  <c r="AG146" i="1"/>
  <c r="AC50" i="1"/>
  <c r="I10" i="2"/>
  <c r="I11" i="2" s="1"/>
  <c r="AI226" i="1"/>
  <c r="I6" i="2"/>
  <c r="I29" i="2"/>
  <c r="I21" i="2"/>
  <c r="I31" i="2"/>
  <c r="I39" i="2"/>
  <c r="I6" i="3"/>
  <c r="AI50" i="1"/>
  <c r="AG131" i="1"/>
  <c r="J6" i="3"/>
  <c r="J21" i="2"/>
  <c r="J31" i="2"/>
  <c r="J29" i="2"/>
  <c r="T8" i="2"/>
  <c r="T6" i="2"/>
  <c r="Z9" i="2"/>
  <c r="Z8" i="2" s="1"/>
  <c r="Z6" i="2"/>
  <c r="AD8" i="2"/>
  <c r="AD6" i="2"/>
  <c r="V8" i="2"/>
  <c r="V6" i="2"/>
  <c r="AB10" i="2"/>
  <c r="AB11" i="2" s="1"/>
  <c r="AB6" i="2"/>
  <c r="AI106" i="1"/>
  <c r="U154" i="1"/>
  <c r="AC106" i="1"/>
  <c r="AG55" i="1"/>
  <c r="AE236" i="1"/>
  <c r="AE221" i="1"/>
  <c r="AI231" i="1"/>
  <c r="AI141" i="1"/>
  <c r="AG226" i="1"/>
  <c r="AE231" i="1"/>
  <c r="W146" i="1"/>
  <c r="AE141" i="1"/>
  <c r="AA146" i="1"/>
  <c r="AI270" i="1"/>
  <c r="V10" i="2"/>
  <c r="AB8" i="2"/>
  <c r="AD10" i="2"/>
  <c r="AE106" i="1"/>
  <c r="AE112" i="1"/>
  <c r="AE136" i="1"/>
  <c r="W236" i="1"/>
  <c r="AC146" i="1"/>
  <c r="AI221" i="1"/>
  <c r="AG136" i="1"/>
  <c r="Y54" i="1"/>
  <c r="Y55" i="1" s="1"/>
  <c r="Y53" i="1"/>
  <c r="AA54" i="1"/>
  <c r="AA53" i="1"/>
  <c r="AG60" i="1"/>
  <c r="AG112" i="1"/>
  <c r="Y236" i="1"/>
  <c r="AE146" i="1"/>
  <c r="Y146" i="1"/>
  <c r="F55" i="1"/>
  <c r="G55" i="1"/>
  <c r="AA236" i="1"/>
  <c r="AI236" i="1"/>
  <c r="AI136" i="1"/>
  <c r="W154" i="1"/>
  <c r="Y154" i="1"/>
  <c r="F50" i="1"/>
  <c r="G50" i="1"/>
  <c r="W60" i="1"/>
  <c r="AG50" i="1"/>
  <c r="AC236" i="1"/>
  <c r="F106" i="1"/>
  <c r="G106" i="1"/>
  <c r="Y67" i="1"/>
  <c r="Y49" i="1"/>
  <c r="Y50" i="1" s="1"/>
  <c r="AI146" i="1"/>
  <c r="U146" i="1"/>
  <c r="AG141" i="1"/>
  <c r="AG231" i="1"/>
  <c r="AE226" i="1"/>
  <c r="AG106" i="1"/>
  <c r="AI245" i="1"/>
  <c r="S21" i="2"/>
  <c r="S31" i="2"/>
  <c r="X81" i="2"/>
  <c r="X49" i="2"/>
  <c r="AI55" i="1"/>
  <c r="AC60" i="1"/>
  <c r="AE50" i="1"/>
  <c r="AI60" i="1"/>
  <c r="U60" i="1"/>
  <c r="AI112" i="1"/>
  <c r="G60" i="1"/>
  <c r="T10" i="2"/>
  <c r="AC62" i="1"/>
  <c r="AC63" i="1" s="1"/>
  <c r="AG178" i="1"/>
  <c r="BM6" i="13"/>
  <c r="S15" i="1"/>
  <c r="AW6" i="13"/>
  <c r="AI178" i="1"/>
  <c r="AI260" i="1"/>
  <c r="Y37" i="1"/>
  <c r="F38" i="1"/>
  <c r="G38" i="1"/>
  <c r="Y26" i="1"/>
  <c r="AA65" i="1"/>
  <c r="W66" i="1"/>
  <c r="W67" i="1"/>
  <c r="W68" i="1" s="1"/>
  <c r="Y66" i="1"/>
  <c r="AA26" i="1"/>
  <c r="AB65" i="1"/>
  <c r="G66" i="1"/>
  <c r="G67" i="1"/>
  <c r="Z67" i="1"/>
  <c r="Z68" i="1" s="1"/>
  <c r="Z66" i="1"/>
  <c r="H65" i="1"/>
  <c r="R65" i="2"/>
  <c r="R71" i="2"/>
  <c r="R66" i="2" s="1"/>
  <c r="H65" i="2"/>
  <c r="H71" i="2"/>
  <c r="AF65" i="2"/>
  <c r="AF71" i="2"/>
  <c r="AF66" i="2" s="1"/>
  <c r="C49" i="2"/>
  <c r="C81" i="2"/>
  <c r="C56" i="2"/>
  <c r="S39" i="2"/>
  <c r="S6" i="3"/>
  <c r="AH54" i="2"/>
  <c r="R49" i="2"/>
  <c r="R56" i="2"/>
  <c r="V104" i="1"/>
  <c r="AE15" i="1"/>
  <c r="F87" i="1"/>
  <c r="W104" i="1"/>
  <c r="W105" i="1"/>
  <c r="W106" i="1" s="1"/>
  <c r="AI87" i="1"/>
  <c r="W81" i="1"/>
  <c r="W86" i="1"/>
  <c r="AC15" i="1"/>
  <c r="AG191" i="1"/>
  <c r="U15" i="1"/>
  <c r="AA191" i="1"/>
  <c r="W15" i="1"/>
  <c r="AG186" i="1"/>
  <c r="AA260" i="1"/>
  <c r="W260" i="1"/>
  <c r="AE260" i="1"/>
  <c r="AE84" i="1"/>
  <c r="Y260" i="1"/>
  <c r="AG260" i="1"/>
  <c r="AC260" i="1"/>
  <c r="AE26" i="1"/>
  <c r="AE191" i="1"/>
  <c r="AC191" i="1"/>
  <c r="AC22" i="1"/>
  <c r="AC26" i="1" s="1"/>
  <c r="AE186" i="1"/>
  <c r="AG129" i="1"/>
  <c r="AE188" i="1"/>
  <c r="AI186" i="1"/>
  <c r="W22" i="1"/>
  <c r="W26" i="1" s="1"/>
  <c r="W191" i="1"/>
  <c r="U22" i="1"/>
  <c r="U26" i="1" s="1"/>
  <c r="U191" i="1"/>
  <c r="Y191" i="1"/>
  <c r="AG84" i="1"/>
  <c r="AI129" i="1"/>
  <c r="U84" i="1"/>
  <c r="AE129" i="1"/>
  <c r="AG43" i="1"/>
  <c r="AI84" i="1"/>
  <c r="AC43" i="1"/>
  <c r="AI43" i="1"/>
  <c r="W83" i="1"/>
  <c r="W84" i="1" s="1"/>
  <c r="AC84" i="1"/>
  <c r="Y31" i="1"/>
  <c r="Y35" i="1" s="1"/>
  <c r="Y83" i="1"/>
  <c r="AC54" i="1"/>
  <c r="AC53" i="1"/>
  <c r="AE43" i="1"/>
  <c r="AE44" i="1"/>
  <c r="F84" i="1"/>
  <c r="G84" i="1"/>
  <c r="Y59" i="1"/>
  <c r="Y60" i="1" s="1"/>
  <c r="Y7" i="1"/>
  <c r="Y104" i="1"/>
  <c r="AA31" i="1"/>
  <c r="AA35" i="1" s="1"/>
  <c r="AA104" i="1"/>
  <c r="Y81" i="1"/>
  <c r="G68" i="1" l="1"/>
  <c r="AB71" i="2"/>
  <c r="AB66" i="2" s="1"/>
  <c r="D56" i="2"/>
  <c r="D47" i="2"/>
  <c r="T47" i="2"/>
  <c r="T56" i="2"/>
  <c r="AD81" i="2"/>
  <c r="AD49" i="2"/>
  <c r="E47" i="2"/>
  <c r="E56" i="2"/>
  <c r="E49" i="2"/>
  <c r="F71" i="2"/>
  <c r="F66" i="2" s="1"/>
  <c r="G49" i="2"/>
  <c r="V56" i="2"/>
  <c r="X47" i="2"/>
  <c r="H47" i="2"/>
  <c r="V47" i="2"/>
  <c r="S70" i="2"/>
  <c r="S71" i="2" s="1"/>
  <c r="S66" i="2" s="1"/>
  <c r="F81" i="2"/>
  <c r="AH22" i="2"/>
  <c r="Z81" i="2"/>
  <c r="AB49" i="2"/>
  <c r="G81" i="2"/>
  <c r="T49" i="2"/>
  <c r="AF81" i="2"/>
  <c r="AF49" i="2"/>
  <c r="E81" i="2"/>
  <c r="AH70" i="2"/>
  <c r="AH71" i="2" s="1"/>
  <c r="AH66" i="2" s="1"/>
  <c r="D49" i="2"/>
  <c r="V49" i="2"/>
  <c r="AF47" i="2"/>
  <c r="AH11" i="3"/>
  <c r="X65" i="2"/>
  <c r="X71" i="2"/>
  <c r="X66" i="2" s="1"/>
  <c r="H81" i="2"/>
  <c r="H56" i="2"/>
  <c r="H57" i="2" s="1"/>
  <c r="H49" i="2"/>
  <c r="S11" i="3"/>
  <c r="N45" i="11"/>
  <c r="F22" i="11"/>
  <c r="M45" i="11"/>
  <c r="M44" i="11"/>
  <c r="X11" i="2"/>
  <c r="H8" i="2"/>
  <c r="D56" i="6"/>
  <c r="D54" i="6"/>
  <c r="D52" i="6"/>
  <c r="AD63" i="1"/>
  <c r="AF62" i="1"/>
  <c r="BM9" i="13"/>
  <c r="AL129" i="13"/>
  <c r="AL39" i="13" s="1"/>
  <c r="BU24" i="13"/>
  <c r="BV24" i="13"/>
  <c r="D11" i="2"/>
  <c r="BK24" i="13"/>
  <c r="BK38" i="13" s="1"/>
  <c r="E11" i="2"/>
  <c r="BO24" i="13"/>
  <c r="BO38" i="13" s="1"/>
  <c r="BM24" i="13"/>
  <c r="BM38" i="13" s="1"/>
  <c r="BL24" i="13"/>
  <c r="BL38" i="13" s="1"/>
  <c r="AH46" i="2"/>
  <c r="F5" i="2"/>
  <c r="F62" i="4"/>
  <c r="BD27" i="13"/>
  <c r="F16" i="1"/>
  <c r="F54" i="4"/>
  <c r="F58" i="4"/>
  <c r="BJ24" i="13"/>
  <c r="BJ38" i="13" s="1"/>
  <c r="F55" i="4"/>
  <c r="BA27" i="13"/>
  <c r="BF27" i="13"/>
  <c r="AZ27" i="13"/>
  <c r="BB24" i="13"/>
  <c r="BB38" i="13" s="1"/>
  <c r="BH24" i="13"/>
  <c r="BH38" i="13" s="1"/>
  <c r="BU12" i="13"/>
  <c r="S5" i="2"/>
  <c r="AH40" i="2"/>
  <c r="BH27" i="13"/>
  <c r="BF24" i="13"/>
  <c r="BF38" i="13" s="1"/>
  <c r="AZ24" i="13"/>
  <c r="AZ38" i="13" s="1"/>
  <c r="BU15" i="13"/>
  <c r="BV15" i="13"/>
  <c r="AW24" i="13"/>
  <c r="AW38" i="13" s="1"/>
  <c r="AX24" i="13"/>
  <c r="AX38" i="13" s="1"/>
  <c r="I22" i="2"/>
  <c r="E22" i="11"/>
  <c r="AI9" i="2"/>
  <c r="Y168" i="1"/>
  <c r="AI168" i="1"/>
  <c r="AE168" i="1"/>
  <c r="AG168" i="1"/>
  <c r="W168" i="1"/>
  <c r="U45" i="1"/>
  <c r="V45" i="1"/>
  <c r="W45" i="1"/>
  <c r="X45" i="1"/>
  <c r="AA45" i="1"/>
  <c r="AB45" i="1"/>
  <c r="AE45" i="1"/>
  <c r="AF45" i="1"/>
  <c r="AI131" i="1"/>
  <c r="AH10" i="2"/>
  <c r="N58" i="4"/>
  <c r="N54" i="4"/>
  <c r="N62" i="4"/>
  <c r="AE43" i="3"/>
  <c r="J40" i="3"/>
  <c r="AF40" i="3"/>
  <c r="AF43" i="3" s="1"/>
  <c r="F56" i="2"/>
  <c r="AB56" i="2"/>
  <c r="AD47" i="2"/>
  <c r="AB81" i="2"/>
  <c r="L49" i="1"/>
  <c r="L50" i="1" s="1"/>
  <c r="L48" i="1"/>
  <c r="AK47" i="1"/>
  <c r="F49" i="2"/>
  <c r="G47" i="2"/>
  <c r="AK43" i="1"/>
  <c r="AK44" i="1"/>
  <c r="AK45" i="1" s="1"/>
  <c r="F47" i="2"/>
  <c r="N42" i="1"/>
  <c r="M44" i="1"/>
  <c r="M45" i="1" s="1"/>
  <c r="M47" i="1"/>
  <c r="Y39" i="1"/>
  <c r="Y42" i="1"/>
  <c r="D65" i="2"/>
  <c r="AE16" i="1"/>
  <c r="Z71" i="2"/>
  <c r="Z66" i="2" s="1"/>
  <c r="E65" i="2"/>
  <c r="V71" i="2"/>
  <c r="V66" i="2" s="1"/>
  <c r="AB47" i="2"/>
  <c r="Z56" i="2"/>
  <c r="T71" i="2"/>
  <c r="T66" i="2" s="1"/>
  <c r="Z49" i="2"/>
  <c r="Z47" i="2"/>
  <c r="G71" i="2"/>
  <c r="G66" i="2" s="1"/>
  <c r="AD65" i="2"/>
  <c r="BG12" i="13"/>
  <c r="AY12" i="13"/>
  <c r="U16" i="1"/>
  <c r="BA12" i="13"/>
  <c r="W16" i="1"/>
  <c r="AA28" i="2"/>
  <c r="AA27" i="1"/>
  <c r="AE28" i="2"/>
  <c r="AE27" i="1"/>
  <c r="U28" i="2"/>
  <c r="U27" i="1"/>
  <c r="W28" i="2"/>
  <c r="W27" i="1"/>
  <c r="AC28" i="2"/>
  <c r="AC27" i="1"/>
  <c r="Y28" i="2"/>
  <c r="Y27" i="1"/>
  <c r="J22" i="2"/>
  <c r="J11" i="3"/>
  <c r="F41" i="11"/>
  <c r="I70" i="2"/>
  <c r="I46" i="2"/>
  <c r="E32" i="11"/>
  <c r="I40" i="2"/>
  <c r="E41" i="11"/>
  <c r="I11" i="3"/>
  <c r="AD11" i="2"/>
  <c r="AA55" i="1"/>
  <c r="V11" i="2"/>
  <c r="AC55" i="1"/>
  <c r="Y106" i="1"/>
  <c r="AA50" i="1"/>
  <c r="AE55" i="1"/>
  <c r="Y68" i="1"/>
  <c r="AA60" i="1"/>
  <c r="AE62" i="1"/>
  <c r="AE63" i="1" s="1"/>
  <c r="AE5" i="2"/>
  <c r="BI12" i="13"/>
  <c r="BI30" i="13" s="1"/>
  <c r="AW12" i="13"/>
  <c r="Y15" i="1"/>
  <c r="BC6" i="13"/>
  <c r="AI5" i="2"/>
  <c r="BM12" i="13"/>
  <c r="Y38" i="1"/>
  <c r="AA38" i="1"/>
  <c r="AD65" i="1"/>
  <c r="I65" i="1"/>
  <c r="AB67" i="1"/>
  <c r="AB68" i="1" s="1"/>
  <c r="AB66" i="1"/>
  <c r="H67" i="1"/>
  <c r="H66" i="1"/>
  <c r="AC65" i="1"/>
  <c r="AA66" i="1"/>
  <c r="AA67" i="1"/>
  <c r="AA68" i="1" s="1"/>
  <c r="H66" i="2"/>
  <c r="S46" i="2"/>
  <c r="AF54" i="2"/>
  <c r="X54" i="2"/>
  <c r="W87" i="1"/>
  <c r="Y87" i="1"/>
  <c r="AG22" i="1"/>
  <c r="AG26" i="1" s="1"/>
  <c r="AC5" i="2"/>
  <c r="W5" i="2"/>
  <c r="U5" i="2"/>
  <c r="AI22" i="1"/>
  <c r="AI26" i="1" s="1"/>
  <c r="AI191" i="1"/>
  <c r="Y84" i="1"/>
  <c r="AA84" i="1"/>
  <c r="H68" i="1" l="1"/>
  <c r="T57" i="2"/>
  <c r="AC71" i="2"/>
  <c r="AC66" i="2" s="1"/>
  <c r="D57" i="2"/>
  <c r="V57" i="2"/>
  <c r="E57" i="2"/>
  <c r="AH65" i="2"/>
  <c r="S65" i="2"/>
  <c r="U29" i="2"/>
  <c r="F57" i="2"/>
  <c r="AC6" i="3"/>
  <c r="AE6" i="3"/>
  <c r="W21" i="2"/>
  <c r="AA39" i="2"/>
  <c r="AA46" i="2" s="1"/>
  <c r="X56" i="2"/>
  <c r="Z57" i="2" s="1"/>
  <c r="AF56" i="2"/>
  <c r="AD57" i="2"/>
  <c r="AC8" i="2"/>
  <c r="E46" i="11"/>
  <c r="F46" i="11"/>
  <c r="F8" i="2"/>
  <c r="F63" i="4"/>
  <c r="AH62" i="1"/>
  <c r="AF63" i="1"/>
  <c r="BU21" i="13"/>
  <c r="BU30" i="13"/>
  <c r="AH81" i="2"/>
  <c r="AJ81" i="2" s="1"/>
  <c r="U6" i="2"/>
  <c r="AH49" i="2"/>
  <c r="AH47" i="2"/>
  <c r="AH56" i="2"/>
  <c r="F6" i="2"/>
  <c r="F59" i="4"/>
  <c r="F10" i="2"/>
  <c r="G11" i="2" s="1"/>
  <c r="BC24" i="13"/>
  <c r="BC38" i="13" s="1"/>
  <c r="BD24" i="13"/>
  <c r="BD38" i="13" s="1"/>
  <c r="AW30" i="13"/>
  <c r="AX30" i="13"/>
  <c r="BA30" i="13"/>
  <c r="BB30" i="13"/>
  <c r="AY30" i="13"/>
  <c r="AZ30" i="13"/>
  <c r="BG30" i="13"/>
  <c r="BH30" i="13"/>
  <c r="G57" i="2"/>
  <c r="O62" i="4"/>
  <c r="O54" i="4"/>
  <c r="O58" i="4"/>
  <c r="J43" i="3"/>
  <c r="AG40" i="3"/>
  <c r="AB57" i="2"/>
  <c r="AK48" i="1"/>
  <c r="AK49" i="1"/>
  <c r="AK50" i="1" s="1"/>
  <c r="Y44" i="1"/>
  <c r="Y43" i="1"/>
  <c r="AA43" i="1"/>
  <c r="L59" i="1"/>
  <c r="L58" i="1"/>
  <c r="AK57" i="1"/>
  <c r="O42" i="1"/>
  <c r="N44" i="1"/>
  <c r="N45" i="1" s="1"/>
  <c r="N47" i="1"/>
  <c r="Y40" i="1"/>
  <c r="AA40" i="1"/>
  <c r="M57" i="1"/>
  <c r="M48" i="1"/>
  <c r="M49" i="1"/>
  <c r="M50" i="1" s="1"/>
  <c r="W31" i="2"/>
  <c r="AE31" i="2"/>
  <c r="AA6" i="3"/>
  <c r="AE21" i="2"/>
  <c r="AA21" i="2"/>
  <c r="W6" i="3"/>
  <c r="AA31" i="2"/>
  <c r="W39" i="2"/>
  <c r="AA29" i="2"/>
  <c r="Y31" i="2"/>
  <c r="U39" i="2"/>
  <c r="AE29" i="2"/>
  <c r="Y39" i="2"/>
  <c r="U6" i="3"/>
  <c r="U21" i="2"/>
  <c r="AC29" i="2"/>
  <c r="AC31" i="2"/>
  <c r="AC21" i="2"/>
  <c r="BC12" i="13"/>
  <c r="Y16" i="1"/>
  <c r="U31" i="2"/>
  <c r="W29" i="2"/>
  <c r="Y29" i="2"/>
  <c r="AG28" i="2"/>
  <c r="AG27" i="1"/>
  <c r="AI28" i="2"/>
  <c r="AI27" i="1"/>
  <c r="Y6" i="3"/>
  <c r="Y21" i="2"/>
  <c r="I81" i="2"/>
  <c r="I47" i="2"/>
  <c r="I56" i="2"/>
  <c r="E35" i="11"/>
  <c r="M48" i="11" s="1"/>
  <c r="I49" i="2"/>
  <c r="I65" i="2"/>
  <c r="I71" i="2"/>
  <c r="I66" i="2" s="1"/>
  <c r="AE6" i="2"/>
  <c r="W6" i="2"/>
  <c r="AC10" i="2"/>
  <c r="AG62" i="1"/>
  <c r="AG63" i="1" s="1"/>
  <c r="Y5" i="2"/>
  <c r="I67" i="1"/>
  <c r="I66" i="1"/>
  <c r="J65" i="1"/>
  <c r="AC67" i="1"/>
  <c r="AC68" i="1" s="1"/>
  <c r="AC66" i="1"/>
  <c r="AE65" i="1"/>
  <c r="AD67" i="1"/>
  <c r="AD68" i="1" s="1"/>
  <c r="AD66" i="1"/>
  <c r="AF65" i="1"/>
  <c r="S56" i="2"/>
  <c r="S81" i="2"/>
  <c r="S49" i="2"/>
  <c r="U8" i="2"/>
  <c r="U10" i="2"/>
  <c r="W10" i="2"/>
  <c r="W8" i="2"/>
  <c r="X57" i="2" l="1"/>
  <c r="I68" i="1"/>
  <c r="U11" i="3"/>
  <c r="W70" i="2"/>
  <c r="W65" i="2" s="1"/>
  <c r="AF57" i="2"/>
  <c r="Y46" i="2"/>
  <c r="Y49" i="2" s="1"/>
  <c r="AA70" i="2"/>
  <c r="W11" i="3"/>
  <c r="AC11" i="3"/>
  <c r="Y22" i="2"/>
  <c r="U70" i="2"/>
  <c r="U65" i="2" s="1"/>
  <c r="AG29" i="2"/>
  <c r="Y11" i="3"/>
  <c r="U22" i="2"/>
  <c r="AA11" i="3"/>
  <c r="AE11" i="3"/>
  <c r="M46" i="11"/>
  <c r="M53" i="11"/>
  <c r="AJ62" i="1"/>
  <c r="AJ63" i="1" s="1"/>
  <c r="AH63" i="1"/>
  <c r="AH57" i="2"/>
  <c r="F11" i="2"/>
  <c r="BC30" i="13"/>
  <c r="BD30" i="13"/>
  <c r="L60" i="1"/>
  <c r="P40" i="11"/>
  <c r="Y45" i="1"/>
  <c r="Z45" i="1"/>
  <c r="P58" i="4"/>
  <c r="P54" i="4"/>
  <c r="P62" i="4"/>
  <c r="AG43" i="3"/>
  <c r="AH40" i="3"/>
  <c r="AH43" i="3" s="1"/>
  <c r="K40" i="3"/>
  <c r="AI31" i="2"/>
  <c r="N57" i="1"/>
  <c r="N48" i="1"/>
  <c r="N49" i="1"/>
  <c r="N50" i="1" s="1"/>
  <c r="P42" i="1"/>
  <c r="O44" i="1"/>
  <c r="O45" i="1" s="1"/>
  <c r="O47" i="1"/>
  <c r="L65" i="1"/>
  <c r="M58" i="1"/>
  <c r="M19" i="1"/>
  <c r="M59" i="1"/>
  <c r="AK19" i="1"/>
  <c r="AK58" i="1"/>
  <c r="AK59" i="1"/>
  <c r="H25" i="11"/>
  <c r="AH65" i="1"/>
  <c r="AH66" i="1" s="1"/>
  <c r="W22" i="2"/>
  <c r="AA40" i="2"/>
  <c r="W46" i="2"/>
  <c r="W40" i="2"/>
  <c r="AC22" i="2"/>
  <c r="U40" i="2"/>
  <c r="U46" i="2"/>
  <c r="Y40" i="2"/>
  <c r="Y70" i="2"/>
  <c r="Y65" i="2" s="1"/>
  <c r="AE22" i="2"/>
  <c r="AA22" i="2"/>
  <c r="AI6" i="3"/>
  <c r="AI21" i="2"/>
  <c r="AG21" i="2"/>
  <c r="AG39" i="2"/>
  <c r="AG6" i="3"/>
  <c r="AG31" i="2"/>
  <c r="AI29" i="2"/>
  <c r="E37" i="11"/>
  <c r="M51" i="11" s="1"/>
  <c r="I57" i="2"/>
  <c r="AA49" i="2"/>
  <c r="AA81" i="2"/>
  <c r="AA56" i="2"/>
  <c r="Y10" i="2"/>
  <c r="Y11" i="2" s="1"/>
  <c r="Y6" i="2"/>
  <c r="W11" i="2"/>
  <c r="Y8" i="2"/>
  <c r="K65" i="1"/>
  <c r="AI62" i="1"/>
  <c r="AF67" i="1"/>
  <c r="AF68" i="1" s="1"/>
  <c r="AF66" i="1"/>
  <c r="J67" i="1"/>
  <c r="J66" i="1"/>
  <c r="AE67" i="1"/>
  <c r="AE68" i="1" s="1"/>
  <c r="AE66" i="1"/>
  <c r="AG65" i="1"/>
  <c r="AK60" i="1" l="1"/>
  <c r="J68" i="1"/>
  <c r="K43" i="3"/>
  <c r="W71" i="2"/>
  <c r="W66" i="2" s="1"/>
  <c r="AA47" i="2"/>
  <c r="Y56" i="2"/>
  <c r="U71" i="2"/>
  <c r="U66" i="2" s="1"/>
  <c r="Y81" i="2"/>
  <c r="AI11" i="3"/>
  <c r="W56" i="2"/>
  <c r="AG11" i="3"/>
  <c r="AG70" i="2"/>
  <c r="AG71" i="2" s="1"/>
  <c r="AG66" i="2" s="1"/>
  <c r="AA65" i="2"/>
  <c r="AA71" i="2"/>
  <c r="AA66" i="2" s="1"/>
  <c r="U47" i="2"/>
  <c r="AG22" i="2"/>
  <c r="K66" i="1"/>
  <c r="M47" i="11"/>
  <c r="AI65" i="1"/>
  <c r="AI67" i="1" s="1"/>
  <c r="AI63" i="1"/>
  <c r="M60" i="1"/>
  <c r="Q40" i="11"/>
  <c r="AH67" i="1"/>
  <c r="AH68" i="1" s="1"/>
  <c r="M65" i="1"/>
  <c r="M67" i="1" s="1"/>
  <c r="AI40" i="3"/>
  <c r="I25" i="11"/>
  <c r="AK62" i="1"/>
  <c r="AJ65" i="1"/>
  <c r="P44" i="1"/>
  <c r="P45" i="1" s="1"/>
  <c r="P47" i="1"/>
  <c r="L67" i="1"/>
  <c r="L66" i="1"/>
  <c r="O49" i="1"/>
  <c r="O50" i="1" s="1"/>
  <c r="O57" i="1"/>
  <c r="O48" i="1"/>
  <c r="N65" i="1"/>
  <c r="N19" i="1"/>
  <c r="N59" i="1"/>
  <c r="N58" i="1"/>
  <c r="W49" i="2"/>
  <c r="Y47" i="2"/>
  <c r="U56" i="2"/>
  <c r="W81" i="2"/>
  <c r="U49" i="2"/>
  <c r="U81" i="2"/>
  <c r="W47" i="2"/>
  <c r="Y71" i="2"/>
  <c r="Y66" i="2" s="1"/>
  <c r="AI22" i="2"/>
  <c r="K67" i="1"/>
  <c r="AG66" i="1"/>
  <c r="AG67" i="1"/>
  <c r="AG68" i="1" s="1"/>
  <c r="K68" i="1" l="1"/>
  <c r="AA57" i="2"/>
  <c r="Y57" i="2"/>
  <c r="U57" i="2"/>
  <c r="AI66" i="1"/>
  <c r="AK65" i="1"/>
  <c r="AK66" i="1" s="1"/>
  <c r="AK63" i="1"/>
  <c r="N60" i="1"/>
  <c r="R40" i="11"/>
  <c r="M66" i="1"/>
  <c r="AI43" i="3"/>
  <c r="L40" i="3"/>
  <c r="AJ67" i="1"/>
  <c r="AJ68" i="1" s="1"/>
  <c r="AJ66" i="1"/>
  <c r="P57" i="1"/>
  <c r="P48" i="1"/>
  <c r="P49" i="1"/>
  <c r="P50" i="1" s="1"/>
  <c r="J25" i="11"/>
  <c r="L68" i="1"/>
  <c r="O65" i="1"/>
  <c r="O19" i="1"/>
  <c r="O59" i="1"/>
  <c r="O58" i="1"/>
  <c r="N66" i="1"/>
  <c r="N67" i="1"/>
  <c r="M68" i="1"/>
  <c r="W57" i="2"/>
  <c r="AI68" i="1"/>
  <c r="J39" i="2"/>
  <c r="N68" i="1" l="1"/>
  <c r="O60" i="1"/>
  <c r="F32" i="11"/>
  <c r="AK67" i="1"/>
  <c r="AK68" i="1" s="1"/>
  <c r="O67" i="1"/>
  <c r="O66" i="1"/>
  <c r="P65" i="1"/>
  <c r="P19" i="1"/>
  <c r="P59" i="1"/>
  <c r="P58" i="1"/>
  <c r="J46" i="2"/>
  <c r="J70" i="2"/>
  <c r="J40" i="2"/>
  <c r="O68" i="1" l="1"/>
  <c r="P60" i="1"/>
  <c r="F35" i="11"/>
  <c r="N48" i="11" s="1"/>
  <c r="P67" i="1"/>
  <c r="P66" i="1"/>
  <c r="J65" i="2"/>
  <c r="J71" i="2"/>
  <c r="J66" i="2" s="1"/>
  <c r="J49" i="2"/>
  <c r="J81" i="2"/>
  <c r="J47" i="2"/>
  <c r="J56" i="2"/>
  <c r="AE10" i="2"/>
  <c r="AE11" i="2" s="1"/>
  <c r="AE8" i="2"/>
  <c r="P68" i="1" l="1"/>
  <c r="F37" i="11"/>
  <c r="N51" i="11" s="1"/>
  <c r="N46" i="11"/>
  <c r="N53" i="11"/>
  <c r="J57" i="2"/>
  <c r="AC39" i="2"/>
  <c r="AE39" i="2"/>
  <c r="AC70" i="2" l="1"/>
  <c r="AC65" i="2" s="1"/>
  <c r="N47" i="11"/>
  <c r="AE46" i="2"/>
  <c r="AE70" i="2"/>
  <c r="AE71" i="2" s="1"/>
  <c r="AE66" i="2" s="1"/>
  <c r="AC40" i="2"/>
  <c r="AC46" i="2"/>
  <c r="AE40" i="2"/>
  <c r="AC81" i="2" l="1"/>
  <c r="AE49" i="2"/>
  <c r="AE81" i="2"/>
  <c r="AE47" i="2"/>
  <c r="AC56" i="2"/>
  <c r="AE65" i="2"/>
  <c r="AC49" i="2"/>
  <c r="AC47" i="2"/>
  <c r="AC57" i="2" l="1"/>
  <c r="AE54" i="2"/>
  <c r="AG65" i="2"/>
  <c r="AE56" i="2" l="1"/>
  <c r="AG40" i="2"/>
  <c r="AG46" i="2"/>
  <c r="AG81" i="2" l="1"/>
  <c r="AE57" i="2"/>
  <c r="AG54" i="2"/>
  <c r="AG49" i="2"/>
  <c r="AG47" i="2"/>
  <c r="AG56" i="2" l="1"/>
  <c r="AI8" i="2"/>
  <c r="AI10" i="2"/>
  <c r="AG57" i="2" l="1"/>
  <c r="AI39" i="2"/>
  <c r="AI70" i="2" l="1"/>
  <c r="AI71" i="2" s="1"/>
  <c r="AI66" i="2" s="1"/>
  <c r="AI54" i="2"/>
  <c r="AI40" i="2"/>
  <c r="AI46" i="2"/>
  <c r="AI65" i="2" l="1"/>
  <c r="AI56" i="2"/>
  <c r="AI47" i="2"/>
  <c r="AI49" i="2"/>
  <c r="AI57" i="2" l="1"/>
  <c r="G8" i="1"/>
  <c r="AA317" i="1"/>
  <c r="AA8" i="1" s="1"/>
  <c r="G322" i="1"/>
  <c r="H323" i="1" s="1"/>
  <c r="G325" i="1"/>
  <c r="H318" i="1"/>
  <c r="G15" i="1" l="1"/>
  <c r="BV7" i="13"/>
  <c r="AA15" i="1"/>
  <c r="BE7" i="13"/>
  <c r="AC318" i="1"/>
  <c r="AA322" i="1"/>
  <c r="AC323" i="1" s="1"/>
  <c r="G58" i="4" l="1"/>
  <c r="G5" i="2"/>
  <c r="G54" i="4"/>
  <c r="BW16" i="13"/>
  <c r="BW25" i="13"/>
  <c r="G16" i="1"/>
  <c r="H16" i="1"/>
  <c r="AA5" i="2"/>
  <c r="BV12" i="13"/>
  <c r="G62" i="4"/>
  <c r="G55" i="4"/>
  <c r="BE25" i="13"/>
  <c r="BF25" i="13"/>
  <c r="BE12" i="13"/>
  <c r="AA16" i="1"/>
  <c r="AC16" i="1"/>
  <c r="S8" i="2"/>
  <c r="G63" i="4" l="1"/>
  <c r="AC6" i="2"/>
  <c r="H6" i="2"/>
  <c r="G6" i="2"/>
  <c r="G9" i="2"/>
  <c r="AA9" i="2" s="1"/>
  <c r="AA10" i="2" s="1"/>
  <c r="AC11" i="2" s="1"/>
  <c r="G59" i="4"/>
  <c r="BV21" i="13"/>
  <c r="BV30" i="13"/>
  <c r="BW30" i="13"/>
  <c r="AA6" i="2"/>
  <c r="BW21" i="13"/>
  <c r="BE30" i="13"/>
  <c r="BF30" i="13"/>
  <c r="G8" i="2" l="1"/>
  <c r="AA11" i="2"/>
  <c r="AE151" i="1"/>
  <c r="K151" i="1"/>
  <c r="L152" i="1" s="1"/>
  <c r="I151" i="1"/>
  <c r="J151" i="1"/>
  <c r="G151" i="1"/>
  <c r="H151" i="1"/>
  <c r="AC151" i="1"/>
  <c r="AI151" i="1"/>
  <c r="AA151" i="1"/>
  <c r="AG151" i="1"/>
  <c r="AA8" i="2" l="1"/>
  <c r="H153" i="1"/>
  <c r="H152" i="1"/>
  <c r="G153" i="1"/>
  <c r="G152" i="1"/>
  <c r="AG152" i="1"/>
  <c r="AG153" i="1"/>
  <c r="J153" i="1"/>
  <c r="J152" i="1"/>
  <c r="AA153" i="1"/>
  <c r="AA154" i="1" s="1"/>
  <c r="AA152" i="1"/>
  <c r="I152" i="1"/>
  <c r="I153" i="1"/>
  <c r="AI153" i="1"/>
  <c r="AI152" i="1"/>
  <c r="K153" i="1"/>
  <c r="K152" i="1"/>
  <c r="AC152" i="1"/>
  <c r="AC153" i="1"/>
  <c r="AE153" i="1"/>
  <c r="AE152" i="1"/>
  <c r="L154" i="1" l="1"/>
  <c r="G154" i="1"/>
  <c r="AC154" i="1"/>
  <c r="I154" i="1"/>
  <c r="AG154" i="1"/>
  <c r="K154" i="1"/>
  <c r="J154" i="1"/>
  <c r="H154" i="1"/>
  <c r="AE154" i="1"/>
  <c r="AI154" i="1"/>
  <c r="T12" i="13"/>
  <c r="S12" i="13"/>
  <c r="AF12" i="1" l="1"/>
  <c r="BJ9" i="13" s="1"/>
  <c r="AG12" i="1"/>
  <c r="BJ27" i="13" l="1"/>
  <c r="AF15" i="1"/>
  <c r="AG15" i="1"/>
  <c r="BK9" i="13"/>
  <c r="AF5" i="2" l="1"/>
  <c r="BJ12" i="13"/>
  <c r="BJ30" i="13" s="1"/>
  <c r="BM27" i="13"/>
  <c r="AF62" i="4"/>
  <c r="AH16" i="1"/>
  <c r="AF16" i="1"/>
  <c r="AF55" i="4"/>
  <c r="AF58" i="4"/>
  <c r="AG5" i="2"/>
  <c r="AF54" i="4"/>
  <c r="BK12" i="13"/>
  <c r="BK27" i="13"/>
  <c r="BL27" i="13"/>
  <c r="AG16" i="1"/>
  <c r="AI16" i="1"/>
  <c r="K24" i="1"/>
  <c r="AF63" i="4" l="1"/>
  <c r="AF59" i="4"/>
  <c r="AF6" i="2"/>
  <c r="AH6" i="2"/>
  <c r="AF9" i="2"/>
  <c r="AG9" i="2" s="1"/>
  <c r="AG8" i="2" s="1"/>
  <c r="AI6" i="2"/>
  <c r="BK30" i="13"/>
  <c r="BM30" i="13"/>
  <c r="AG6" i="2"/>
  <c r="BL30" i="13"/>
  <c r="K26" i="1"/>
  <c r="G28" i="11"/>
  <c r="K28" i="2" l="1"/>
  <c r="AG10" i="2"/>
  <c r="AG11" i="2" s="1"/>
  <c r="AF10" i="2"/>
  <c r="AF11" i="2" s="1"/>
  <c r="K27" i="1"/>
  <c r="G30" i="11"/>
  <c r="AI11" i="2" l="1"/>
  <c r="D45" i="6"/>
  <c r="D58" i="6" s="1"/>
  <c r="D59" i="6" s="1"/>
  <c r="D60" i="6" s="1"/>
  <c r="K21" i="2"/>
  <c r="G22" i="11" s="1"/>
  <c r="AH11" i="2"/>
  <c r="K29" i="2"/>
  <c r="K31" i="2"/>
  <c r="K39" i="2"/>
  <c r="K6" i="3"/>
  <c r="D47" i="6" l="1"/>
  <c r="O45" i="11"/>
  <c r="K46" i="2"/>
  <c r="K22" i="2"/>
  <c r="K11" i="3"/>
  <c r="G41" i="11"/>
  <c r="G32" i="11"/>
  <c r="K40" i="2"/>
  <c r="K70" i="2"/>
  <c r="K56" i="2" l="1"/>
  <c r="G46" i="11"/>
  <c r="K65" i="2"/>
  <c r="K71" i="2"/>
  <c r="K66" i="2" s="1"/>
  <c r="G35" i="11"/>
  <c r="O48" i="11" s="1"/>
  <c r="K47" i="2"/>
  <c r="K49" i="2"/>
  <c r="AI79" i="2"/>
  <c r="K80" i="2"/>
  <c r="G38" i="11" l="1"/>
  <c r="O52" i="11" s="1"/>
  <c r="AI80" i="2"/>
  <c r="O46" i="11"/>
  <c r="K81" i="2"/>
  <c r="K57" i="2"/>
  <c r="G37" i="11"/>
  <c r="O51" i="11" s="1"/>
  <c r="L111" i="1"/>
  <c r="AK35" i="1"/>
  <c r="AI81" i="2" l="1"/>
  <c r="L109" i="1"/>
  <c r="AK109" i="1" s="1"/>
  <c r="O47" i="11"/>
  <c r="O53" i="11"/>
  <c r="M111" i="1"/>
  <c r="L110" i="1" l="1"/>
  <c r="M109" i="1"/>
  <c r="M110" i="1" s="1"/>
  <c r="N111" i="1"/>
  <c r="AK110" i="1"/>
  <c r="AK111" i="1"/>
  <c r="AK112" i="1" s="1"/>
  <c r="L254" i="1"/>
  <c r="M254" i="1" s="1"/>
  <c r="N254" i="1" s="1"/>
  <c r="N109" i="1" l="1"/>
  <c r="N110" i="1" s="1"/>
  <c r="O111" i="1"/>
  <c r="N210" i="1"/>
  <c r="N208" i="1" s="1"/>
  <c r="O254" i="1"/>
  <c r="M210" i="1"/>
  <c r="M208" i="1" s="1"/>
  <c r="L210" i="1"/>
  <c r="P111" i="1" l="1"/>
  <c r="L208" i="1"/>
  <c r="L207" i="1" s="1"/>
  <c r="O109" i="1"/>
  <c r="O110" i="1" s="1"/>
  <c r="O210" i="1"/>
  <c r="O208" i="1" s="1"/>
  <c r="P254" i="1"/>
  <c r="P210" i="1" s="1"/>
  <c r="P208" i="1" s="1"/>
  <c r="P109" i="1" l="1"/>
  <c r="P110" i="1" s="1"/>
  <c r="AK207" i="1"/>
  <c r="AK208" i="1" s="1"/>
  <c r="AK211" i="1" s="1"/>
  <c r="L239" i="1"/>
  <c r="L230" i="1"/>
  <c r="L231" i="1" s="1"/>
  <c r="L197" i="1"/>
  <c r="L194" i="1" s="1"/>
  <c r="BZ126" i="13" s="1"/>
  <c r="BZ132" i="13" s="1"/>
  <c r="L269" i="1"/>
  <c r="L270" i="1" s="1"/>
  <c r="L213" i="1"/>
  <c r="M207" i="1"/>
  <c r="L233" i="1"/>
  <c r="AK238" i="1"/>
  <c r="AK233" i="1" l="1"/>
  <c r="L214" i="1"/>
  <c r="L9" i="2"/>
  <c r="L223" i="1"/>
  <c r="L218" i="1" s="1"/>
  <c r="L219" i="1" s="1"/>
  <c r="AK269" i="1"/>
  <c r="AK270" i="1" s="1"/>
  <c r="AK197" i="1"/>
  <c r="BO122" i="13" s="1"/>
  <c r="BO129" i="13" s="1"/>
  <c r="BO39" i="13" s="1"/>
  <c r="AK230" i="1"/>
  <c r="AK231" i="1" s="1"/>
  <c r="AK239" i="1"/>
  <c r="M269" i="1"/>
  <c r="M270" i="1" s="1"/>
  <c r="M239" i="1"/>
  <c r="BZ122" i="13"/>
  <c r="BZ129" i="13" s="1"/>
  <c r="BZ39" i="13" s="1"/>
  <c r="AK213" i="1"/>
  <c r="AK214" i="1" s="1"/>
  <c r="N207" i="1"/>
  <c r="M213" i="1"/>
  <c r="M197" i="1"/>
  <c r="CA122" i="13" s="1"/>
  <c r="M230" i="1"/>
  <c r="M231" i="1" s="1"/>
  <c r="L12" i="1"/>
  <c r="L195" i="1"/>
  <c r="M214" i="1" l="1"/>
  <c r="M9" i="2"/>
  <c r="L224" i="1"/>
  <c r="L225" i="1"/>
  <c r="L226" i="1" s="1"/>
  <c r="AK194" i="1"/>
  <c r="AK195" i="1" s="1"/>
  <c r="AK215" i="1"/>
  <c r="AK216" i="1" s="1"/>
  <c r="CA9" i="13"/>
  <c r="CA27" i="13" s="1"/>
  <c r="N269" i="1"/>
  <c r="N270" i="1" s="1"/>
  <c r="N239" i="1"/>
  <c r="CA129" i="13"/>
  <c r="CA39" i="13" s="1"/>
  <c r="O207" i="1"/>
  <c r="N197" i="1"/>
  <c r="N194" i="1" s="1"/>
  <c r="N12" i="1" s="1"/>
  <c r="M194" i="1"/>
  <c r="CA126" i="13" s="1"/>
  <c r="CA132" i="13" s="1"/>
  <c r="N213" i="1"/>
  <c r="N230" i="1"/>
  <c r="N231" i="1" s="1"/>
  <c r="L220" i="1"/>
  <c r="L221" i="1" s="1"/>
  <c r="L15" i="1"/>
  <c r="H18" i="11"/>
  <c r="AP122" i="13"/>
  <c r="AP129" i="13" s="1"/>
  <c r="AP39" i="13" s="1"/>
  <c r="L242" i="1"/>
  <c r="L236" i="1"/>
  <c r="L234" i="1"/>
  <c r="L202" i="1"/>
  <c r="N214" i="1" l="1"/>
  <c r="N9" i="2"/>
  <c r="L201" i="1"/>
  <c r="BO126" i="13"/>
  <c r="BO132" i="13" s="1"/>
  <c r="AK12" i="1"/>
  <c r="CA18" i="13"/>
  <c r="O230" i="1"/>
  <c r="O231" i="1" s="1"/>
  <c r="O239" i="1"/>
  <c r="P207" i="1"/>
  <c r="P239" i="1" s="1"/>
  <c r="O213" i="1"/>
  <c r="N195" i="1"/>
  <c r="M12" i="1"/>
  <c r="O197" i="1"/>
  <c r="O194" i="1" s="1"/>
  <c r="O195" i="1" s="1"/>
  <c r="O269" i="1"/>
  <c r="O270" i="1" s="1"/>
  <c r="L5" i="2"/>
  <c r="L61" i="4"/>
  <c r="M195" i="1"/>
  <c r="CA12" i="13"/>
  <c r="CA21" i="13" s="1"/>
  <c r="H21" i="11"/>
  <c r="L53" i="4"/>
  <c r="L7" i="4" s="1"/>
  <c r="L16" i="1"/>
  <c r="L57" i="4"/>
  <c r="AK235" i="1"/>
  <c r="AK236" i="1" s="1"/>
  <c r="AK242" i="1"/>
  <c r="AK202" i="1"/>
  <c r="AK234" i="1"/>
  <c r="N15" i="1"/>
  <c r="J18" i="11"/>
  <c r="L244" i="1"/>
  <c r="L243" i="1"/>
  <c r="L245" i="1" l="1"/>
  <c r="L24" i="1"/>
  <c r="H28" i="11" s="1"/>
  <c r="L8" i="2"/>
  <c r="O214" i="1"/>
  <c r="O9" i="2"/>
  <c r="AK201" i="1"/>
  <c r="AK24" i="1" s="1"/>
  <c r="L26" i="4"/>
  <c r="L63" i="4"/>
  <c r="BO9" i="13"/>
  <c r="BO27" i="13" s="1"/>
  <c r="AP126" i="13"/>
  <c r="AP132" i="13" s="1"/>
  <c r="L6" i="2"/>
  <c r="E43" i="6"/>
  <c r="E50" i="6" s="1"/>
  <c r="P197" i="1"/>
  <c r="P194" i="1" s="1"/>
  <c r="P12" i="1" s="1"/>
  <c r="P15" i="1" s="1"/>
  <c r="P213" i="1"/>
  <c r="P230" i="1"/>
  <c r="P231" i="1" s="1"/>
  <c r="P269" i="1"/>
  <c r="P270" i="1" s="1"/>
  <c r="CA30" i="13"/>
  <c r="I18" i="11"/>
  <c r="L59" i="4"/>
  <c r="O12" i="1"/>
  <c r="O15" i="1" s="1"/>
  <c r="M15" i="1"/>
  <c r="L8" i="4"/>
  <c r="L65" i="4"/>
  <c r="L66" i="4" s="1"/>
  <c r="L8" i="3" s="1"/>
  <c r="N53" i="4"/>
  <c r="N57" i="4"/>
  <c r="N61" i="4"/>
  <c r="L55" i="4"/>
  <c r="P15" i="11"/>
  <c r="N5" i="2"/>
  <c r="N8" i="2" s="1"/>
  <c r="J21" i="11"/>
  <c r="AK244" i="1"/>
  <c r="AK245" i="1" s="1"/>
  <c r="AK243" i="1"/>
  <c r="L26" i="1" l="1"/>
  <c r="P214" i="1"/>
  <c r="P9" i="2"/>
  <c r="G43" i="6"/>
  <c r="G50" i="6" s="1"/>
  <c r="P24" i="11"/>
  <c r="O57" i="4"/>
  <c r="O8" i="4" s="1"/>
  <c r="P44" i="11"/>
  <c r="P16" i="11"/>
  <c r="L33" i="4"/>
  <c r="N26" i="4"/>
  <c r="N63" i="4"/>
  <c r="P195" i="1"/>
  <c r="E56" i="6"/>
  <c r="E52" i="6"/>
  <c r="E44" i="6"/>
  <c r="E53" i="6"/>
  <c r="E54" i="6" s="1"/>
  <c r="M57" i="4"/>
  <c r="M8" i="4" s="1"/>
  <c r="O53" i="4"/>
  <c r="O7" i="4" s="1"/>
  <c r="O61" i="4"/>
  <c r="H45" i="11"/>
  <c r="O16" i="1"/>
  <c r="M16" i="1"/>
  <c r="I21" i="11"/>
  <c r="M61" i="4"/>
  <c r="M5" i="2"/>
  <c r="O5" i="2"/>
  <c r="O8" i="2" s="1"/>
  <c r="M53" i="4"/>
  <c r="M7" i="4" s="1"/>
  <c r="N16" i="1"/>
  <c r="L67" i="4"/>
  <c r="N59" i="4"/>
  <c r="P61" i="4"/>
  <c r="P53" i="4"/>
  <c r="P57" i="4"/>
  <c r="N8" i="4"/>
  <c r="N65" i="4"/>
  <c r="N7" i="4"/>
  <c r="P16" i="1"/>
  <c r="P5" i="2"/>
  <c r="L28" i="2" l="1"/>
  <c r="H30" i="11"/>
  <c r="L27" i="1"/>
  <c r="P8" i="2"/>
  <c r="M8" i="2"/>
  <c r="G56" i="6"/>
  <c r="G52" i="6"/>
  <c r="I43" i="6"/>
  <c r="I50" i="6" s="1"/>
  <c r="J50" i="6" s="1"/>
  <c r="K50" i="6" s="1"/>
  <c r="L50" i="6" s="1"/>
  <c r="M50" i="6" s="1"/>
  <c r="N50" i="6" s="1"/>
  <c r="H43" i="6"/>
  <c r="H50" i="6" s="1"/>
  <c r="O55" i="4"/>
  <c r="Q16" i="11"/>
  <c r="N33" i="4"/>
  <c r="R16" i="11"/>
  <c r="P27" i="11"/>
  <c r="P26" i="11" s="1"/>
  <c r="L41" i="4"/>
  <c r="M55" i="4"/>
  <c r="R24" i="11"/>
  <c r="P26" i="4"/>
  <c r="P63" i="4"/>
  <c r="O26" i="4"/>
  <c r="O63" i="4"/>
  <c r="M26" i="4"/>
  <c r="M63" i="4"/>
  <c r="M6" i="2"/>
  <c r="F43" i="6"/>
  <c r="F50" i="6" s="1"/>
  <c r="O65" i="4"/>
  <c r="O66" i="4" s="1"/>
  <c r="O8" i="3" s="1"/>
  <c r="Q15" i="11"/>
  <c r="M59" i="4"/>
  <c r="N6" i="2"/>
  <c r="O6" i="2"/>
  <c r="O59" i="4"/>
  <c r="P6" i="2"/>
  <c r="M65" i="4"/>
  <c r="M66" i="4" s="1"/>
  <c r="M8" i="3" s="1"/>
  <c r="P59" i="4"/>
  <c r="N55" i="4"/>
  <c r="R15" i="11"/>
  <c r="P8" i="4"/>
  <c r="P7" i="4"/>
  <c r="P65" i="4"/>
  <c r="L33" i="2" l="1"/>
  <c r="L39" i="2"/>
  <c r="L6" i="3"/>
  <c r="L29" i="2"/>
  <c r="P45" i="11" s="1"/>
  <c r="E45" i="6"/>
  <c r="E58" i="6" s="1"/>
  <c r="E59" i="6" s="1"/>
  <c r="E60" i="6" s="1"/>
  <c r="L21" i="2"/>
  <c r="J43" i="6"/>
  <c r="J49" i="6" s="1"/>
  <c r="I56" i="6"/>
  <c r="I52" i="6"/>
  <c r="J52" i="6" s="1"/>
  <c r="K52" i="6" s="1"/>
  <c r="L52" i="6" s="1"/>
  <c r="M52" i="6" s="1"/>
  <c r="N52" i="6" s="1"/>
  <c r="H44" i="6"/>
  <c r="I44" i="6"/>
  <c r="H52" i="6"/>
  <c r="P33" i="4"/>
  <c r="R27" i="11"/>
  <c r="R26" i="11" s="1"/>
  <c r="P55" i="4"/>
  <c r="H53" i="6"/>
  <c r="H54" i="6" s="1"/>
  <c r="H56" i="6"/>
  <c r="O33" i="4"/>
  <c r="N41" i="4"/>
  <c r="Q24" i="11"/>
  <c r="R44" i="11"/>
  <c r="Q44" i="11"/>
  <c r="M33" i="4"/>
  <c r="K56" i="6"/>
  <c r="F53" i="6"/>
  <c r="F54" i="6" s="1"/>
  <c r="F56" i="6"/>
  <c r="F44" i="6"/>
  <c r="F52" i="6"/>
  <c r="G44" i="6"/>
  <c r="O67" i="4"/>
  <c r="P66" i="4"/>
  <c r="P8" i="3" s="1"/>
  <c r="M67" i="4"/>
  <c r="N67" i="4"/>
  <c r="N66" i="4"/>
  <c r="N8" i="3" s="1"/>
  <c r="I45" i="11"/>
  <c r="P67" i="4"/>
  <c r="L22" i="2" l="1"/>
  <c r="H22" i="11"/>
  <c r="H32" i="11"/>
  <c r="H41" i="11"/>
  <c r="L70" i="2"/>
  <c r="L72" i="2" s="1"/>
  <c r="J55" i="6"/>
  <c r="E46" i="6"/>
  <c r="E47" i="6"/>
  <c r="E48" i="6" s="1"/>
  <c r="L40" i="2"/>
  <c r="K43" i="6"/>
  <c r="K49" i="6" s="1"/>
  <c r="J51" i="6"/>
  <c r="O41" i="4"/>
  <c r="P41" i="4"/>
  <c r="Q27" i="11"/>
  <c r="Q26" i="11" s="1"/>
  <c r="G53" i="6"/>
  <c r="G54" i="6" s="1"/>
  <c r="M41" i="4"/>
  <c r="I53" i="6"/>
  <c r="I54" i="6" s="1"/>
  <c r="J54" i="6" s="1"/>
  <c r="L56" i="6"/>
  <c r="E64" i="6"/>
  <c r="E61" i="6"/>
  <c r="J45" i="11"/>
  <c r="K55" i="6" l="1"/>
  <c r="L60" i="2"/>
  <c r="L62" i="2" s="1"/>
  <c r="L67" i="2" s="1"/>
  <c r="K51" i="6"/>
  <c r="L43" i="6"/>
  <c r="L49" i="6" s="1"/>
  <c r="K54" i="6"/>
  <c r="J53" i="6"/>
  <c r="M56" i="6"/>
  <c r="L42" i="2" l="1"/>
  <c r="L46" i="2" s="1"/>
  <c r="L56" i="2" s="1"/>
  <c r="L51" i="6"/>
  <c r="M43" i="6"/>
  <c r="M49" i="6" s="1"/>
  <c r="L55" i="6"/>
  <c r="H33" i="11"/>
  <c r="L9" i="3"/>
  <c r="N56" i="6"/>
  <c r="L54" i="6"/>
  <c r="K53" i="6"/>
  <c r="M55" i="6" l="1"/>
  <c r="N43" i="6"/>
  <c r="N49" i="6" s="1"/>
  <c r="M51" i="6"/>
  <c r="L12" i="3"/>
  <c r="H47" i="11" s="1"/>
  <c r="H52" i="11" s="1"/>
  <c r="P54" i="11" s="1"/>
  <c r="L47" i="2"/>
  <c r="P46" i="11" s="1"/>
  <c r="H44" i="11"/>
  <c r="H35" i="11"/>
  <c r="L51" i="2"/>
  <c r="AJ51" i="2" s="1"/>
  <c r="H37" i="11"/>
  <c r="P51" i="11" s="1"/>
  <c r="L57" i="2"/>
  <c r="N51" i="6"/>
  <c r="N55" i="6"/>
  <c r="M54" i="6"/>
  <c r="L53" i="6"/>
  <c r="L78" i="2"/>
  <c r="L20" i="3" l="1"/>
  <c r="L80" i="2"/>
  <c r="AJ52" i="2"/>
  <c r="P47" i="11"/>
  <c r="N54" i="6"/>
  <c r="N53" i="6" s="1"/>
  <c r="M53" i="6"/>
  <c r="L33" i="3" l="1"/>
  <c r="H38" i="11"/>
  <c r="H53" i="11" l="1"/>
  <c r="L45" i="4"/>
  <c r="L38" i="3"/>
  <c r="P52" i="11"/>
  <c r="P34" i="11" l="1"/>
  <c r="L47" i="4"/>
  <c r="L47" i="3"/>
  <c r="H54" i="11" s="1"/>
  <c r="H55" i="11" s="1"/>
  <c r="L41" i="3"/>
  <c r="L43" i="3" s="1"/>
  <c r="L6" i="4" s="1"/>
  <c r="L49" i="4" l="1"/>
  <c r="P36" i="11" s="1"/>
  <c r="P48" i="11" s="1"/>
  <c r="L11" i="4"/>
  <c r="L69" i="4"/>
  <c r="L71" i="4" s="1"/>
  <c r="M40" i="3"/>
  <c r="P14" i="11"/>
  <c r="P37" i="11" l="1"/>
  <c r="P18" i="11"/>
  <c r="P17" i="11" s="1"/>
  <c r="L23" i="4"/>
  <c r="L72" i="4"/>
  <c r="H56" i="11" s="1"/>
  <c r="I70" i="6"/>
  <c r="E15" i="6" s="1"/>
  <c r="L50" i="4" l="1"/>
  <c r="AI162" i="1"/>
  <c r="AI120" i="1" l="1"/>
  <c r="AI121" i="1" s="1"/>
  <c r="AJ162" i="1"/>
  <c r="AJ120" i="1" s="1"/>
  <c r="AI170" i="1"/>
  <c r="AI171" i="1" s="1"/>
  <c r="AK162" i="1" l="1"/>
  <c r="AK120" i="1" s="1"/>
  <c r="AJ118" i="1" l="1"/>
  <c r="AJ117" i="1" s="1"/>
  <c r="AK148" i="1"/>
  <c r="AJ123" i="1" l="1"/>
  <c r="AJ149" i="1"/>
  <c r="AJ140" i="1"/>
  <c r="AJ141" i="1" s="1"/>
  <c r="AK117" i="1"/>
  <c r="AJ177" i="1"/>
  <c r="AJ178" i="1" s="1"/>
  <c r="BN84" i="13"/>
  <c r="AN84" i="13" s="1"/>
  <c r="AN85" i="13" s="1"/>
  <c r="AN87" i="13" s="1"/>
  <c r="AJ183" i="1"/>
  <c r="AK183" i="1" s="1"/>
  <c r="AK184" i="1" s="1"/>
  <c r="AK123" i="1" l="1"/>
  <c r="AK124" i="1" s="1"/>
  <c r="AJ9" i="2"/>
  <c r="AJ124" i="1"/>
  <c r="AK140" i="1"/>
  <c r="AK141" i="1" s="1"/>
  <c r="AK149" i="1"/>
  <c r="AK177" i="1"/>
  <c r="AK178" i="1" s="1"/>
  <c r="AK118" i="1"/>
  <c r="AK121" i="1" s="1"/>
  <c r="AJ10" i="1"/>
  <c r="BO84" i="13"/>
  <c r="AP84" i="13" s="1"/>
  <c r="AP85" i="13" s="1"/>
  <c r="AP87" i="13" s="1"/>
  <c r="BN85" i="13"/>
  <c r="BN87" i="13" s="1"/>
  <c r="AK181" i="1"/>
  <c r="AK182" i="1" s="1"/>
  <c r="AJ184" i="1"/>
  <c r="AK10" i="1"/>
  <c r="AK125" i="1" l="1"/>
  <c r="AK126" i="1" s="1"/>
  <c r="AK9" i="2"/>
  <c r="AK15" i="1"/>
  <c r="BN8" i="13"/>
  <c r="BN26" i="13" s="1"/>
  <c r="BO85" i="13"/>
  <c r="BO87" i="13" s="1"/>
  <c r="AJ15" i="1"/>
  <c r="BO8" i="13"/>
  <c r="BO88" i="13" s="1"/>
  <c r="AK16" i="1" l="1"/>
  <c r="AK5" i="2"/>
  <c r="BO12" i="13"/>
  <c r="BO30" i="13" s="1"/>
  <c r="BN12" i="13"/>
  <c r="BN30" i="13" s="1"/>
  <c r="AN8" i="13"/>
  <c r="AN88" i="13" s="1"/>
  <c r="AN89" i="13" s="1"/>
  <c r="BN88" i="13"/>
  <c r="AJ16" i="1"/>
  <c r="AP8" i="13"/>
  <c r="AP88" i="13" s="1"/>
  <c r="AP89" i="13" s="1"/>
  <c r="BO26" i="13"/>
  <c r="AJ5" i="2"/>
  <c r="AJ8" i="2" s="1"/>
  <c r="AK8" i="2" l="1"/>
  <c r="AJ6" i="2"/>
  <c r="AK6" i="2"/>
  <c r="AN12" i="13"/>
  <c r="AN30" i="13" s="1"/>
  <c r="AN26" i="13"/>
  <c r="AP26" i="13"/>
  <c r="AO12" i="13" l="1"/>
  <c r="AO27" i="13"/>
  <c r="AP9" i="13"/>
  <c r="AP27" i="13" s="1"/>
  <c r="AP12" i="13" l="1"/>
  <c r="AP30" i="13" s="1"/>
  <c r="AO30" i="13"/>
  <c r="M233" i="1"/>
  <c r="M236" i="1"/>
  <c r="M223" i="1" l="1"/>
  <c r="M224" i="1" s="1"/>
  <c r="M234" i="1"/>
  <c r="M242" i="1"/>
  <c r="M202" i="1"/>
  <c r="M201" i="1" l="1"/>
  <c r="M225" i="1"/>
  <c r="M226" i="1" s="1"/>
  <c r="M218" i="1"/>
  <c r="M220" i="1" s="1"/>
  <c r="M221" i="1" s="1"/>
  <c r="M244" i="1"/>
  <c r="M243" i="1"/>
  <c r="M245" i="1" l="1"/>
  <c r="M219" i="1"/>
  <c r="M24" i="1"/>
  <c r="P236" i="1"/>
  <c r="O236" i="1"/>
  <c r="N236" i="1"/>
  <c r="O233" i="1"/>
  <c r="N233" i="1"/>
  <c r="P233" i="1"/>
  <c r="P223" i="1" l="1"/>
  <c r="P218" i="1" s="1"/>
  <c r="I28" i="11"/>
  <c r="N234" i="1"/>
  <c r="P242" i="1"/>
  <c r="P244" i="1" s="1"/>
  <c r="P202" i="1"/>
  <c r="P201" i="1" s="1"/>
  <c r="P24" i="1" s="1"/>
  <c r="N202" i="1"/>
  <c r="N242" i="1"/>
  <c r="N244" i="1" s="1"/>
  <c r="N223" i="1"/>
  <c r="N218" i="1" s="1"/>
  <c r="P234" i="1"/>
  <c r="O242" i="1"/>
  <c r="O202" i="1"/>
  <c r="O201" i="1" s="1"/>
  <c r="O24" i="1" s="1"/>
  <c r="O223" i="1"/>
  <c r="O218" i="1" s="1"/>
  <c r="O234" i="1"/>
  <c r="N245" i="1" l="1"/>
  <c r="P225" i="1"/>
  <c r="N201" i="1"/>
  <c r="N243" i="1"/>
  <c r="N224" i="1"/>
  <c r="O220" i="1"/>
  <c r="O219" i="1"/>
  <c r="N220" i="1"/>
  <c r="N221" i="1" s="1"/>
  <c r="N219" i="1"/>
  <c r="P220" i="1"/>
  <c r="P219" i="1"/>
  <c r="N225" i="1"/>
  <c r="N226" i="1" s="1"/>
  <c r="O224" i="1"/>
  <c r="O225" i="1"/>
  <c r="P224" i="1"/>
  <c r="O244" i="1"/>
  <c r="P243" i="1"/>
  <c r="O243" i="1"/>
  <c r="N24" i="1" l="1"/>
  <c r="P221" i="1"/>
  <c r="O221" i="1"/>
  <c r="O245" i="1"/>
  <c r="P245" i="1"/>
  <c r="O226" i="1"/>
  <c r="P226" i="1"/>
  <c r="J28" i="11" l="1"/>
  <c r="AJ224" i="1"/>
  <c r="AJ225" i="1"/>
  <c r="AJ226" i="1" s="1"/>
  <c r="AK223" i="1"/>
  <c r="AK225" i="1" s="1"/>
  <c r="AK226" i="1" s="1"/>
  <c r="AJ218" i="1"/>
  <c r="AK218" i="1" s="1"/>
  <c r="AJ219" i="1" l="1"/>
  <c r="AK224" i="1"/>
  <c r="AK220" i="1"/>
  <c r="AK219" i="1"/>
  <c r="AJ220" i="1"/>
  <c r="AJ221" i="1" s="1"/>
  <c r="AK221" i="1" l="1"/>
  <c r="AJ143" i="1" l="1"/>
  <c r="AJ146" i="1"/>
  <c r="AJ144" i="1" l="1"/>
  <c r="AJ133" i="1"/>
  <c r="AJ128" i="1" s="1"/>
  <c r="AJ190" i="1"/>
  <c r="AK190" i="1" s="1"/>
  <c r="AK191" i="1" s="1"/>
  <c r="AK143" i="1"/>
  <c r="AK144" i="1" s="1"/>
  <c r="AJ151" i="1"/>
  <c r="AJ153" i="1" s="1"/>
  <c r="AJ154" i="1" s="1"/>
  <c r="AJ129" i="1" l="1"/>
  <c r="AJ130" i="1"/>
  <c r="AJ131" i="1" s="1"/>
  <c r="AK145" i="1"/>
  <c r="AK146" i="1" s="1"/>
  <c r="AK128" i="1"/>
  <c r="AK151" i="1"/>
  <c r="AK153" i="1" s="1"/>
  <c r="AK154" i="1" s="1"/>
  <c r="AK22" i="1"/>
  <c r="AJ191" i="1"/>
  <c r="AJ134" i="1"/>
  <c r="AJ186" i="1"/>
  <c r="AK186" i="1" s="1"/>
  <c r="AJ135" i="1"/>
  <c r="AJ136" i="1" s="1"/>
  <c r="AK133" i="1"/>
  <c r="AJ22" i="1"/>
  <c r="AJ152" i="1"/>
  <c r="AJ26" i="1" l="1"/>
  <c r="AK26" i="1"/>
  <c r="AJ188" i="1"/>
  <c r="AK188" i="1" s="1"/>
  <c r="AK152" i="1"/>
  <c r="AK129" i="1"/>
  <c r="AK130" i="1"/>
  <c r="AK131" i="1" s="1"/>
  <c r="AK135" i="1"/>
  <c r="AK136" i="1" s="1"/>
  <c r="AK134" i="1"/>
  <c r="AK28" i="2" l="1"/>
  <c r="AK29" i="2" s="1"/>
  <c r="AJ27" i="1"/>
  <c r="AJ28" i="2"/>
  <c r="AK27" i="1"/>
  <c r="AK33" i="2" l="1"/>
  <c r="AK21" i="2"/>
  <c r="AJ21" i="2"/>
  <c r="AJ33" i="2"/>
  <c r="AJ29" i="2"/>
  <c r="AJ39" i="2"/>
  <c r="AJ22" i="2" l="1"/>
  <c r="AK22" i="2"/>
  <c r="AJ70" i="2"/>
  <c r="AK70" i="2" s="1"/>
  <c r="AK39" i="2"/>
  <c r="AJ40" i="2"/>
  <c r="AK40" i="2" l="1"/>
  <c r="AJ72" i="2"/>
  <c r="AK72" i="2" s="1"/>
  <c r="AJ60" i="2"/>
  <c r="AK60" i="2" s="1"/>
  <c r="AJ62" i="2" l="1"/>
  <c r="AK62" i="2" s="1"/>
  <c r="AK67" i="2" s="1"/>
  <c r="AJ42" i="2"/>
  <c r="AK65" i="2"/>
  <c r="AK42" i="2"/>
  <c r="AJ46" i="2" l="1"/>
  <c r="AJ67" i="2"/>
  <c r="AK46" i="2"/>
  <c r="AJ56" i="2" l="1"/>
  <c r="AJ57" i="2" s="1"/>
  <c r="AJ47" i="2"/>
  <c r="AK47" i="2"/>
  <c r="AK56" i="2"/>
  <c r="AJ78" i="2" l="1"/>
  <c r="AK78" i="2" s="1"/>
  <c r="AK57" i="2"/>
  <c r="M146" i="1"/>
  <c r="Q42" i="11"/>
  <c r="M143" i="1"/>
  <c r="AJ80" i="2" l="1"/>
  <c r="M190" i="1"/>
  <c r="M191" i="1" s="1"/>
  <c r="M133" i="1"/>
  <c r="M128" i="1" s="1"/>
  <c r="M144" i="1"/>
  <c r="M151" i="1"/>
  <c r="AK80" i="2" l="1"/>
  <c r="M22" i="1"/>
  <c r="M129" i="1"/>
  <c r="M130" i="1"/>
  <c r="M131" i="1" s="1"/>
  <c r="M186" i="1"/>
  <c r="M188" i="1" s="1"/>
  <c r="M134" i="1"/>
  <c r="M135" i="1"/>
  <c r="M136" i="1" s="1"/>
  <c r="M153" i="1"/>
  <c r="M152" i="1"/>
  <c r="AK81" i="2" l="1"/>
  <c r="M154" i="1"/>
  <c r="I27" i="11"/>
  <c r="M26" i="1"/>
  <c r="M28" i="2" l="1"/>
  <c r="I30" i="11"/>
  <c r="M27" i="1"/>
  <c r="M39" i="2" l="1"/>
  <c r="F45" i="6"/>
  <c r="F58" i="6" s="1"/>
  <c r="F59" i="6" s="1"/>
  <c r="F60" i="6" s="1"/>
  <c r="M6" i="3"/>
  <c r="M29" i="2"/>
  <c r="M33" i="2"/>
  <c r="M21" i="2"/>
  <c r="Q45" i="11" l="1"/>
  <c r="I41" i="11"/>
  <c r="M40" i="2"/>
  <c r="M70" i="2"/>
  <c r="M72" i="2" s="1"/>
  <c r="I32" i="11"/>
  <c r="F47" i="6"/>
  <c r="F48" i="6" s="1"/>
  <c r="F46" i="6"/>
  <c r="M22" i="2"/>
  <c r="I22" i="11"/>
  <c r="M60" i="2" l="1"/>
  <c r="M42" i="2" s="1"/>
  <c r="F64" i="6"/>
  <c r="F61" i="6"/>
  <c r="M62" i="2" l="1"/>
  <c r="M67" i="2" s="1"/>
  <c r="I33" i="11"/>
  <c r="M46" i="2"/>
  <c r="M9" i="3"/>
  <c r="I35" i="11" l="1"/>
  <c r="M51" i="2"/>
  <c r="M47" i="2"/>
  <c r="M56" i="2"/>
  <c r="I44" i="11"/>
  <c r="M12" i="3"/>
  <c r="Q46" i="11" l="1"/>
  <c r="M57" i="2"/>
  <c r="M78" i="2"/>
  <c r="D33" i="6"/>
  <c r="D35" i="6" s="1"/>
  <c r="I37" i="11"/>
  <c r="Q51" i="11" s="1"/>
  <c r="I47" i="11"/>
  <c r="I52" i="11" s="1"/>
  <c r="M20" i="3"/>
  <c r="AK51" i="2"/>
  <c r="AK52" i="2" l="1"/>
  <c r="M80" i="2"/>
  <c r="Q47" i="11"/>
  <c r="E22" i="6"/>
  <c r="E24" i="6"/>
  <c r="Q54" i="11"/>
  <c r="I38" i="11" l="1"/>
  <c r="Q52" i="11" s="1"/>
  <c r="M33" i="3"/>
  <c r="I53" i="11" l="1"/>
  <c r="M38" i="3"/>
  <c r="M45" i="4"/>
  <c r="M47" i="3" l="1"/>
  <c r="I54" i="11" s="1"/>
  <c r="I55" i="11" s="1"/>
  <c r="M41" i="3"/>
  <c r="M43" i="3" s="1"/>
  <c r="M6" i="4" s="1"/>
  <c r="Q34" i="11"/>
  <c r="M47" i="4"/>
  <c r="M49" i="4" s="1"/>
  <c r="Q36" i="11" s="1"/>
  <c r="Q48" i="11" s="1"/>
  <c r="N40" i="3" l="1"/>
  <c r="M69" i="4"/>
  <c r="M71" i="4" s="1"/>
  <c r="M11" i="4"/>
  <c r="Q14" i="11"/>
  <c r="Q37" i="11" l="1"/>
  <c r="M72" i="4"/>
  <c r="Q18" i="11"/>
  <c r="Q17" i="11" s="1"/>
  <c r="M23" i="4"/>
  <c r="M50" i="4" s="1"/>
  <c r="I56" i="11"/>
  <c r="N146" i="1"/>
  <c r="R42" i="11"/>
  <c r="N143" i="1"/>
  <c r="N151" i="1" l="1"/>
  <c r="N152" i="1" s="1"/>
  <c r="N133" i="1"/>
  <c r="N128" i="1" s="1"/>
  <c r="N144" i="1"/>
  <c r="N190" i="1"/>
  <c r="N153" i="1" l="1"/>
  <c r="N130" i="1"/>
  <c r="N131" i="1" s="1"/>
  <c r="N129" i="1"/>
  <c r="N186" i="1"/>
  <c r="N188" i="1" s="1"/>
  <c r="N135" i="1"/>
  <c r="N136" i="1" s="1"/>
  <c r="N134" i="1"/>
  <c r="N22" i="1"/>
  <c r="N191" i="1"/>
  <c r="N154" i="1" l="1"/>
  <c r="N26" i="1"/>
  <c r="J27" i="11"/>
  <c r="J30" i="11" l="1"/>
  <c r="N27" i="1"/>
  <c r="N28" i="2"/>
  <c r="G45" i="6" l="1"/>
  <c r="G58" i="6" s="1"/>
  <c r="G59" i="6" s="1"/>
  <c r="G60" i="6" s="1"/>
  <c r="N21" i="2"/>
  <c r="N29" i="2"/>
  <c r="N39" i="2"/>
  <c r="N33" i="2"/>
  <c r="N6" i="3"/>
  <c r="G47" i="6" l="1"/>
  <c r="G48" i="6" s="1"/>
  <c r="G46" i="6"/>
  <c r="R45" i="11"/>
  <c r="G64" i="6"/>
  <c r="G61" i="6"/>
  <c r="N22" i="2"/>
  <c r="J22" i="11"/>
  <c r="J32" i="11"/>
  <c r="N70" i="2"/>
  <c r="N40" i="2"/>
  <c r="J41" i="11"/>
  <c r="N60" i="2" l="1"/>
  <c r="N72" i="2"/>
  <c r="N42" i="2" l="1"/>
  <c r="N62" i="2"/>
  <c r="N67" i="2" s="1"/>
  <c r="N9" i="3" l="1"/>
  <c r="J33" i="11"/>
  <c r="N46" i="2"/>
  <c r="J35" i="11" l="1"/>
  <c r="N51" i="2"/>
  <c r="N56" i="2"/>
  <c r="N47" i="2"/>
  <c r="J44" i="11"/>
  <c r="N12" i="3"/>
  <c r="R46" i="11" l="1"/>
  <c r="N57" i="2"/>
  <c r="J37" i="11"/>
  <c r="R51" i="11" s="1"/>
  <c r="N78" i="2"/>
  <c r="J47" i="11"/>
  <c r="J52" i="11" s="1"/>
  <c r="N20" i="3"/>
  <c r="N80" i="2" l="1"/>
  <c r="R47" i="11"/>
  <c r="R54" i="11"/>
  <c r="J38" i="11" l="1"/>
  <c r="R52" i="11" s="1"/>
  <c r="N33" i="3"/>
  <c r="N38" i="3" l="1"/>
  <c r="J53" i="11"/>
  <c r="N45" i="4"/>
  <c r="R34" i="11" l="1"/>
  <c r="N47" i="3"/>
  <c r="J54" i="11" s="1"/>
  <c r="J55" i="11" s="1"/>
  <c r="N41" i="3"/>
  <c r="N43" i="3" s="1"/>
  <c r="O40" i="3" s="1"/>
  <c r="N47" i="4"/>
  <c r="N49" i="4" s="1"/>
  <c r="R36" i="11" s="1"/>
  <c r="R48" i="11" s="1"/>
  <c r="N6" i="4" l="1"/>
  <c r="N11" i="4" l="1"/>
  <c r="R14" i="11"/>
  <c r="N69" i="4"/>
  <c r="N71" i="4" s="1"/>
  <c r="N72" i="4" s="1"/>
  <c r="J56" i="11" s="1"/>
  <c r="R18" i="11"/>
  <c r="O146" i="1"/>
  <c r="O143" i="1"/>
  <c r="O190" i="1" s="1"/>
  <c r="O22" i="1" s="1"/>
  <c r="R37" i="11" l="1"/>
  <c r="N23" i="4"/>
  <c r="N50" i="4" s="1"/>
  <c r="R17" i="11"/>
  <c r="O26" i="1"/>
  <c r="O144" i="1"/>
  <c r="O133" i="1"/>
  <c r="O128" i="1" s="1"/>
  <c r="O151" i="1"/>
  <c r="O191" i="1"/>
  <c r="O28" i="2" l="1"/>
  <c r="O27" i="1"/>
  <c r="O130" i="1"/>
  <c r="O131" i="1" s="1"/>
  <c r="O129" i="1"/>
  <c r="O135" i="1"/>
  <c r="O136" i="1" s="1"/>
  <c r="O134" i="1"/>
  <c r="O186" i="1"/>
  <c r="O188" i="1" s="1"/>
  <c r="O152" i="1"/>
  <c r="O153" i="1"/>
  <c r="O154" i="1" l="1"/>
  <c r="O29" i="2"/>
  <c r="O33" i="2"/>
  <c r="H45" i="6"/>
  <c r="H58" i="6" s="1"/>
  <c r="H59" i="6" s="1"/>
  <c r="H60" i="6" s="1"/>
  <c r="H61" i="6" s="1"/>
  <c r="O39" i="2"/>
  <c r="O6" i="3"/>
  <c r="O21" i="2"/>
  <c r="O22" i="2" s="1"/>
  <c r="O40" i="2" l="1"/>
  <c r="O70" i="2"/>
  <c r="O72" i="2" s="1"/>
  <c r="H64" i="6"/>
  <c r="H46" i="6"/>
  <c r="H47" i="6"/>
  <c r="H48" i="6" s="1"/>
  <c r="O60" i="2" l="1"/>
  <c r="O62" i="2" s="1"/>
  <c r="O67" i="2" s="1"/>
  <c r="O42" i="2" l="1"/>
  <c r="O46" i="2" l="1"/>
  <c r="O9" i="3"/>
  <c r="O47" i="2" l="1"/>
  <c r="O56" i="2"/>
  <c r="O51" i="2"/>
  <c r="O12" i="3"/>
  <c r="O20" i="3" s="1"/>
  <c r="O78" i="2" l="1"/>
  <c r="O57" i="2"/>
  <c r="O80" i="2" l="1"/>
  <c r="O33" i="3" s="1"/>
  <c r="P146" i="1"/>
  <c r="P143" i="1"/>
  <c r="O38" i="3" l="1"/>
  <c r="O45" i="4"/>
  <c r="P151" i="1"/>
  <c r="P153" i="1" s="1"/>
  <c r="P133" i="1"/>
  <c r="P128" i="1" s="1"/>
  <c r="P190" i="1"/>
  <c r="P144" i="1"/>
  <c r="P154" i="1" l="1"/>
  <c r="O47" i="4"/>
  <c r="O41" i="3"/>
  <c r="O47" i="3"/>
  <c r="P152" i="1"/>
  <c r="P130" i="1"/>
  <c r="P131" i="1" s="1"/>
  <c r="P129" i="1"/>
  <c r="P134" i="1"/>
  <c r="P135" i="1"/>
  <c r="P136" i="1" s="1"/>
  <c r="P186" i="1"/>
  <c r="P188" i="1" s="1"/>
  <c r="P191" i="1"/>
  <c r="P22" i="1"/>
  <c r="O43" i="3" l="1"/>
  <c r="O49" i="4"/>
  <c r="P26" i="1"/>
  <c r="P28" i="2" s="1"/>
  <c r="I45" i="6" l="1"/>
  <c r="I58" i="6" s="1"/>
  <c r="I59" i="6" s="1"/>
  <c r="I60" i="6" s="1"/>
  <c r="P40" i="3"/>
  <c r="O6" i="4"/>
  <c r="P27" i="1"/>
  <c r="P33" i="2"/>
  <c r="P6" i="3"/>
  <c r="P39" i="2"/>
  <c r="P29" i="2"/>
  <c r="P21" i="2"/>
  <c r="I47" i="6" l="1"/>
  <c r="I48" i="6" s="1"/>
  <c r="I46" i="6"/>
  <c r="P22" i="2"/>
  <c r="O11" i="4"/>
  <c r="O69" i="4"/>
  <c r="O71" i="4" s="1"/>
  <c r="I61" i="6"/>
  <c r="I64" i="6"/>
  <c r="P40" i="2"/>
  <c r="P70" i="2"/>
  <c r="J47" i="6" l="1"/>
  <c r="K47" i="6" s="1"/>
  <c r="O72" i="4"/>
  <c r="O23" i="4"/>
  <c r="P72" i="2"/>
  <c r="P60" i="2"/>
  <c r="J45" i="6" l="1"/>
  <c r="J58" i="6" s="1"/>
  <c r="J59" i="6" s="1"/>
  <c r="J60" i="6" s="1"/>
  <c r="O50" i="4"/>
  <c r="K45" i="6"/>
  <c r="K58" i="6" s="1"/>
  <c r="L47" i="6"/>
  <c r="P42" i="2"/>
  <c r="P62" i="2"/>
  <c r="P67" i="2" s="1"/>
  <c r="J46" i="6" l="1"/>
  <c r="K59" i="6"/>
  <c r="K60" i="6" s="1"/>
  <c r="M47" i="6"/>
  <c r="L45" i="6"/>
  <c r="L58" i="6" s="1"/>
  <c r="L59" i="6" s="1"/>
  <c r="L60" i="6" s="1"/>
  <c r="K46" i="6"/>
  <c r="J61" i="6"/>
  <c r="J64" i="6"/>
  <c r="P46" i="2"/>
  <c r="P9" i="3"/>
  <c r="K64" i="6" l="1"/>
  <c r="K61" i="6"/>
  <c r="L46" i="6"/>
  <c r="N47" i="6"/>
  <c r="N45" i="6" s="1"/>
  <c r="N58" i="6" s="1"/>
  <c r="M45" i="6"/>
  <c r="M58" i="6" s="1"/>
  <c r="M59" i="6" s="1"/>
  <c r="M60" i="6" s="1"/>
  <c r="P12" i="3"/>
  <c r="P51" i="2"/>
  <c r="P56" i="2"/>
  <c r="P47" i="2"/>
  <c r="P20" i="3" l="1"/>
  <c r="N59" i="6"/>
  <c r="N60" i="6" s="1"/>
  <c r="N46" i="6"/>
  <c r="M46" i="6"/>
  <c r="L61" i="6"/>
  <c r="L64" i="6"/>
  <c r="P78" i="2"/>
  <c r="P57" i="2"/>
  <c r="P80" i="2" l="1"/>
  <c r="M64" i="6"/>
  <c r="M61" i="6"/>
  <c r="N61" i="6"/>
  <c r="N64" i="6"/>
  <c r="I68" i="6" s="1"/>
  <c r="E13" i="6" s="1"/>
  <c r="P33" i="3" l="1"/>
  <c r="I67" i="6"/>
  <c r="E12" i="6" s="1"/>
  <c r="P38" i="3" l="1"/>
  <c r="P45" i="4"/>
  <c r="I69" i="6"/>
  <c r="E14" i="6" s="1"/>
  <c r="P47" i="4" l="1"/>
  <c r="P41" i="3"/>
  <c r="P47" i="3"/>
  <c r="I72" i="6"/>
  <c r="E17" i="6" s="1"/>
  <c r="P43" i="3" l="1"/>
  <c r="P6" i="4" s="1"/>
  <c r="P49" i="4"/>
  <c r="I74" i="6"/>
  <c r="E19" i="6" s="1"/>
  <c r="E26" i="6" s="1"/>
  <c r="E27" i="6" l="1"/>
  <c r="P11" i="4"/>
  <c r="P69" i="4"/>
  <c r="P71" i="4" s="1"/>
  <c r="F8" i="11"/>
  <c r="F10" i="11" s="1"/>
  <c r="P72" i="4" l="1"/>
  <c r="P23" i="4"/>
  <c r="P50" i="4" l="1"/>
  <c r="J15" i="1" l="1"/>
  <c r="F21" i="11" l="1"/>
  <c r="J5" i="2"/>
  <c r="J6" i="2" s="1"/>
  <c r="N44" i="11" s="1"/>
  <c r="J58" i="4"/>
  <c r="J55" i="4"/>
  <c r="J54" i="4"/>
  <c r="J62" i="4"/>
  <c r="BY12" i="13"/>
  <c r="K16" i="1"/>
  <c r="J16" i="1"/>
  <c r="J59" i="4" l="1"/>
  <c r="J10" i="2"/>
  <c r="J11" i="2" s="1"/>
  <c r="J63" i="4"/>
  <c r="K6" i="2"/>
  <c r="O44" i="11" s="1"/>
  <c r="BZ30" i="13"/>
  <c r="BY30" i="13"/>
  <c r="BY21" i="13"/>
  <c r="BZ21" i="13"/>
  <c r="K11" i="2"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Deng, Lisa L [GIR]</author>
    <author>tc={E87640A1-1788-4944-BD3B-798FF3980B87}</author>
    <author>tc={0A7AA382-FE77-4F29-B895-4EBFCFB7C2B9}</author>
    <author>tc={2CF038C2-9650-4BC9-878D-69A5C826AAEC}</author>
    <author>tc={50969D38-A3DB-40F4-AD3E-6AA020DDE5AD}</author>
    <author>tc={8B3D6162-0385-43B6-B725-4AB6A12913F2}</author>
    <author>McLennan, Andrew</author>
    <author>Nair Syama, Darshana [GIR]</author>
    <author>tc={A822A8F3-448F-44BD-BF79-3652D60D8161}</author>
    <author>tc={C124CAE1-3875-4877-8B3E-D5AAE71F92D6}</author>
    <author>tc={6D9AA26D-7646-4AAD-BD64-E0FC5BAA9CCC}</author>
    <author>tc={18AE9B7A-F091-43E2-954C-5A75D02ABF6A}</author>
    <author>Leigh, James [GIR]</author>
    <author>Basile, Nick J. [GIR]</author>
    <author>tc={D924374A-E1A8-409E-9371-2B9242F14CC2}</author>
    <author>tc={0E3D1816-E8E0-4310-907C-68C244C351F5}</author>
    <author>tc={372AE614-C525-497B-A46C-21ABEB652E25}</author>
    <author>tc={9E970C7F-C3BB-4A20-9BB2-3382CE23E078}</author>
    <author>tc={9E93DB88-26C2-4F0C-B576-8FB0A4F15FE7}</author>
    <author>tc={A3BD0158-371A-4598-B877-B61FA89B8CD4}</author>
    <author>tc={0DA64EFA-CFA0-4899-A921-90BD93793517}</author>
    <author>tc={F9A33C3C-1384-436D-A51D-65C249753759}</author>
    <author>tc={5398640B-0097-494A-A202-1757AB57CD72}</author>
    <author>tc={06EF6EED-8B74-4FA0-BF7A-AE7458EEA402}</author>
    <author>tc={F590DC0B-B067-4C4D-8E5C-6230BB3D725C}</author>
    <author>tc={2C5B2DCB-257E-40CD-9776-86FBF9B870B5}</author>
    <author>tc={A27234DB-68CA-461A-9588-5129CC22E896}</author>
    <author>McLennan, Andrew (Australia - Research) [GIR]</author>
    <author>tc={DA31402D-2DC7-4A53-8FD1-CDEF40C21D84}</author>
    <author>tc={87E6E0F8-2664-4893-8FF2-346125FCAFF6}</author>
  </authors>
  <commentList>
    <comment ref="J13" authorId="0" shapeId="0" xr:uid="{DF01D311-5C09-4BEC-A13B-1261DEFBC345}">
      <text>
        <r>
          <rPr>
            <b/>
            <sz val="9"/>
            <color indexed="81"/>
            <rFont val="Tahoma"/>
            <family val="2"/>
          </rPr>
          <t>Deng, Lisa L [GIR]:</t>
        </r>
        <r>
          <rPr>
            <sz val="9"/>
            <color indexed="81"/>
            <rFont val="Tahoma"/>
            <family val="2"/>
          </rPr>
          <t xml:space="preserve">
Reflects Petstock from 2H24 </t>
        </r>
      </text>
    </comment>
    <comment ref="L13" authorId="1" shapeId="0" xr:uid="{E87640A1-1788-4944-BD3B-798FF3980B87}">
      <text>
        <t xml:space="preserve">[Threaded comment]
Your version of Excel allows you to read this threaded comment; however, any edits to it will get removed if the file is opened in a newer version of Excel. Learn more: https://go.microsoft.com/fwlink/?linkid=870924
Comment:
Reply:
    Other comprises Quantium as well as various support functions, including property and overhead costs and the Group’s share of profit or loss of investments accounted for using the equity method </t>
      </text>
    </comment>
    <comment ref="C14" authorId="0" shapeId="0" xr:uid="{01AC2E58-58E9-4DD6-91B0-407AC472C5D0}">
      <text>
        <r>
          <rPr>
            <b/>
            <sz val="9"/>
            <color indexed="81"/>
            <rFont val="Tahoma"/>
            <family val="2"/>
          </rPr>
          <t>Deng, Lisa L [GIR]:</t>
        </r>
        <r>
          <rPr>
            <sz val="9"/>
            <color indexed="81"/>
            <rFont val="Tahoma"/>
            <family val="2"/>
          </rPr>
          <t xml:space="preserve">
EziBuy</t>
        </r>
      </text>
    </comment>
    <comment ref="R24" authorId="2" shapeId="0" xr:uid="{0A7AA382-FE77-4F29-B895-4EBFCFB7C2B9}">
      <text>
        <t>[Threaded comment]
Your version of Excel allows you to read this threaded comment; however, any edits to it will get removed if the file is opened in a newer version of Excel. Learn more: https://go.microsoft.com/fwlink/?linkid=870924
Comment:
    Trading EBIT 8.1
Reported EBIT -27.2</t>
      </text>
    </comment>
    <comment ref="J25" authorId="0" shapeId="0" xr:uid="{7C405193-9F2F-4F06-AD28-5F157E274EE0}">
      <text>
        <r>
          <rPr>
            <b/>
            <sz val="9"/>
            <color indexed="81"/>
            <rFont val="Tahoma"/>
            <family val="2"/>
          </rPr>
          <t>Deng, Lisa L [GIR]:</t>
        </r>
        <r>
          <rPr>
            <sz val="9"/>
            <color indexed="81"/>
            <rFont val="Tahoma"/>
            <family val="2"/>
          </rPr>
          <t xml:space="preserve">
FY23 results guide: 250mn excluding EDV. </t>
        </r>
      </text>
    </comment>
    <comment ref="L25" authorId="3" shapeId="0" xr:uid="{2CF038C2-9650-4BC9-878D-69A5C826AAEC}">
      <text>
        <t xml:space="preserve">[Threaded comment]
Your version of Excel allows you to read this threaded comment; however, any edits to it will get removed if the file is opened in a newer version of Excel. Learn more: https://go.microsoft.com/fwlink/?linkid=870924
Comment:
    In F26, Other costs are expected to be approximately $240 million reflecting lower property gains and a rebuild of incentives. </t>
      </text>
    </comment>
    <comment ref="K26" authorId="4" shapeId="0" xr:uid="{50969D38-A3DB-40F4-AD3E-6AA020DDE5AD}">
      <text>
        <t>[Threaded comment]
Your version of Excel allows you to read this threaded comment; however, any edits to it will get removed if the file is opened in a newer version of Excel. Learn more: https://go.microsoft.com/fwlink/?linkid=870924
Comment:
    1H25 EBIT Restated in 1Q26 Announcement</t>
      </text>
    </comment>
    <comment ref="AH26" authorId="5" shapeId="0" xr:uid="{8B3D6162-0385-43B6-B725-4AB6A12913F2}">
      <text>
        <t>[Threaded comment]
Your version of Excel allows you to read this threaded comment; however, any edits to it will get removed if the file is opened in a newer version of Excel. Learn more: https://go.microsoft.com/fwlink/?linkid=870924
Comment:
    1H25 EBIT Restated in 1Q26 Announcement</t>
      </text>
    </comment>
    <comment ref="E30" authorId="6" shapeId="0" xr:uid="{49D168E8-65C0-443C-970F-983A88453CE0}">
      <text>
        <r>
          <rPr>
            <b/>
            <sz val="9"/>
            <color indexed="81"/>
            <rFont val="Tahoma"/>
            <family val="2"/>
          </rPr>
          <t>McLennan, Andrew:</t>
        </r>
        <r>
          <rPr>
            <sz val="9"/>
            <color indexed="81"/>
            <rFont val="Tahoma"/>
            <family val="2"/>
          </rPr>
          <t xml:space="preserve">
53 week year</t>
        </r>
      </text>
    </comment>
    <comment ref="T30" authorId="6" shapeId="0" xr:uid="{3CFEB3D2-6C89-4476-BD61-58C06230DED6}">
      <text>
        <r>
          <rPr>
            <b/>
            <sz val="9"/>
            <color indexed="81"/>
            <rFont val="Tahoma"/>
            <family val="2"/>
          </rPr>
          <t>McLennan, Andrew:</t>
        </r>
        <r>
          <rPr>
            <sz val="9"/>
            <color indexed="81"/>
            <rFont val="Tahoma"/>
            <family val="2"/>
          </rPr>
          <t xml:space="preserve">
restated in 1H19</t>
        </r>
      </text>
    </comment>
    <comment ref="D33" authorId="7" shapeId="0" xr:uid="{A696B77B-E20B-46DF-9D5E-4F6F2471FE0B}">
      <text>
        <r>
          <rPr>
            <b/>
            <sz val="9"/>
            <color indexed="81"/>
            <rFont val="Tahoma"/>
            <family val="2"/>
          </rPr>
          <t>Nair Syama, Darshana [GIR]:</t>
        </r>
        <r>
          <rPr>
            <sz val="9"/>
            <color indexed="81"/>
            <rFont val="Tahoma"/>
            <family val="2"/>
          </rPr>
          <t xml:space="preserve">
Q4 impacted by lower infant formula sales and significant fruit and veg deflation
Metro stores delivered double digit comp sales growth</t>
        </r>
      </text>
    </comment>
    <comment ref="Z33" authorId="0" shapeId="0" xr:uid="{7B1B3F5C-4AE1-4D9E-AE3A-4A899AD161FD}">
      <text>
        <r>
          <rPr>
            <b/>
            <sz val="9"/>
            <color indexed="81"/>
            <rFont val="Tahoma"/>
            <family val="2"/>
          </rPr>
          <t>Deng, Lisa L [GIR]:</t>
        </r>
        <r>
          <rPr>
            <sz val="9"/>
            <color indexed="81"/>
            <rFont val="Tahoma"/>
            <family val="2"/>
          </rPr>
          <t xml:space="preserve">
1H22 Results announcement. </t>
        </r>
      </text>
    </comment>
    <comment ref="AB33" authorId="0" shapeId="0" xr:uid="{F1EFFD01-64F1-4955-8B4A-3871F0909622}">
      <text>
        <r>
          <rPr>
            <b/>
            <sz val="9"/>
            <color indexed="81"/>
            <rFont val="Tahoma"/>
            <family val="2"/>
          </rPr>
          <t>Deng, Lisa L [GIR]:</t>
        </r>
        <r>
          <rPr>
            <sz val="9"/>
            <color indexed="81"/>
            <rFont val="Tahoma"/>
            <family val="2"/>
          </rPr>
          <t xml:space="preserve">
4.2% ex Tobacco. </t>
        </r>
      </text>
    </comment>
    <comment ref="AD33" authorId="0" shapeId="0" xr:uid="{3A3CE353-7166-4B46-9E3C-8F309A7375EE}">
      <text>
        <r>
          <rPr>
            <b/>
            <sz val="9"/>
            <color indexed="81"/>
            <rFont val="Tahoma"/>
            <family val="2"/>
          </rPr>
          <t>Deng, Lisa L [GIR]:</t>
        </r>
        <r>
          <rPr>
            <sz val="9"/>
            <color indexed="81"/>
            <rFont val="Tahoma"/>
            <family val="2"/>
          </rPr>
          <t xml:space="preserve">
pg 9 of 1H23 announcement. </t>
        </r>
      </text>
    </comment>
    <comment ref="AH33" authorId="0" shapeId="0" xr:uid="{F65B8D74-AA5A-4E34-83C2-C7E1AD395943}">
      <text>
        <r>
          <rPr>
            <b/>
            <sz val="9"/>
            <color indexed="81"/>
            <rFont val="Tahoma"/>
            <family val="2"/>
          </rPr>
          <t>Deng, Lisa L [GIR]:</t>
        </r>
        <r>
          <rPr>
            <sz val="9"/>
            <color indexed="81"/>
            <rFont val="Tahoma"/>
            <family val="2"/>
          </rPr>
          <t xml:space="preserve">
not disclosed Gse estimated. </t>
        </r>
      </text>
    </comment>
    <comment ref="J57" authorId="0" shapeId="0" xr:uid="{2B5268C4-C505-4A61-B566-FCE5D9DDB835}">
      <text>
        <r>
          <rPr>
            <b/>
            <sz val="9"/>
            <color indexed="81"/>
            <rFont val="Tahoma"/>
            <family val="2"/>
          </rPr>
          <t>Deng, Lisa L [GIR]:</t>
        </r>
        <r>
          <rPr>
            <sz val="9"/>
            <color indexed="81"/>
            <rFont val="Tahoma"/>
            <family val="2"/>
          </rPr>
          <t xml:space="preserve">
appendix 1H25 Results </t>
        </r>
      </text>
    </comment>
    <comment ref="AF57" authorId="0" shapeId="0" xr:uid="{2719D6AA-BEEA-4B79-AAFA-6BB5B8D6BDBA}">
      <text>
        <r>
          <rPr>
            <b/>
            <sz val="9"/>
            <color indexed="81"/>
            <rFont val="Tahoma"/>
            <family val="2"/>
          </rPr>
          <t>Deng, Lisa L [GIR]:</t>
        </r>
        <r>
          <rPr>
            <sz val="9"/>
            <color indexed="81"/>
            <rFont val="Tahoma"/>
            <family val="2"/>
          </rPr>
          <t xml:space="preserve">
later restated to A$1595 on removal of Healthylife and Everyday Markets </t>
        </r>
      </text>
    </comment>
    <comment ref="L58" authorId="8" shapeId="0" xr:uid="{A822A8F3-448F-44BD-BF79-3652D60D8161}">
      <text>
        <t>[Threaded comment]
Your version of Excel allows you to read this threaded comment; however, any edits to it will get removed if the file is opened in a newer version of Excel. Learn more: https://go.microsoft.com/fwlink/?linkid=870924
Comment:
    FY26 Aus Food EBIT growth: mid to high single digit</t>
      </text>
    </comment>
    <comment ref="M60" authorId="9" shapeId="0" xr:uid="{C124CAE1-3875-4877-8B3E-D5AAE71F92D6}">
      <text>
        <t>[Threaded comment]
Your version of Excel allows you to read this threaded comment; however, any edits to it will get removed if the file is opened in a newer version of Excel. Learn more: https://go.microsoft.com/fwlink/?linkid=870924
Comment:
    Financial aspiration from strategy update: Woolworths Retail EBIT growth &gt; sales and sales growth from Woolworths retail in line or above market. I.e. margin expansion</t>
      </text>
    </comment>
    <comment ref="L75" authorId="10" shapeId="0" xr:uid="{6D9AA26D-7646-4AAD-BD64-E0FC5BAA9CCC}">
      <text>
        <t>[Threaded comment]
Your version of Excel allows you to read this threaded comment; however, any edits to it will get removed if the file is opened in a newer version of Excel. Learn more: https://go.microsoft.com/fwlink/?linkid=870924
Comment:
    Medium term annual target (net) 10-20 WOW full range Supermarkets + 0-5 metros</t>
      </text>
    </comment>
    <comment ref="AJ75" authorId="11" shapeId="0" xr:uid="{18AE9B7A-F091-43E2-954C-5A75D02ABF6A}">
      <text>
        <t>[Threaded comment]
Your version of Excel allows you to read this threaded comment; however, any edits to it will get removed if the file is opened in a newer version of Excel. Learn more: https://go.microsoft.com/fwlink/?linkid=870924
Comment:
    Net 3 in 1Q26</t>
      </text>
    </comment>
    <comment ref="D99" authorId="7" shapeId="0" xr:uid="{2CEFBA1F-1A51-4BCB-AB1F-5A24D042F397}">
      <text>
        <r>
          <rPr>
            <b/>
            <sz val="9"/>
            <color indexed="81"/>
            <rFont val="Tahoma"/>
            <family val="2"/>
          </rPr>
          <t>Nair Syama, Darshana [GIR]:</t>
        </r>
        <r>
          <rPr>
            <sz val="9"/>
            <color indexed="81"/>
            <rFont val="Tahoma"/>
            <family val="2"/>
          </rPr>
          <t xml:space="preserve">
80 renewals including 11 new stores and 54 upgrades</t>
        </r>
      </text>
    </comment>
    <comment ref="V99" authorId="7" shapeId="0" xr:uid="{9DA59578-6DEC-408E-9406-C05891B7F94F}">
      <text>
        <r>
          <rPr>
            <b/>
            <sz val="9"/>
            <color indexed="81"/>
            <rFont val="Tahoma"/>
            <family val="2"/>
          </rPr>
          <t>Nair Syama, Darshana [GIR]:</t>
        </r>
        <r>
          <rPr>
            <sz val="9"/>
            <color indexed="81"/>
            <rFont val="Tahoma"/>
            <family val="2"/>
          </rPr>
          <t xml:space="preserve">
43 renewals and 57 upgrades</t>
        </r>
      </text>
    </comment>
    <comment ref="D103" authorId="7" shapeId="0" xr:uid="{21CD7804-622A-4852-B45E-3367A948E339}">
      <text>
        <r>
          <rPr>
            <b/>
            <sz val="9"/>
            <color indexed="81"/>
            <rFont val="Tahoma"/>
            <family val="2"/>
          </rPr>
          <t>Nair Syama, Darshana [GIR]:</t>
        </r>
        <r>
          <rPr>
            <sz val="9"/>
            <color indexed="81"/>
            <rFont val="Tahoma"/>
            <family val="2"/>
          </rPr>
          <t xml:space="preserve">
growth of over 30% in FY18</t>
        </r>
      </text>
    </comment>
    <comment ref="I103" authorId="12" shapeId="0" xr:uid="{0AFEAD9C-5F4B-4E57-9136-48C438BD2F73}">
      <text>
        <r>
          <rPr>
            <b/>
            <sz val="9"/>
            <color indexed="81"/>
            <rFont val="Tahoma"/>
            <family val="2"/>
          </rPr>
          <t>Leigh, James [GIR]:</t>
        </r>
        <r>
          <rPr>
            <sz val="9"/>
            <color indexed="81"/>
            <rFont val="Tahoma"/>
            <family val="2"/>
          </rPr>
          <t xml:space="preserve">
Now includes Woolies at Work
</t>
        </r>
      </text>
    </comment>
    <comment ref="Z103" authorId="0" shapeId="0" xr:uid="{F99B8F39-48E5-4DE4-B90C-A9F6673B41F3}">
      <text>
        <r>
          <rPr>
            <b/>
            <sz val="9"/>
            <color indexed="81"/>
            <rFont val="Tahoma"/>
            <family val="2"/>
          </rPr>
          <t>Deng, Lisa L [GIR]:</t>
        </r>
        <r>
          <rPr>
            <sz val="9"/>
            <color indexed="81"/>
            <rFont val="Tahoma"/>
            <family val="2"/>
          </rPr>
          <t xml:space="preserve">
restated in 1H22. </t>
        </r>
      </text>
    </comment>
    <comment ref="AB109" authorId="0" shapeId="0" xr:uid="{DEA77B77-AF1C-48FF-A61A-13B29EA33654}">
      <text>
        <r>
          <rPr>
            <b/>
            <sz val="9"/>
            <color indexed="81"/>
            <rFont val="Tahoma"/>
            <family val="2"/>
          </rPr>
          <t>Deng, Lisa L [GIR]:</t>
        </r>
        <r>
          <rPr>
            <sz val="9"/>
            <color indexed="81"/>
            <rFont val="Tahoma"/>
            <family val="2"/>
          </rPr>
          <t xml:space="preserve">
first time disclosed in 1H23. </t>
        </r>
      </text>
    </comment>
    <comment ref="AD109" authorId="12" shapeId="0" xr:uid="{08BEA7BA-C6FB-43B2-8F70-D589BB85137E}">
      <text>
        <r>
          <rPr>
            <b/>
            <sz val="9"/>
            <color indexed="81"/>
            <rFont val="Tahoma"/>
            <family val="2"/>
          </rPr>
          <t>Leigh, James [GIR]:</t>
        </r>
        <r>
          <rPr>
            <sz val="9"/>
            <color indexed="81"/>
            <rFont val="Tahoma"/>
            <family val="2"/>
          </rPr>
          <t xml:space="preserve">
1st time disclosed in 1H23. </t>
        </r>
      </text>
    </comment>
    <comment ref="G119" authorId="0" shapeId="0" xr:uid="{CBF0CF43-1924-4B3F-AA31-F839051F438A}">
      <text>
        <r>
          <rPr>
            <b/>
            <sz val="9"/>
            <color indexed="81"/>
            <rFont val="Tahoma"/>
            <family val="2"/>
          </rPr>
          <t>Deng, Lisa L [GIR]:</t>
        </r>
        <r>
          <rPr>
            <sz val="9"/>
            <color indexed="81"/>
            <rFont val="Tahoma"/>
            <family val="2"/>
          </rPr>
          <t xml:space="preserve">
appendix, FY21 announcement. </t>
        </r>
      </text>
    </comment>
    <comment ref="H119" authorId="0" shapeId="0" xr:uid="{002CE97B-1DAF-4B54-90DC-EE560E936090}">
      <text>
        <r>
          <rPr>
            <b/>
            <sz val="9"/>
            <color indexed="81"/>
            <rFont val="Tahoma"/>
            <family val="2"/>
          </rPr>
          <t>Deng, Lisa L [GIR]:</t>
        </r>
        <r>
          <rPr>
            <sz val="9"/>
            <color indexed="81"/>
            <rFont val="Tahoma"/>
            <family val="2"/>
          </rPr>
          <t xml:space="preserve">
appendix, FY21 announcement. </t>
        </r>
      </text>
    </comment>
    <comment ref="R119" authorId="13" shapeId="0" xr:uid="{7BC25975-B6CD-4D40-972D-84A53A4C9AFE}">
      <text>
        <r>
          <rPr>
            <b/>
            <sz val="9"/>
            <color indexed="81"/>
            <rFont val="Tahoma"/>
            <family val="2"/>
          </rPr>
          <t>Basile, Nick J. [GIR]:</t>
        </r>
        <r>
          <rPr>
            <sz val="9"/>
            <color indexed="81"/>
            <rFont val="Tahoma"/>
            <family val="2"/>
          </rPr>
          <t xml:space="preserve">
impacted by bulk gift cards ( excl. this impact would have been +1.1%)</t>
        </r>
      </text>
    </comment>
    <comment ref="AB119" authorId="7" shapeId="0" xr:uid="{B55E6C96-86C2-4222-9BF4-D718D47F8710}">
      <text>
        <r>
          <rPr>
            <b/>
            <sz val="9"/>
            <color indexed="81"/>
            <rFont val="Tahoma"/>
            <family val="2"/>
          </rPr>
          <t>Nair Syama, Darshana [GIR]:</t>
        </r>
        <r>
          <rPr>
            <sz val="9"/>
            <color indexed="81"/>
            <rFont val="Tahoma"/>
            <family val="2"/>
          </rPr>
          <t xml:space="preserve">
1H has remained strong - continued to benefit from extended lockdown and higher inflation</t>
        </r>
      </text>
    </comment>
    <comment ref="AF119" authorId="0" shapeId="0" xr:uid="{D50DB39D-0F35-42D6-B12F-E44E30A6B7A0}">
      <text>
        <r>
          <rPr>
            <b/>
            <sz val="9"/>
            <color indexed="81"/>
            <rFont val="Tahoma"/>
            <family val="2"/>
          </rPr>
          <t>Deng, Lisa L [GIR]:</t>
        </r>
        <r>
          <rPr>
            <sz val="9"/>
            <color indexed="81"/>
            <rFont val="Tahoma"/>
            <family val="2"/>
          </rPr>
          <t xml:space="preserve">
still high inflation into first 7 weeks of 9%. 
1Q24 comp sales +2.6%, inflation 6.3%, comp item -4.5%, slowing trend across the quarter. 
Assume 2Q comp growth 2%. </t>
        </r>
      </text>
    </comment>
    <comment ref="L143" authorId="14" shapeId="0" xr:uid="{D924374A-E1A8-409E-9371-2B9242F14CC2}">
      <text>
        <t>[Threaded comment]
Your version of Excel allows you to read this threaded comment; however, any edits to it will get removed if the file is opened in a newer version of Excel. Learn more: https://go.microsoft.com/fwlink/?linkid=870924
Comment:
    FY25 result guidance: In New Zealand Food, our transformation will continue and we expect further improvement in our financial performance in FY26. i.e. profit growth</t>
      </text>
    </comment>
    <comment ref="T143" authorId="6" shapeId="0" xr:uid="{65E6AC94-CD18-4EAB-9F4E-AF4A3062F356}">
      <text>
        <r>
          <rPr>
            <b/>
            <sz val="9"/>
            <color indexed="81"/>
            <rFont val="Tahoma"/>
            <family val="2"/>
          </rPr>
          <t>McLennan, Andrew:</t>
        </r>
        <r>
          <rPr>
            <sz val="9"/>
            <color indexed="81"/>
            <rFont val="Tahoma"/>
            <family val="2"/>
          </rPr>
          <t xml:space="preserve">
started to invest from 2Q18, so a lot more to annualise in 2H18</t>
        </r>
      </text>
    </comment>
    <comment ref="AG143" authorId="0" shapeId="0" xr:uid="{4E66E429-FE45-4ABB-9E42-696C6495A034}">
      <text>
        <r>
          <rPr>
            <b/>
            <sz val="9"/>
            <color indexed="81"/>
            <rFont val="Tahoma"/>
            <family val="2"/>
          </rPr>
          <t>Deng, Lisa L [GIR]:</t>
        </r>
        <r>
          <rPr>
            <sz val="9"/>
            <color indexed="81"/>
            <rFont val="Tahoma"/>
            <family val="2"/>
          </rPr>
          <t xml:space="preserve">
1H24 guide A$150-20mn on transformation cost, expects to be trough dollar profit. </t>
        </r>
      </text>
    </comment>
    <comment ref="AI143" authorId="0" shapeId="0" xr:uid="{22788029-6DE2-409A-9ADF-934EAD386A58}">
      <text>
        <r>
          <rPr>
            <b/>
            <sz val="9"/>
            <color indexed="81"/>
            <rFont val="Tahoma"/>
            <family val="2"/>
          </rPr>
          <t>Deng, Lisa L [GIR]:</t>
        </r>
        <r>
          <rPr>
            <sz val="9"/>
            <color indexed="81"/>
            <rFont val="Tahoma"/>
            <family val="2"/>
          </rPr>
          <t xml:space="preserve">
1H24 guide A$150-20mn on transformation cost, expects to be trough dollar profit. </t>
        </r>
      </text>
    </comment>
    <comment ref="AJ143" authorId="15" shapeId="0" xr:uid="{0E3D1816-E8E0-4310-907C-68C244C351F5}">
      <text>
        <t>[Threaded comment]
Your version of Excel allows you to read this threaded comment; however, any edits to it will get removed if the file is opened in a newer version of Excel. Learn more: https://go.microsoft.com/fwlink/?linkid=870924
Comment:
    FY25 result guidance: In New Zealand Food, our transformation will continue and we expect further improvement in our financial performance in FY26. i.e. profit growth</t>
      </text>
    </comment>
    <comment ref="L161" authorId="16" shapeId="0" xr:uid="{372AE614-C525-497B-A46C-21ABEB652E25}">
      <text>
        <t>[Threaded comment]
Your version of Excel allows you to read this threaded comment; however, any edits to it will get removed if the file is opened in a newer version of Excel. Learn more: https://go.microsoft.com/fwlink/?linkid=870924
Comment:
    Medium term annual target (net) 2-4</t>
      </text>
    </comment>
    <comment ref="AJ161" authorId="17" shapeId="0" xr:uid="{9E970C7F-C3BB-4A20-9BB2-3382CE23E078}">
      <text>
        <t>[Threaded comment]
Your version of Excel allows you to read this threaded comment; however, any edits to it will get removed if the file is opened in a newer version of Excel. Learn more: https://go.microsoft.com/fwlink/?linkid=870924
Comment:
    Net zero in 1Q26</t>
      </text>
    </comment>
    <comment ref="I175" authorId="12" shapeId="0" xr:uid="{D091045E-C6A9-411E-80B5-F1B58DC21787}">
      <text>
        <r>
          <rPr>
            <b/>
            <sz val="9"/>
            <color indexed="81"/>
            <rFont val="Tahoma"/>
            <family val="2"/>
          </rPr>
          <t>Leigh, James [GIR]:</t>
        </r>
        <r>
          <rPr>
            <sz val="9"/>
            <color indexed="81"/>
            <rFont val="Tahoma"/>
            <family val="2"/>
          </rPr>
          <t xml:space="preserve">
online down 2.8%</t>
        </r>
      </text>
    </comment>
    <comment ref="AI194" authorId="18" shapeId="0" xr:uid="{9E93DB88-26C2-4F0C-B576-8FB0A4F15FE7}">
      <text>
        <t>[Threaded comment]
Your version of Excel allows you to read this threaded comment; however, any edits to it will get removed if the file is opened in a newer version of Excel. Learn more: https://go.microsoft.com/fwlink/?linkid=870924
Comment:
    1H25 Sales Restated. WOW did not disclose W Living breakdown</t>
      </text>
    </comment>
    <comment ref="L204" authorId="19" shapeId="0" xr:uid="{A3BD0158-371A-4598-B877-B61FA89B8CD4}">
      <text>
        <t>[Threaded comment]
Your version of Excel allows you to read this threaded comment; however, any edits to it will get removed if the file is opened in a newer version of Excel. Learn more: https://go.microsoft.com/fwlink/?linkid=870924
Comment:
    Assumes 3 months of MyDeal losses pre closure in from Sep 25</t>
      </text>
    </comment>
    <comment ref="T209" authorId="6" shapeId="0" xr:uid="{12988E5E-CBCB-4496-AE5E-91590E5C5284}">
      <text>
        <r>
          <rPr>
            <b/>
            <sz val="9"/>
            <color indexed="81"/>
            <rFont val="Tahoma"/>
            <family val="2"/>
          </rPr>
          <t>McLennan, Andrew:</t>
        </r>
        <r>
          <rPr>
            <sz val="9"/>
            <color indexed="81"/>
            <rFont val="Tahoma"/>
            <family val="2"/>
          </rPr>
          <t xml:space="preserve">
comps got at 2Q lift after the introduction of everyday rewards card
</t>
        </r>
      </text>
    </comment>
    <comment ref="AF209" authorId="0" shapeId="0" xr:uid="{EA4F8CA2-95A3-4725-85C5-88FC7592D3D1}">
      <text>
        <r>
          <rPr>
            <b/>
            <sz val="9"/>
            <color indexed="81"/>
            <rFont val="Tahoma"/>
            <family val="2"/>
          </rPr>
          <t>Deng, Lisa L [GIR]:</t>
        </r>
        <r>
          <rPr>
            <sz val="9"/>
            <color indexed="81"/>
            <rFont val="Tahoma"/>
            <family val="2"/>
          </rPr>
          <t xml:space="preserve">
1Qcomp sales -5.6% off a strong recovery, assume Xmas in pcp is normalized and slight worsening customer for 2Q24. </t>
        </r>
      </text>
    </comment>
    <comment ref="R233" authorId="13" shapeId="0" xr:uid="{2E11421B-3AB5-4FEE-8351-59E9ED819CB0}">
      <text>
        <r>
          <rPr>
            <b/>
            <sz val="9"/>
            <color indexed="81"/>
            <rFont val="Tahoma"/>
            <family val="2"/>
          </rPr>
          <t>Basile, Nick J. [GIR]:</t>
        </r>
        <r>
          <rPr>
            <sz val="9"/>
            <color indexed="81"/>
            <rFont val="Tahoma"/>
            <family val="2"/>
          </rPr>
          <t xml:space="preserve">
excludes A$35.3mn impairment for onerous leases</t>
        </r>
      </text>
    </comment>
    <comment ref="S233" authorId="13" shapeId="0" xr:uid="{55E961C9-5C44-495E-8A20-927086A969AB}">
      <text>
        <r>
          <rPr>
            <b/>
            <sz val="9"/>
            <color indexed="81"/>
            <rFont val="Tahoma"/>
            <family val="2"/>
          </rPr>
          <t>Basile, Nick J. [GIR]:</t>
        </r>
        <r>
          <rPr>
            <sz val="9"/>
            <color indexed="81"/>
            <rFont val="Tahoma"/>
            <family val="2"/>
          </rPr>
          <t xml:space="preserve">
guidance for A$115mn to A$135mn losss for 2H17</t>
        </r>
      </text>
    </comment>
    <comment ref="T233" authorId="13" shapeId="0" xr:uid="{6CE80704-59B1-442B-B8DC-C20F109444EB}">
      <text>
        <r>
          <rPr>
            <b/>
            <sz val="9"/>
            <color indexed="81"/>
            <rFont val="Tahoma"/>
            <family val="2"/>
          </rPr>
          <t>Basile, Nick J. [GIR]:</t>
        </r>
        <r>
          <rPr>
            <sz val="9"/>
            <color indexed="81"/>
            <rFont val="Tahoma"/>
            <family val="2"/>
          </rPr>
          <t xml:space="preserve">
excludes A$35.3mn impairment for onerous leases</t>
        </r>
      </text>
    </comment>
    <comment ref="AB233" authorId="7" shapeId="0" xr:uid="{DA570877-A3DD-469F-ABE3-3AE8E88EFB0A}">
      <text>
        <r>
          <rPr>
            <b/>
            <sz val="9"/>
            <color indexed="81"/>
            <rFont val="Tahoma"/>
            <family val="2"/>
          </rPr>
          <t>Nair Syama, Darshana [GIR]:</t>
        </r>
        <r>
          <rPr>
            <sz val="9"/>
            <color indexed="81"/>
            <rFont val="Tahoma"/>
            <family val="2"/>
          </rPr>
          <t xml:space="preserve">
guidance 20-30mn</t>
        </r>
      </text>
    </comment>
    <comment ref="AD233" authorId="7" shapeId="0" xr:uid="{99E42D8D-3AB2-453E-95EA-A6ED505E932B}">
      <text>
        <r>
          <rPr>
            <b/>
            <sz val="9"/>
            <color indexed="81"/>
            <rFont val="Tahoma"/>
            <family val="2"/>
          </rPr>
          <t>Nair Syama, Darshana [GIR]:</t>
        </r>
        <r>
          <rPr>
            <sz val="9"/>
            <color indexed="81"/>
            <rFont val="Tahoma"/>
            <family val="2"/>
          </rPr>
          <t xml:space="preserve">
1H23 results guide: 1H23 is 75-80% of full year EBIT. </t>
        </r>
      </text>
    </comment>
    <comment ref="AF233" authorId="7" shapeId="0" xr:uid="{1A890C71-6990-412A-895D-5291ED8B7CD7}">
      <text>
        <r>
          <rPr>
            <sz val="9"/>
            <color indexed="81"/>
            <rFont val="Tahoma"/>
            <family val="2"/>
          </rPr>
          <t xml:space="preserve">1Q24: profit impacted by decline in sales and higher sales cost. </t>
        </r>
      </text>
    </comment>
    <comment ref="AG233" authorId="0" shapeId="0" xr:uid="{6F30554F-7F27-4A52-BE5B-83AD69DE10E6}">
      <text>
        <r>
          <rPr>
            <b/>
            <sz val="9"/>
            <color indexed="81"/>
            <rFont val="Tahoma"/>
            <family val="2"/>
          </rPr>
          <t>Deng, Lisa L [GIR]:</t>
        </r>
        <r>
          <rPr>
            <sz val="9"/>
            <color indexed="81"/>
            <rFont val="Tahoma"/>
            <family val="2"/>
          </rPr>
          <t xml:space="preserve">
1H24 guidance: break-even </t>
        </r>
      </text>
    </comment>
    <comment ref="AI233" authorId="0" shapeId="0" xr:uid="{674A2446-607E-46B3-A9D1-FB7D3513B9D9}">
      <text>
        <r>
          <rPr>
            <b/>
            <sz val="9"/>
            <color indexed="81"/>
            <rFont val="Tahoma"/>
            <family val="2"/>
          </rPr>
          <t>Deng, Lisa L [GIR]:</t>
        </r>
        <r>
          <rPr>
            <sz val="9"/>
            <color indexed="81"/>
            <rFont val="Tahoma"/>
            <family val="2"/>
          </rPr>
          <t xml:space="preserve">
1H24 guidance: break-even </t>
        </r>
      </text>
    </comment>
    <comment ref="AJ253" authorId="20" shapeId="0" xr:uid="{0DA64EFA-CFA0-4899-A921-90BD93793517}">
      <text>
        <t>[Threaded comment]
Your version of Excel allows you to read this threaded comment; however, any edits to it will get removed if the file is opened in a newer version of Excel. Learn more: https://go.microsoft.com/fwlink/?linkid=870924
Comment:
    Net 0 in 1Q26</t>
      </text>
    </comment>
    <comment ref="B281" authorId="21" shapeId="0" xr:uid="{F9A33C3C-1384-436D-A51D-65C249753759}">
      <text>
        <t>[Threaded comment]
Your version of Excel allows you to read this threaded comment; however, any edits to it will get removed if the file is opened in a newer version of Excel. Learn more: https://go.microsoft.com/fwlink/?linkid=870924
Comment:
    Excludes vets</t>
      </text>
    </comment>
    <comment ref="K281" authorId="22" shapeId="0" xr:uid="{5398640B-0097-494A-A202-1757AB57CD72}">
      <text>
        <t>[Threaded comment]
Your version of Excel allows you to read this threaded comment; however, any edits to it will get removed if the file is opened in a newer version of Excel. Learn more: https://go.microsoft.com/fwlink/?linkid=870924
Comment:
    Excludes Vets</t>
      </text>
    </comment>
    <comment ref="L282" authorId="23" shapeId="0" xr:uid="{06EF6EED-8B74-4FA0-BF7A-AE7458EEA402}">
      <text>
        <t>[Threaded comment]
Your version of Excel allows you to read this threaded comment; however, any edits to it will get removed if the file is opened in a newer version of Excel. Learn more: https://go.microsoft.com/fwlink/?linkid=870924
Comment:
    Medium term annual target (net) 10-20</t>
      </text>
    </comment>
    <comment ref="AI294" authorId="0" shapeId="0" xr:uid="{547BD718-821F-473B-B159-34ECE8C65765}">
      <text>
        <r>
          <rPr>
            <b/>
            <sz val="9"/>
            <color indexed="81"/>
            <rFont val="Tahoma"/>
            <family val="2"/>
          </rPr>
          <t>Deng, Lisa L [GIR]:</t>
        </r>
        <r>
          <rPr>
            <sz val="9"/>
            <color indexed="81"/>
            <rFont val="Tahoma"/>
            <family val="2"/>
          </rPr>
          <t xml:space="preserve">
company guide A$20-30mn in 2H24 EBIT, with A$30-40mn D&amp;A in 2H </t>
        </r>
      </text>
    </comment>
    <comment ref="AH303" authorId="12" shapeId="0" xr:uid="{A1155615-A268-4CDF-BA3B-1AB6B38A5C30}">
      <text>
        <r>
          <rPr>
            <b/>
            <sz val="9"/>
            <color indexed="81"/>
            <rFont val="Tahoma"/>
            <family val="2"/>
          </rPr>
          <t>Leigh, James [GIR]:</t>
        </r>
        <r>
          <rPr>
            <sz val="9"/>
            <color indexed="81"/>
            <rFont val="Tahoma"/>
            <family val="2"/>
          </rPr>
          <t xml:space="preserve">
Assumed Skew to Q2</t>
        </r>
      </text>
    </comment>
    <comment ref="K308" authorId="0" shapeId="0" xr:uid="{CCC262C8-14E1-4650-89FF-34D409580AF5}">
      <text>
        <r>
          <rPr>
            <b/>
            <sz val="9"/>
            <color indexed="81"/>
            <rFont val="Tahoma"/>
            <family val="2"/>
          </rPr>
          <t>Deng, Lisa L [GIR]:</t>
        </r>
        <r>
          <rPr>
            <sz val="9"/>
            <color indexed="81"/>
            <rFont val="Tahoma"/>
            <family val="2"/>
          </rPr>
          <t xml:space="preserve">
assume EBIT being:
1) A$40mn of Woolworths MarketPlus moving from Others to W Living 
2) LBIT of 25mn x 4 = 100mn quarters related to Everyday Market and Healthy Life, moved from AU Food</t>
        </r>
      </text>
    </comment>
    <comment ref="L308" authorId="24" shapeId="0" xr:uid="{F590DC0B-B067-4C4D-8E5C-6230BB3D725C}">
      <text>
        <t>[Threaded comment]
Your version of Excel allows you to read this threaded comment; however, any edits to it will get removed if the file is opened in a newer version of Excel. Learn more: https://go.microsoft.com/fwlink/?linkid=870924
Comment:
    Assume Mydeal losing ~$30m in line with FY24, ceased from 30 September</t>
      </text>
    </comment>
    <comment ref="AF317" authorId="0" shapeId="0" xr:uid="{6C909715-75A7-474E-854A-3B6C88E627F0}">
      <text>
        <r>
          <rPr>
            <b/>
            <sz val="9"/>
            <color indexed="81"/>
            <rFont val="Tahoma"/>
            <family val="2"/>
          </rPr>
          <t>Deng, Lisa L [GIR]:</t>
        </r>
        <r>
          <rPr>
            <sz val="9"/>
            <color indexed="81"/>
            <rFont val="Tahoma"/>
            <family val="2"/>
          </rPr>
          <t xml:space="preserve">
in 1Q reported sales growth +1.5%, excluding woolworths international shut-down, +6% underlying growth. Assume in prior period 200mn attributable to WOW international, 90mn in 1Q24. </t>
        </r>
      </text>
    </comment>
    <comment ref="H320" authorId="0" shapeId="0" xr:uid="{7B6BB5ED-A7FF-400B-BD8B-8FA58974E571}">
      <text>
        <r>
          <rPr>
            <b/>
            <sz val="9"/>
            <color indexed="81"/>
            <rFont val="Tahoma"/>
            <family val="2"/>
          </rPr>
          <t>Deng, Lisa L [GIR]:</t>
        </r>
        <r>
          <rPr>
            <sz val="9"/>
            <color indexed="81"/>
            <rFont val="Tahoma"/>
            <family val="2"/>
          </rPr>
          <t xml:space="preserve">
includes 6mn of losses from discontinued business. </t>
        </r>
      </text>
    </comment>
    <comment ref="I320" authorId="0" shapeId="0" xr:uid="{22F06E04-AC02-4446-B8D0-8CC3B548A4D7}">
      <text>
        <r>
          <rPr>
            <b/>
            <sz val="9"/>
            <color indexed="81"/>
            <rFont val="Tahoma"/>
            <family val="2"/>
          </rPr>
          <t>Deng, Lisa L [GIR]:</t>
        </r>
        <r>
          <rPr>
            <sz val="9"/>
            <color indexed="81"/>
            <rFont val="Tahoma"/>
            <family val="2"/>
          </rPr>
          <t xml:space="preserve">
includes exited businesses, 42mn loss. </t>
        </r>
      </text>
    </comment>
    <comment ref="AB320" authorId="0" shapeId="0" xr:uid="{34ABE654-914E-4549-9DB9-E1D9DD7DF731}">
      <text>
        <r>
          <rPr>
            <b/>
            <sz val="9"/>
            <color indexed="81"/>
            <rFont val="Tahoma"/>
            <family val="2"/>
          </rPr>
          <t>Deng, Lisa L [GIR]:</t>
        </r>
        <r>
          <rPr>
            <sz val="9"/>
            <color indexed="81"/>
            <rFont val="Tahoma"/>
            <family val="2"/>
          </rPr>
          <t xml:space="preserve">
assume 1H is bigger given Xmas. </t>
        </r>
      </text>
    </comment>
    <comment ref="B325" authorId="0" shapeId="0" xr:uid="{EBCFE4B9-1EB9-43CB-BABB-28C5C19880D9}">
      <text>
        <r>
          <rPr>
            <b/>
            <sz val="9"/>
            <color indexed="81"/>
            <rFont val="Tahoma"/>
            <family val="2"/>
          </rPr>
          <t>Deng, Lisa L [GIR]:</t>
        </r>
        <r>
          <rPr>
            <sz val="9"/>
            <color indexed="81"/>
            <rFont val="Tahoma"/>
            <family val="2"/>
          </rPr>
          <t xml:space="preserve">
PFD Food Services, WOW International, WOW at Work and AGW</t>
        </r>
      </text>
    </comment>
    <comment ref="AB325" authorId="0" shapeId="0" xr:uid="{B87E3D9D-96CA-4064-A268-27B22C0B8125}">
      <text>
        <r>
          <rPr>
            <b/>
            <sz val="9"/>
            <color indexed="81"/>
            <rFont val="Tahoma"/>
            <family val="2"/>
          </rPr>
          <t>Deng, Lisa L [GIR]:</t>
        </r>
        <r>
          <rPr>
            <sz val="9"/>
            <color indexed="81"/>
            <rFont val="Tahoma"/>
            <family val="2"/>
          </rPr>
          <t xml:space="preserve">
70% related to PFD, newly acquired. 
Others include Woolworths at Work, Woolworths International, AGW.</t>
        </r>
      </text>
    </comment>
    <comment ref="B326" authorId="0" shapeId="0" xr:uid="{12A21EF6-F0E7-4F91-A824-90FE89A557E2}">
      <text>
        <r>
          <rPr>
            <b/>
            <sz val="9"/>
            <color indexed="81"/>
            <rFont val="Tahoma"/>
            <family val="2"/>
          </rPr>
          <t>Deng, Lisa L [GIR]:</t>
        </r>
        <r>
          <rPr>
            <sz val="9"/>
            <color indexed="81"/>
            <rFont val="Tahoma"/>
            <family val="2"/>
          </rPr>
          <t xml:space="preserve">
external Primary Connect revenue (EDV group and other 3PL customers) and Statewide Independent Wholesalers (SIW) in Tasmania. </t>
        </r>
      </text>
    </comment>
    <comment ref="AB326" authorId="0" shapeId="0" xr:uid="{0C8F3623-D225-4957-B23C-2974A277CA4B}">
      <text>
        <r>
          <rPr>
            <b/>
            <sz val="9"/>
            <color indexed="81"/>
            <rFont val="Tahoma"/>
            <family val="2"/>
          </rPr>
          <t>Deng, Lisa L [GIR]:</t>
        </r>
        <r>
          <rPr>
            <sz val="9"/>
            <color indexed="81"/>
            <rFont val="Tahoma"/>
            <family val="2"/>
          </rPr>
          <t xml:space="preserve">
Primary Connect. Increase due to recognition of EDV primary freight revenue $202m SIW sales. </t>
        </r>
      </text>
    </comment>
    <comment ref="L332" authorId="25" shapeId="0" xr:uid="{2C5B2DCB-257E-40CD-9776-86FBF9B870B5}">
      <text>
        <t xml:space="preserve">[Threaded comment]
Your version of Excel allows you to read this threaded comment; however, any edits to it will get removed if the file is opened in a newer version of Excel. Learn more: https://go.microsoft.com/fwlink/?linkid=870924
Comment:
Reply:
    Other comprises Quantium as well as various support functions, including property and overhead costs and the Group’s share of profit or loss of investments accounted for using the equity method </t>
      </text>
    </comment>
    <comment ref="AD334" authorId="12" shapeId="0" xr:uid="{F984E235-0951-44D0-956E-5E9F3FCDAC9C}">
      <text>
        <r>
          <rPr>
            <b/>
            <sz val="9"/>
            <color indexed="81"/>
            <rFont val="Tahoma"/>
            <family val="2"/>
          </rPr>
          <t>Leigh, James [GIR]:</t>
        </r>
        <r>
          <rPr>
            <sz val="9"/>
            <color indexed="81"/>
            <rFont val="Tahoma"/>
            <family val="2"/>
          </rPr>
          <t xml:space="preserve">
ex mydeal</t>
        </r>
      </text>
    </comment>
    <comment ref="AF334" authorId="0" shapeId="0" xr:uid="{6FAEF79A-876D-4E83-AAB0-C911DA972C6E}">
      <text>
        <r>
          <rPr>
            <b/>
            <sz val="9"/>
            <color indexed="81"/>
            <rFont val="Tahoma"/>
            <family val="2"/>
          </rPr>
          <t>Deng, Lisa L [GIR]:</t>
        </r>
        <r>
          <rPr>
            <sz val="9"/>
            <color indexed="81"/>
            <rFont val="Tahoma"/>
            <family val="2"/>
          </rPr>
          <t xml:space="preserve">
assume last period where it is equity accounted. </t>
        </r>
      </text>
    </comment>
    <comment ref="L337" authorId="26" shapeId="0" xr:uid="{A27234DB-68CA-461A-9588-5129CC22E896}">
      <text>
        <t xml:space="preserve">[Threaded comment]
Your version of Excel allows you to read this threaded comment; however, any edits to it will get removed if the file is opened in a newer version of Excel. Learn more: https://go.microsoft.com/fwlink/?linkid=870924
Comment:
    In F26, Other costs are expected to be approximately $240 million reflecting lower property gains and a rebuild of incentives. </t>
      </text>
    </comment>
    <comment ref="AD337" authorId="12" shapeId="0" xr:uid="{3EC9D4F7-D9A0-4297-95CA-1987734DB71C}">
      <text>
        <r>
          <rPr>
            <b/>
            <sz val="9"/>
            <color indexed="81"/>
            <rFont val="Tahoma"/>
            <family val="2"/>
          </rPr>
          <t>Leigh, James [GIR]:</t>
        </r>
        <r>
          <rPr>
            <sz val="9"/>
            <color indexed="81"/>
            <rFont val="Tahoma"/>
            <family val="2"/>
          </rPr>
          <t xml:space="preserve">
ex mydeal</t>
        </r>
      </text>
    </comment>
    <comment ref="AF337" authorId="0" shapeId="0" xr:uid="{5C862CC2-30CE-47F2-840E-7F00621ADD3F}">
      <text>
        <r>
          <rPr>
            <b/>
            <sz val="9"/>
            <color indexed="81"/>
            <rFont val="Tahoma"/>
            <family val="2"/>
          </rPr>
          <t>Deng, Lisa L [GIR]:</t>
        </r>
        <r>
          <rPr>
            <sz val="9"/>
            <color indexed="81"/>
            <rFont val="Tahoma"/>
            <family val="2"/>
          </rPr>
          <t xml:space="preserve">
assume last period where it is equity accounted. </t>
        </r>
      </text>
    </comment>
    <comment ref="F345" authorId="27" shapeId="0" xr:uid="{D0FFB6D0-BF93-41C5-A45C-A0ACE0E6615B}">
      <text>
        <r>
          <rPr>
            <b/>
            <sz val="9"/>
            <color indexed="81"/>
            <rFont val="Tahoma"/>
            <family val="2"/>
          </rPr>
          <t>McLennan, Andrew (Australia - Research) [GIR]:</t>
        </r>
        <r>
          <rPr>
            <sz val="9"/>
            <color indexed="81"/>
            <rFont val="Tahoma"/>
            <family val="2"/>
          </rPr>
          <t xml:space="preserve">
hotesl to shut down across Australia from 23 March 2020. No restart time as yet. Accomodation to continue and takeaway sales to continue. Govt noted could be closed for 6m. Assume 2 months
</t>
        </r>
      </text>
    </comment>
    <comment ref="E358" authorId="7" shapeId="0" xr:uid="{71614811-C0BB-4327-B1A1-37922CF991A0}">
      <text>
        <r>
          <rPr>
            <b/>
            <sz val="9"/>
            <color indexed="81"/>
            <rFont val="Tahoma"/>
            <family val="2"/>
          </rPr>
          <t>Nair Syama, Darshana [GIR]:</t>
        </r>
        <r>
          <rPr>
            <sz val="9"/>
            <color indexed="81"/>
            <rFont val="Tahoma"/>
            <family val="2"/>
          </rPr>
          <t xml:space="preserve">
includes ecom</t>
        </r>
      </text>
    </comment>
    <comment ref="H361" authorId="7" shapeId="0" xr:uid="{0657E610-7CB2-4E27-915C-CED202490F00}">
      <text>
        <r>
          <rPr>
            <b/>
            <sz val="9"/>
            <color indexed="81"/>
            <rFont val="Tahoma"/>
            <family val="2"/>
          </rPr>
          <t>Nair Syama, Darshana [GIR]:</t>
        </r>
        <r>
          <rPr>
            <sz val="9"/>
            <color indexed="81"/>
            <rFont val="Tahoma"/>
            <family val="2"/>
          </rPr>
          <t xml:space="preserve">
guidance 2bn - driven by investment in ecom, digital and supply chain
1H22 Guidance: $2B. </t>
        </r>
      </text>
    </comment>
    <comment ref="H366" authorId="0" shapeId="0" xr:uid="{8E78FCE1-431F-4467-804C-E4E709A7DD29}">
      <text>
        <r>
          <rPr>
            <b/>
            <sz val="9"/>
            <color indexed="81"/>
            <rFont val="Tahoma"/>
            <family val="2"/>
          </rPr>
          <t>Deng, Lisa L [GIR]:</t>
        </r>
        <r>
          <rPr>
            <sz val="9"/>
            <color indexed="81"/>
            <rFont val="Tahoma"/>
            <family val="2"/>
          </rPr>
          <t xml:space="preserve">
FY21 Analyst Presentation guided 2022 Capex ~$2B, driven by investments in eCom, Digital and Supply Chain. </t>
        </r>
      </text>
    </comment>
    <comment ref="K383" authorId="28" shapeId="0" xr:uid="{DA31402D-2DC7-4A53-8FD1-CDEF40C21D84}">
      <text>
        <t>[Threaded comment]
Your version of Excel allows you to read this threaded comment; however, any edits to it will get removed if the file is opened in a newer version of Excel. Learn more: https://go.microsoft.com/fwlink/?linkid=870924
Comment:
    Assumes 1% of sales impact</t>
      </text>
    </comment>
    <comment ref="K385" authorId="29" shapeId="0" xr:uid="{87E6E0F8-2664-4893-8FF2-346125FCAFF6}">
      <text>
        <t>[Threaded comment]
Your version of Excel allows you to read this threaded comment; however, any edits to it will get removed if the file is opened in a newer version of Excel. Learn more: https://go.microsoft.com/fwlink/?linkid=870924
Comment:
    Big W + assumed 1% of sales impact for Petstock</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tc={23A06957-3487-4734-A17B-DA77BA3C38FD}</author>
    <author>tc={A67B5FFA-8542-4F45-BC6E-BD97FE88F870}</author>
    <author>Nair Syama, Darshana [GIR]</author>
    <author>Deng, Lisa L [GIR]</author>
    <author>tc={CEF82D38-CBAB-47AC-9731-A7495ADB2272}</author>
  </authors>
  <commentList>
    <comment ref="G35" authorId="0" shapeId="0" xr:uid="{23A06957-3487-4734-A17B-DA77BA3C38FD}">
      <text>
        <t>[Threaded comment]
Your version of Excel allows you to read this threaded comment; however, any edits to it will get removed if the file is opened in a newer version of Excel. Learn more: https://go.microsoft.com/fwlink/?linkid=870924
Comment:
    Ex EDV, FY21 Annual Report</t>
      </text>
    </comment>
    <comment ref="AH36" authorId="1" shapeId="0" xr:uid="{A67B5FFA-8542-4F45-BC6E-BD97FE88F870}">
      <text>
        <t>[Threaded comment]
Your version of Excel allows you to read this threaded comment; however, any edits to it will get removed if the file is opened in a newer version of Excel. Learn more: https://go.microsoft.com/fwlink/?linkid=870924
Comment:
    Uses cash flow statement net finance costs paid on borrowings</t>
      </text>
    </comment>
    <comment ref="G44" authorId="2" shapeId="0" xr:uid="{7BFD187A-3E31-4FD2-AD73-23F56D416530}">
      <text>
        <r>
          <rPr>
            <b/>
            <sz val="9"/>
            <color indexed="81"/>
            <rFont val="Tahoma"/>
            <family val="2"/>
          </rPr>
          <t>Nair Syama, Darshana [GIR]:</t>
        </r>
        <r>
          <rPr>
            <sz val="9"/>
            <color indexed="81"/>
            <rFont val="Tahoma"/>
            <family val="2"/>
          </rPr>
          <t xml:space="preserve">
65mn discontinued</t>
        </r>
      </text>
    </comment>
    <comment ref="AF44" authorId="3" shapeId="0" xr:uid="{71057EA7-BDF9-4D59-8539-CEEE873EDBF4}">
      <text>
        <r>
          <rPr>
            <b/>
            <sz val="9"/>
            <color indexed="81"/>
            <rFont val="Tahoma"/>
            <family val="2"/>
          </rPr>
          <t>Deng, Lisa L [GIR]:</t>
        </r>
        <r>
          <rPr>
            <sz val="9"/>
            <color indexed="81"/>
            <rFont val="Tahoma"/>
            <family val="2"/>
          </rPr>
          <t xml:space="preserve">
non controlling interests of PFD, Quantium, MyDeal. </t>
        </r>
      </text>
    </comment>
    <comment ref="AH44" authorId="3" shapeId="0" xr:uid="{1B10A62D-1499-4A9B-83C8-80E2229CE466}">
      <text>
        <r>
          <rPr>
            <b/>
            <sz val="9"/>
            <color indexed="81"/>
            <rFont val="Tahoma"/>
            <family val="2"/>
          </rPr>
          <t>Deng, Lisa L [GIR]:</t>
        </r>
        <r>
          <rPr>
            <sz val="9"/>
            <color indexed="81"/>
            <rFont val="Tahoma"/>
            <family val="2"/>
          </rPr>
          <t xml:space="preserve">
from 2 Sept 2024, WOW sold remaining 4.1% of EDV shares and used the proceeds to fund remaining 35% acquisition of PFD Foods. </t>
        </r>
      </text>
    </comment>
    <comment ref="K72" authorId="4" shapeId="0" xr:uid="{CEF82D38-CBAB-47AC-9731-A7495ADB2272}">
      <text>
        <t>[Threaded comment]
Your version of Excel allows you to read this threaded comment; however, any edits to it will get removed if the file is opened in a newer version of Excel. Learn more: https://go.microsoft.com/fwlink/?linkid=870924
Comment:
    Is this right?
Reply:
    Looks like either the stat EBIT or stat PBT is incorrect for the last few years?</t>
      </text>
    </comment>
    <comment ref="D85" authorId="2" shapeId="0" xr:uid="{C90FBBCE-2560-4960-8747-7E78A80F04E1}">
      <text>
        <r>
          <rPr>
            <b/>
            <sz val="9"/>
            <color indexed="81"/>
            <rFont val="Tahoma"/>
            <family val="2"/>
          </rPr>
          <t>Nair Syama, Darshana [GIR]:</t>
        </r>
        <r>
          <rPr>
            <sz val="9"/>
            <color indexed="81"/>
            <rFont val="Tahoma"/>
            <family val="2"/>
          </rPr>
          <t xml:space="preserve">
134mn is attributable to non-controlling interest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tc={CB58414F-DCA8-4EAB-82C7-098527A6FC20}</author>
    <author>tc={C3E1BCCA-572B-4B47-82DB-63F91B46AAF7}</author>
  </authors>
  <commentList>
    <comment ref="K23" authorId="0" shapeId="0" xr:uid="{CB58414F-DCA8-4EAB-82C7-098527A6FC20}">
      <text>
        <t>[Threaded comment]
Your version of Excel allows you to read this threaded comment; however, any edits to it will get removed if the file is opened in a newer version of Excel. Learn more: https://go.microsoft.com/fwlink/?linkid=870924
Comment:
    Remaining EDV stake proceeds</t>
      </text>
    </comment>
    <comment ref="N24" authorId="1" shapeId="0" xr:uid="{C3E1BCCA-572B-4B47-82DB-63F91B46AAF7}">
      <text>
        <t xml:space="preserve">[Threaded comment]
Your version of Excel allows you to read this threaded comment; however, any edits to it will get removed if the file is opened in a newer version of Excel. Learn more: https://go.microsoft.com/fwlink/?linkid=870924
Comment:
    Need to add in payments for Pets put options </t>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Deng, Lisa L [GIR]</author>
    <author>Leigh, James [GIR]</author>
    <author>Nair Syama, Darshana [GIR]</author>
  </authors>
  <commentList>
    <comment ref="G9" authorId="0" shapeId="0" xr:uid="{D0F39169-1276-4AAC-BA21-46DEEA375992}">
      <text>
        <r>
          <rPr>
            <b/>
            <sz val="9"/>
            <color indexed="81"/>
            <rFont val="Tahoma"/>
            <family val="2"/>
          </rPr>
          <t>Deng, Lisa L [GIR]:</t>
        </r>
        <r>
          <rPr>
            <sz val="9"/>
            <color indexed="81"/>
            <rFont val="Tahoma"/>
            <family val="2"/>
          </rPr>
          <t xml:space="preserve">
195 assets held for sale, 10,764 assets held for distribution - EDV. </t>
        </r>
      </text>
    </comment>
    <comment ref="H9" authorId="0" shapeId="0" xr:uid="{E17A78C1-87B8-42C7-976A-94959AB33D12}">
      <text>
        <r>
          <rPr>
            <b/>
            <sz val="9"/>
            <color indexed="81"/>
            <rFont val="Tahoma"/>
            <family val="2"/>
          </rPr>
          <t>Deng, Lisa L [GIR]:</t>
        </r>
        <r>
          <rPr>
            <sz val="9"/>
            <color indexed="81"/>
            <rFont val="Tahoma"/>
            <family val="2"/>
          </rPr>
          <t xml:space="preserve">
de-recognized assets held for distribution related to EDV. </t>
        </r>
      </text>
    </comment>
    <comment ref="AB9" authorId="0" shapeId="0" xr:uid="{3AB414B5-CAFB-4BE6-A5DC-DD98EC2C3D5F}">
      <text>
        <r>
          <rPr>
            <b/>
            <sz val="9"/>
            <color indexed="81"/>
            <rFont val="Tahoma"/>
            <family val="2"/>
          </rPr>
          <t>Deng, Lisa L [GIR]:</t>
        </r>
        <r>
          <rPr>
            <sz val="9"/>
            <color indexed="81"/>
            <rFont val="Tahoma"/>
            <family val="2"/>
          </rPr>
          <t xml:space="preserve">
de-recognized assets held for distribution related to EDV. </t>
        </r>
      </text>
    </comment>
    <comment ref="AF16" authorId="1" shapeId="0" xr:uid="{9F2B731E-0DD4-4A13-A894-81EFC105361C}">
      <text>
        <r>
          <rPr>
            <b/>
            <sz val="9"/>
            <color indexed="81"/>
            <rFont val="Tahoma"/>
            <family val="2"/>
          </rPr>
          <t>Leigh, James [GIR]:</t>
        </r>
        <r>
          <rPr>
            <sz val="9"/>
            <color indexed="81"/>
            <rFont val="Tahoma"/>
            <family val="2"/>
          </rPr>
          <t xml:space="preserve">
NZ asset goowill impairment NZ$1.6B, equivalent A$1,481 
</t>
        </r>
      </text>
    </comment>
    <comment ref="H19" authorId="0" shapeId="0" xr:uid="{9125F2AA-7549-4202-88DF-01E5525A4FB0}">
      <text>
        <r>
          <rPr>
            <b/>
            <sz val="9"/>
            <color indexed="81"/>
            <rFont val="Tahoma"/>
            <family val="2"/>
          </rPr>
          <t>Deng, Lisa L [GIR]:</t>
        </r>
        <r>
          <rPr>
            <sz val="9"/>
            <color indexed="81"/>
            <rFont val="Tahoma"/>
            <family val="2"/>
          </rPr>
          <t xml:space="preserve">
adding 14.6% in EDV fair value. </t>
        </r>
      </text>
    </comment>
    <comment ref="AB19" authorId="0" shapeId="0" xr:uid="{554DFFF9-63D0-44E9-BA65-2D75C6F12CD3}">
      <text>
        <r>
          <rPr>
            <b/>
            <sz val="9"/>
            <color indexed="81"/>
            <rFont val="Tahoma"/>
            <family val="2"/>
          </rPr>
          <t>Deng, Lisa L [GIR]:</t>
        </r>
        <r>
          <rPr>
            <sz val="9"/>
            <color indexed="81"/>
            <rFont val="Tahoma"/>
            <family val="2"/>
          </rPr>
          <t xml:space="preserve">
adding 14.6% in EDV fair value. </t>
        </r>
      </text>
    </comment>
    <comment ref="AF19" authorId="0" shapeId="0" xr:uid="{04C533F1-A878-4518-AD32-C72A50EE4B67}">
      <text>
        <r>
          <rPr>
            <b/>
            <sz val="9"/>
            <color indexed="81"/>
            <rFont val="Tahoma"/>
            <family val="2"/>
          </rPr>
          <t>Deng, Lisa L [GIR]:</t>
        </r>
        <r>
          <rPr>
            <sz val="9"/>
            <color indexed="81"/>
            <rFont val="Tahoma"/>
            <family val="2"/>
          </rPr>
          <t xml:space="preserve">
reducing by 1,791*5.21*9.1% (reducing EDV stake at market price end Dec 31st) </t>
        </r>
      </text>
    </comment>
    <comment ref="J20" authorId="1" shapeId="0" xr:uid="{5634EC57-41E9-471A-9482-C67CCE0AA69E}">
      <text>
        <r>
          <rPr>
            <b/>
            <sz val="9"/>
            <color indexed="81"/>
            <rFont val="Tahoma"/>
            <family val="2"/>
          </rPr>
          <t>Leigh, James [GIR]:</t>
        </r>
        <r>
          <rPr>
            <sz val="9"/>
            <color indexed="81"/>
            <rFont val="Tahoma"/>
            <family val="2"/>
          </rPr>
          <t xml:space="preserve">
reduce by EDV stake sale</t>
        </r>
      </text>
    </comment>
    <comment ref="B27" authorId="0" shapeId="0" xr:uid="{FAC8C4AB-0766-454E-B2DA-896B483FA762}">
      <text>
        <r>
          <rPr>
            <b/>
            <sz val="9"/>
            <color indexed="81"/>
            <rFont val="Tahoma"/>
            <family val="2"/>
          </rPr>
          <t>Deng, Lisa L [GIR]:</t>
        </r>
        <r>
          <rPr>
            <sz val="9"/>
            <color indexed="81"/>
            <rFont val="Tahoma"/>
            <family val="2"/>
          </rPr>
          <t xml:space="preserve">
accruals, contract liabilities. </t>
        </r>
      </text>
    </comment>
    <comment ref="AB31" authorId="0" shapeId="0" xr:uid="{0C5DA546-E63C-4A81-BD44-4BE27922C9CF}">
      <text>
        <r>
          <rPr>
            <b/>
            <sz val="9"/>
            <color indexed="81"/>
            <rFont val="Tahoma"/>
            <family val="2"/>
          </rPr>
          <t>Deng, Lisa L [GIR]:</t>
        </r>
        <r>
          <rPr>
            <sz val="9"/>
            <color indexed="81"/>
            <rFont val="Tahoma"/>
            <family val="2"/>
          </rPr>
          <t xml:space="preserve">
increase of 144m due to wage remediation. </t>
        </r>
      </text>
    </comment>
    <comment ref="G32" authorId="0" shapeId="0" xr:uid="{09F2E980-9EA0-4DF6-81AD-8DF4E14E0EE5}">
      <text>
        <r>
          <rPr>
            <b/>
            <sz val="9"/>
            <color indexed="81"/>
            <rFont val="Tahoma"/>
            <family val="2"/>
          </rPr>
          <t>Deng, Lisa L [GIR]:</t>
        </r>
        <r>
          <rPr>
            <sz val="9"/>
            <color indexed="81"/>
            <rFont val="Tahoma"/>
            <family val="2"/>
          </rPr>
          <t xml:space="preserve">
5,231 liabilities held for distribution - EDV&gt; </t>
        </r>
      </text>
    </comment>
    <comment ref="H32" authorId="0" shapeId="0" xr:uid="{443C3595-5768-4EF3-B42E-8C929429F1B2}">
      <text>
        <r>
          <rPr>
            <b/>
            <sz val="9"/>
            <color indexed="81"/>
            <rFont val="Tahoma"/>
            <family val="2"/>
          </rPr>
          <t>Deng, Lisa L [GIR]:</t>
        </r>
        <r>
          <rPr>
            <sz val="9"/>
            <color indexed="81"/>
            <rFont val="Tahoma"/>
            <family val="2"/>
          </rPr>
          <t xml:space="preserve">
de-recognized EDV related liabilities for Distribution and Demerger Liability. </t>
        </r>
      </text>
    </comment>
    <comment ref="AB32" authorId="0" shapeId="0" xr:uid="{8BF67AA9-8DF3-4EA3-9BF4-2E7B147635B0}">
      <text>
        <r>
          <rPr>
            <b/>
            <sz val="9"/>
            <color indexed="81"/>
            <rFont val="Tahoma"/>
            <family val="2"/>
          </rPr>
          <t>Deng, Lisa L [GIR]:</t>
        </r>
        <r>
          <rPr>
            <sz val="9"/>
            <color indexed="81"/>
            <rFont val="Tahoma"/>
            <family val="2"/>
          </rPr>
          <t xml:space="preserve">
de-recognized EDV related liabilities for Distribution and Demerger Liability. </t>
        </r>
      </text>
    </comment>
    <comment ref="G43" authorId="0" shapeId="0" xr:uid="{C4B3F3A5-C42F-43FB-ADA3-E0C60C555712}">
      <text>
        <r>
          <rPr>
            <b/>
            <sz val="9"/>
            <color indexed="81"/>
            <rFont val="Tahoma"/>
            <family val="2"/>
          </rPr>
          <t>Deng, Lisa L [GIR]:</t>
        </r>
        <r>
          <rPr>
            <sz val="9"/>
            <color indexed="81"/>
            <rFont val="Tahoma"/>
            <family val="2"/>
          </rPr>
          <t xml:space="preserve">
incl. 904 capital reduction related to EDV demerger. </t>
        </r>
      </text>
    </comment>
    <comment ref="Z43" authorId="2" shapeId="0" xr:uid="{0DE67928-4D2F-4771-8742-D832238853F9}">
      <text>
        <r>
          <rPr>
            <b/>
            <sz val="9"/>
            <color indexed="81"/>
            <rFont val="Tahoma"/>
            <family val="2"/>
          </rPr>
          <t>Nair Syama, Darshana [GIR]:</t>
        </r>
        <r>
          <rPr>
            <sz val="9"/>
            <color indexed="81"/>
            <rFont val="Tahoma"/>
            <family val="2"/>
          </rPr>
          <t xml:space="preserve">
2281 being adjustment in proforma equity
page 93</t>
        </r>
      </text>
    </comment>
    <comment ref="G44" authorId="0" shapeId="0" xr:uid="{CBE5CC41-5AF3-43D5-BA67-EE0115CFA289}">
      <text>
        <r>
          <rPr>
            <b/>
            <sz val="9"/>
            <color indexed="81"/>
            <rFont val="Tahoma"/>
            <family val="2"/>
          </rPr>
          <t xml:space="preserve">Deng, Lisa L [GIR]:
</t>
        </r>
        <r>
          <rPr>
            <sz val="9"/>
            <color indexed="81"/>
            <rFont val="Tahoma"/>
            <family val="2"/>
          </rPr>
          <t>incl. 6966 demerger reserve related to EDV demerger.</t>
        </r>
        <r>
          <rPr>
            <b/>
            <sz val="9"/>
            <color indexed="81"/>
            <rFont val="Tahoma"/>
            <family val="2"/>
          </rPr>
          <t xml:space="preserve"> </t>
        </r>
      </text>
    </comment>
    <comment ref="AB44" authorId="0" shapeId="0" xr:uid="{A23B8851-A02C-40E8-A27A-DC041849B1F5}">
      <text>
        <r>
          <rPr>
            <b/>
            <sz val="9"/>
            <color indexed="81"/>
            <rFont val="Tahoma"/>
            <family val="2"/>
          </rPr>
          <t>Deng, Lisa L [GIR]:</t>
        </r>
        <r>
          <rPr>
            <sz val="9"/>
            <color indexed="81"/>
            <rFont val="Tahoma"/>
            <family val="2"/>
          </rPr>
          <t xml:space="preserve">
gain on demerger. Refer note 5.3.2 of FY21 annual report. </t>
        </r>
      </text>
    </comment>
    <comment ref="G45" authorId="0" shapeId="0" xr:uid="{44253F62-41C5-4C78-9956-7267D7EF6E2E}">
      <text>
        <r>
          <rPr>
            <b/>
            <sz val="9"/>
            <color indexed="81"/>
            <rFont val="Tahoma"/>
            <family val="2"/>
          </rPr>
          <t>Deng, Lisa L [GIR]:</t>
        </r>
        <r>
          <rPr>
            <sz val="9"/>
            <color indexed="81"/>
            <rFont val="Tahoma"/>
            <family val="2"/>
          </rPr>
          <t xml:space="preserve">
incl. NPAT of 2,074 less dividend paid, 1277. </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Nair Syama, Darshana [GIR]</author>
    <author>Deng, Lisa L [GIR]</author>
    <author>Haidar, Rayanne [GIR]</author>
    <author>tc={A9C0A6BA-E978-4A09-A5AB-76E887696A40}</author>
    <author>tc={62E52BE9-1FBF-4B03-8F44-5A1EF7531B57}</author>
    <author>tc={CDDC801A-340C-482D-B69E-D9C1190BA510}</author>
    <author>tc={6DF58096-A5DA-4536-A4BC-F9075DF89065}</author>
    <author>tc={F3841FEB-F776-4EDE-9888-A99F25DA1F3B}</author>
    <author>tc={9AF3E341-9470-4D55-86CB-1AF93EC6079F}</author>
    <author>tc={B32518D3-0C8F-487B-AF98-5478658D9BD3}</author>
    <author>tc={1E60545E-59EA-4BB4-BEDC-F705CD3B267D}</author>
    <author>tc={32F6BBC3-B1EF-4CB1-B56E-E0058AD9514E}</author>
    <author>tc={D69D1532-910A-4F6F-9933-35F2DBEB0D10}</author>
    <author>tc={181DC137-D88A-406B-B49B-FDEBF60CA91D}</author>
    <author>tc={01295797-1238-44C6-A7F1-A0109E00BE00}</author>
    <author>tc={32005A3B-6B2B-4343-B813-DF925AE7C44B}</author>
    <author>Leigh, James [GIR]</author>
    <author>tc={73D8AABB-6842-42A3-ADB5-9A43C501E1A3}</author>
    <author>tc={A0DD77D2-32BC-4857-BD9C-332B1334F3A5}</author>
    <author>tc={4C8EB20B-837D-4393-B009-2F0B7D7D0150}</author>
    <author>tc={9D4F37BF-B5EF-4A28-ACE3-577D92998495}</author>
  </authors>
  <commentList>
    <comment ref="S6" authorId="0" shapeId="0" xr:uid="{32A4FF2A-F9CD-4964-8756-82FD50B6C483}">
      <text>
        <r>
          <rPr>
            <b/>
            <sz val="9"/>
            <color indexed="81"/>
            <rFont val="Tahoma"/>
            <family val="2"/>
          </rPr>
          <t>Nair Syama, Darshana [GIR]:</t>
        </r>
        <r>
          <rPr>
            <sz val="9"/>
            <color indexed="81"/>
            <rFont val="Tahoma"/>
            <family val="2"/>
          </rPr>
          <t xml:space="preserve">
restated to 11808 - ex B2B</t>
        </r>
      </text>
    </comment>
    <comment ref="AI7" authorId="1" shapeId="0" xr:uid="{24DBE1DD-80B0-4EB8-9675-92DAB243CD05}">
      <text>
        <r>
          <rPr>
            <b/>
            <sz val="9"/>
            <color indexed="81"/>
            <rFont val="Tahoma"/>
            <family val="2"/>
          </rPr>
          <t>Deng, Lisa L [GIR]:</t>
        </r>
        <r>
          <rPr>
            <sz val="9"/>
            <color indexed="81"/>
            <rFont val="Tahoma"/>
            <family val="2"/>
          </rPr>
          <t xml:space="preserve">
External Sales only </t>
        </r>
      </text>
    </comment>
    <comment ref="W9" authorId="0" shapeId="0" xr:uid="{1D6F368F-FB6B-48F2-A16D-2923875C0357}">
      <text>
        <r>
          <rPr>
            <b/>
            <sz val="9"/>
            <color indexed="81"/>
            <rFont val="Tahoma"/>
            <family val="2"/>
          </rPr>
          <t>Nair Syama, Darshana [GIR]:</t>
        </r>
        <r>
          <rPr>
            <sz val="9"/>
            <color indexed="81"/>
            <rFont val="Tahoma"/>
            <family val="2"/>
          </rPr>
          <t xml:space="preserve">
Category shift towards leisure and toys, apparel continued to see slower sell through and high clearance of winter lines</t>
        </r>
      </text>
    </comment>
    <comment ref="AI10" authorId="1" shapeId="0" xr:uid="{C8882245-06E1-43D2-91F5-CB5F4BC6DC87}">
      <text>
        <r>
          <rPr>
            <b/>
            <sz val="9"/>
            <color indexed="81"/>
            <rFont val="Tahoma"/>
            <family val="2"/>
          </rPr>
          <t>Deng, Lisa L [GIR]:</t>
        </r>
        <r>
          <rPr>
            <sz val="9"/>
            <color indexed="81"/>
            <rFont val="Tahoma"/>
            <family val="2"/>
          </rPr>
          <t xml:space="preserve">
mainly Quantium </t>
        </r>
      </text>
    </comment>
    <comment ref="AK10" authorId="2" shapeId="0" xr:uid="{B3C2FD07-223E-4F2C-B542-4D6C3F095FA0}">
      <text>
        <r>
          <rPr>
            <b/>
            <sz val="9"/>
            <color indexed="81"/>
            <rFont val="Tahoma"/>
            <family val="2"/>
          </rPr>
          <t>Haidar, Rayanne [GIR]:</t>
        </r>
        <r>
          <rPr>
            <sz val="9"/>
            <color indexed="81"/>
            <rFont val="Tahoma"/>
            <family val="2"/>
          </rPr>
          <t xml:space="preserve">
includes revenue from Quantium</t>
        </r>
      </text>
    </comment>
    <comment ref="AI12" authorId="3" shapeId="0" xr:uid="{A9C0A6BA-E978-4A09-A5AB-76E887696A40}">
      <text>
        <t>[Threaded comment]
Your version of Excel allows you to read this threaded comment; however, any edits to it will get removed if the file is opened in a newer version of Excel. Learn more: https://go.microsoft.com/fwlink/?linkid=870924
Comment:
    1Q25 Restated to reflect everyday market and healthylife moving to Aus Food</t>
      </text>
    </comment>
    <comment ref="AM16" authorId="4" shapeId="0" xr:uid="{62E52BE9-1FBF-4B03-8F44-5A1EF7531B57}">
      <text>
        <t>[Threaded comment]
Your version of Excel allows you to read this threaded comment; however, any edits to it will get removed if the file is opened in a newer version of Excel. Learn more: https://go.microsoft.com/fwlink/?linkid=870924
Comment:
    Sales benefitted from the alignment of retail calendars in PFD which moved to a 14-week quarter from a 13-week quarter. Exc this benefit sales increased 2.2%</t>
      </text>
    </comment>
    <comment ref="AJ24" authorId="5" shapeId="0" xr:uid="{CDDC801A-340C-482D-B69E-D9C1190BA510}">
      <text>
        <t>[Threaded comment]
Your version of Excel allows you to read this threaded comment; however, any edits to it will get removed if the file is opened in a newer version of Excel. Learn more: https://go.microsoft.com/fwlink/?linkid=870924
Comment:
    The estimated impact to sales from the industrial action is approximately $240 million (including eCommerce). - from Feb 2025 result
Reply:
    =1.9% drag</t>
      </text>
    </comment>
    <comment ref="AN24" authorId="6" shapeId="0" xr:uid="{6DF58096-A5DA-4536-A4BC-F9075DF89065}">
      <text>
        <t>[Threaded comment]
Your version of Excel allows you to read this threaded comment; however, any edits to it will get removed if the file is opened in a newer version of Excel. Learn more: https://go.microsoft.com/fwlink/?linkid=870924
Comment:
    Woolworths Food Retail sales in Q2 to date have increased by 3.2% (5.0% ex. Tobacco)
Reply:
    The industrial action was a $240m impact. Assume they get ~90% back</t>
      </text>
    </comment>
    <comment ref="BM24" authorId="7" shapeId="0" xr:uid="{F3841FEB-F776-4EDE-9888-A99F25DA1F3B}">
      <text>
        <t>[Threaded comment]
Your version of Excel allows you to read this threaded comment; however, any edits to it will get removed if the file is opened in a newer version of Excel. Learn more: https://go.microsoft.com/fwlink/?linkid=870924
Comment:
    I think all these should be calcs rather than averages (i..e 2H25 / 2H24 -1 %)</t>
      </text>
    </comment>
    <comment ref="AN25" authorId="8" shapeId="0" xr:uid="{9AF3E341-9470-4D55-86CB-1AF93EC6079F}">
      <text>
        <t>[Threaded comment]
Your version of Excel allows you to read this threaded comment; however, any edits to it will get removed if the file is opened in a newer version of Excel. Learn more: https://go.microsoft.com/fwlink/?linkid=870924
Comment:
    1Q26 underlying growth was 2.2% (6.2% included shifting to retail calendar in PFD i.e. 14 weeks vs 13)</t>
      </text>
    </comment>
    <comment ref="W33" authorId="0" shapeId="0" xr:uid="{3416E126-8980-49C1-94DF-24FDD9AD9C6F}">
      <text>
        <r>
          <rPr>
            <b/>
            <sz val="9"/>
            <color indexed="81"/>
            <rFont val="Tahoma"/>
            <family val="2"/>
          </rPr>
          <t>Nair Syama, Darshana [GIR]:</t>
        </r>
        <r>
          <rPr>
            <sz val="9"/>
            <color indexed="81"/>
            <rFont val="Tahoma"/>
            <family val="2"/>
          </rPr>
          <t xml:space="preserve">
woolworths brick collectibles</t>
        </r>
      </text>
    </comment>
    <comment ref="AA44" authorId="1" shapeId="0" xr:uid="{4E85173A-58D6-4ED8-85E4-FA3A882B28AD}">
      <text>
        <r>
          <rPr>
            <b/>
            <sz val="9"/>
            <color indexed="81"/>
            <rFont val="Tahoma"/>
            <family val="2"/>
          </rPr>
          <t>Deng, Lisa L [GIR]:</t>
        </r>
        <r>
          <rPr>
            <sz val="9"/>
            <color indexed="81"/>
            <rFont val="Tahoma"/>
            <family val="2"/>
          </rPr>
          <t xml:space="preserve">
Fisrt 8 weeks FY23 -0.5%</t>
        </r>
      </text>
    </comment>
    <comment ref="AH44" authorId="1" shapeId="0" xr:uid="{D33BE25C-C560-4AB0-BA71-6D00D76A1E14}">
      <text>
        <r>
          <rPr>
            <b/>
            <sz val="9"/>
            <color indexed="81"/>
            <rFont val="Tahoma"/>
            <family val="2"/>
          </rPr>
          <t>Deng, Lisa L [GIR]:</t>
        </r>
        <r>
          <rPr>
            <sz val="9"/>
            <color indexed="81"/>
            <rFont val="Tahoma"/>
            <family val="2"/>
          </rPr>
          <t xml:space="preserve">
normalized to exclude 53rd week </t>
        </r>
      </text>
    </comment>
    <comment ref="AJ44" authorId="1" shapeId="0" xr:uid="{07352D70-F1CA-4941-AFB9-BEC721E2A78E}">
      <text>
        <r>
          <rPr>
            <b/>
            <sz val="9"/>
            <color indexed="81"/>
            <rFont val="Tahoma"/>
            <family val="2"/>
          </rPr>
          <t>Deng, Lisa L [GIR]:</t>
        </r>
        <r>
          <rPr>
            <sz val="9"/>
            <color indexed="81"/>
            <rFont val="Tahoma"/>
            <family val="2"/>
          </rPr>
          <t xml:space="preserve">
Oct sales run-rate ~3% per 1Q25 results, impacted by 300mn of sales from 4DC stock-outs. </t>
        </r>
      </text>
    </comment>
    <comment ref="AN45" authorId="9" shapeId="0" xr:uid="{B32518D3-0C8F-487B-AF98-5478658D9BD3}">
      <text>
        <t>[Threaded comment]
Your version of Excel allows you to read this threaded comment; however, any edits to it will get removed if the file is opened in a newer version of Excel. Learn more: https://go.microsoft.com/fwlink/?linkid=870924
Comment:
    YTD October 5.0% ex tobacco (3.2% inc tobacco)</t>
      </text>
    </comment>
    <comment ref="W48" authorId="0" shapeId="0" xr:uid="{BFCF54A4-90AA-4FA9-BF15-5A2581D23112}">
      <text>
        <r>
          <rPr>
            <b/>
            <sz val="9"/>
            <color indexed="81"/>
            <rFont val="Tahoma"/>
            <family val="2"/>
          </rPr>
          <t>Nair Syama, Darshana [GIR]:</t>
        </r>
        <r>
          <rPr>
            <sz val="9"/>
            <color indexed="81"/>
            <rFont val="Tahoma"/>
            <family val="2"/>
          </rPr>
          <t xml:space="preserve">
woolworths brick collectibles</t>
        </r>
      </text>
    </comment>
    <comment ref="AC54" authorId="1" shapeId="0" xr:uid="{64A01926-F97A-42D5-AE57-67371EDB4062}">
      <text>
        <r>
          <rPr>
            <b/>
            <sz val="9"/>
            <color indexed="81"/>
            <rFont val="Tahoma"/>
            <family val="2"/>
          </rPr>
          <t>Deng, Lisa L [GIR]:</t>
        </r>
        <r>
          <rPr>
            <sz val="9"/>
            <color indexed="81"/>
            <rFont val="Tahoma"/>
            <family val="2"/>
          </rPr>
          <t xml:space="preserve">
expect market share loss to COL. </t>
        </r>
      </text>
    </comment>
    <comment ref="W57" authorId="0" shapeId="0" xr:uid="{1DE1839D-F9BD-4D06-B942-6AD319E6CCC8}">
      <text>
        <r>
          <rPr>
            <b/>
            <sz val="9"/>
            <color indexed="81"/>
            <rFont val="Tahoma"/>
            <family val="2"/>
          </rPr>
          <t>Nair Syama, Darshana [GIR]:</t>
        </r>
        <r>
          <rPr>
            <sz val="9"/>
            <color indexed="81"/>
            <rFont val="Tahoma"/>
            <family val="2"/>
          </rPr>
          <t xml:space="preserve">
Deflation across all major categories except Tobacco and Meat due to the cycling of temporary reduction in promotional activity in the prior year and deflation in Fruit and Veg</t>
        </r>
      </text>
    </comment>
    <comment ref="X65" authorId="10" shapeId="0" xr:uid="{1E60545E-59EA-4BB4-BEDC-F705CD3B267D}">
      <text>
        <t>[Threaded comment]
Your version of Excel allows you to read this threaded comment; however, any edits to it will get removed if the file is opened in a newer version of Excel. Learn more: https://go.microsoft.com/fwlink/?linkid=870924
Comment:
    1H22 Result</t>
      </text>
    </comment>
    <comment ref="AD65" authorId="11" shapeId="0" xr:uid="{32F6BBC3-B1EF-4CB1-B56E-E0058AD9514E}">
      <text>
        <t>[Threaded comment]
Your version of Excel allows you to read this threaded comment; however, any edits to it will get removed if the file is opened in a newer version of Excel. Learn more: https://go.microsoft.com/fwlink/?linkid=870924
Comment:
    FY23 Result</t>
      </text>
    </comment>
    <comment ref="AF65" authorId="12" shapeId="0" xr:uid="{D69D1532-910A-4F6F-9933-35F2DBEB0D10}">
      <text>
        <t>[Threaded comment]
Your version of Excel allows you to read this threaded comment; however, any edits to it will get removed if the file is opened in a newer version of Excel. Learn more: https://go.microsoft.com/fwlink/?linkid=870924
Comment:
    1H24 Result</t>
      </text>
    </comment>
    <comment ref="AH65" authorId="13" shapeId="0" xr:uid="{181DC137-D88A-406B-B49B-FDEBF60CA91D}">
      <text>
        <t>[Threaded comment]
Your version of Excel allows you to read this threaded comment; however, any edits to it will get removed if the file is opened in a newer version of Excel. Learn more: https://go.microsoft.com/fwlink/?linkid=870924
Comment:
    FY24 Result</t>
      </text>
    </comment>
    <comment ref="AJ65" authorId="14" shapeId="0" xr:uid="{01295797-1238-44C6-A7F1-A0109E00BE00}">
      <text>
        <t>[Threaded comment]
Your version of Excel allows you to read this threaded comment; however, any edits to it will get removed if the file is opened in a newer version of Excel. Learn more: https://go.microsoft.com/fwlink/?linkid=870924
Comment:
    1H25 Result</t>
      </text>
    </comment>
    <comment ref="AI70" authorId="15" shapeId="0" xr:uid="{32005A3B-6B2B-4343-B813-DF925AE7C44B}">
      <text>
        <t>[Threaded comment]
Your version of Excel allows you to read this threaded comment; however, any edits to it will get removed if the file is opened in a newer version of Excel. Learn more: https://go.microsoft.com/fwlink/?linkid=870924
Comment:
    Restated in 1q26</t>
      </text>
    </comment>
    <comment ref="AE75" authorId="16" shapeId="0" xr:uid="{17AB3FEC-6F74-47A5-BD70-F935C3B12AC4}">
      <text>
        <r>
          <rPr>
            <b/>
            <sz val="9"/>
            <color indexed="81"/>
            <rFont val="Tahoma"/>
            <family val="2"/>
          </rPr>
          <t>Leigh, James [GIR]:</t>
        </r>
        <r>
          <rPr>
            <sz val="9"/>
            <color indexed="81"/>
            <rFont val="Tahoma"/>
            <family val="2"/>
          </rPr>
          <t xml:space="preserve">
active members
</t>
        </r>
      </text>
    </comment>
    <comment ref="AG75" authorId="16" shapeId="0" xr:uid="{1394C3E4-BCD3-4B4B-9F32-FE2A95D17082}">
      <text>
        <r>
          <rPr>
            <b/>
            <sz val="9"/>
            <color indexed="81"/>
            <rFont val="Tahoma"/>
            <family val="2"/>
          </rPr>
          <t>Leigh, James [GIR]:</t>
        </r>
        <r>
          <rPr>
            <sz val="9"/>
            <color indexed="81"/>
            <rFont val="Tahoma"/>
            <family val="2"/>
          </rPr>
          <t xml:space="preserve">
active members
</t>
        </r>
      </text>
    </comment>
    <comment ref="AK75" authorId="2" shapeId="0" xr:uid="{B4A803E1-959D-4BE4-B5EC-31ED6B4711A5}">
      <text>
        <r>
          <rPr>
            <b/>
            <sz val="9"/>
            <color indexed="81"/>
            <rFont val="Tahoma"/>
            <family val="2"/>
          </rPr>
          <t>Haidar, Rayanne [GIR]:</t>
        </r>
        <r>
          <rPr>
            <sz val="9"/>
            <color indexed="81"/>
            <rFont val="Tahoma"/>
            <family val="2"/>
          </rPr>
          <t xml:space="preserve">
active members</t>
        </r>
      </text>
    </comment>
    <comment ref="AM76" authorId="17" shapeId="0" xr:uid="{73D8AABB-6842-42A3-ADB5-9A43C501E1A3}">
      <text>
        <t>[Threaded comment]
Your version of Excel allows you to read this threaded comment; however, any edits to it will get removed if the file is opened in a newer version of Excel. Learn more: https://go.microsoft.com/fwlink/?linkid=870924
Comment:
    Changed disclosure methodology</t>
      </text>
    </comment>
    <comment ref="B79" authorId="0" shapeId="0" xr:uid="{E397C6D2-DDA8-44F3-9E3E-6134DC64E06C}">
      <text>
        <r>
          <rPr>
            <b/>
            <sz val="9"/>
            <color indexed="81"/>
            <rFont val="Tahoma"/>
            <family val="2"/>
          </rPr>
          <t>Nair Syama, Darshana [GIR]:</t>
        </r>
        <r>
          <rPr>
            <sz val="9"/>
            <color indexed="81"/>
            <rFont val="Tahoma"/>
            <family val="2"/>
          </rPr>
          <t xml:space="preserve">
Includes PFD Food, Woolworths international, woolworths at work and Australian grocery wholesalers</t>
        </r>
      </text>
    </comment>
    <comment ref="W79" authorId="0" shapeId="0" xr:uid="{5FB0372A-089D-4696-9CBD-2F7BA5F3865D}">
      <text>
        <r>
          <rPr>
            <b/>
            <sz val="9"/>
            <color indexed="81"/>
            <rFont val="Tahoma"/>
            <family val="2"/>
          </rPr>
          <t>Nair Syama, Darshana [GIR]:</t>
        </r>
        <r>
          <rPr>
            <sz val="9"/>
            <color indexed="81"/>
            <rFont val="Tahoma"/>
            <family val="2"/>
          </rPr>
          <t xml:space="preserve">
2/3 PFD</t>
        </r>
      </text>
    </comment>
    <comment ref="B80" authorId="0" shapeId="0" xr:uid="{C65B99E6-455A-4001-BDBD-03977B9DEC18}">
      <text>
        <r>
          <rPr>
            <b/>
            <sz val="9"/>
            <color indexed="81"/>
            <rFont val="Tahoma"/>
            <family val="2"/>
          </rPr>
          <t>Nair Syama, Darshana [GIR]:</t>
        </r>
        <r>
          <rPr>
            <sz val="9"/>
            <color indexed="81"/>
            <rFont val="Tahoma"/>
            <family val="2"/>
          </rPr>
          <t xml:space="preserve">
includes External primary connect revenue (EG and others), statewide Independent wholesalers - Tassie</t>
        </r>
      </text>
    </comment>
    <comment ref="W81" authorId="0" shapeId="0" xr:uid="{320A17CC-FE23-42C2-A131-E48E465B9C5B}">
      <text>
        <r>
          <rPr>
            <b/>
            <sz val="9"/>
            <color indexed="81"/>
            <rFont val="Tahoma"/>
            <family val="2"/>
          </rPr>
          <t>Nair Syama, Darshana [GIR]:</t>
        </r>
        <r>
          <rPr>
            <sz val="9"/>
            <color indexed="81"/>
            <rFont val="Tahoma"/>
            <family val="2"/>
          </rPr>
          <t xml:space="preserve">
growth largely driven by PFD acquisition and Endeavour Group revenue recognition</t>
        </r>
      </text>
    </comment>
    <comment ref="AM106" authorId="18" shapeId="0" xr:uid="{A0DD77D2-32BC-4857-BD9C-332B1334F3A5}">
      <text>
        <t>[Threaded comment]
Your version of Excel allows you to read this threaded comment; however, any edits to it will get removed if the file is opened in a newer version of Excel. Learn more: https://go.microsoft.com/fwlink/?linkid=870924
Comment:
    Changed disclosure methodology</t>
      </text>
    </comment>
    <comment ref="AC116" authorId="16" shapeId="0" xr:uid="{9D179DE6-DE37-435D-88E0-023729AE0CE7}">
      <text>
        <r>
          <rPr>
            <b/>
            <sz val="9"/>
            <color indexed="81"/>
            <rFont val="Tahoma"/>
            <family val="2"/>
          </rPr>
          <t>Leigh, James [GIR]:</t>
        </r>
        <r>
          <rPr>
            <sz val="9"/>
            <color indexed="81"/>
            <rFont val="Tahoma"/>
            <family val="2"/>
          </rPr>
          <t xml:space="preserve">
not split out. Online VOC NPS
</t>
        </r>
      </text>
    </comment>
    <comment ref="AM119" authorId="19" shapeId="0" xr:uid="{4C8EB20B-837D-4393-B009-2F0B7D7D0150}">
      <text>
        <t>[Threaded comment]
Your version of Excel allows you to read this threaded comment; however, any edits to it will get removed if the file is opened in a newer version of Excel. Learn more: https://go.microsoft.com/fwlink/?linkid=870924
Comment:
    Changed disclosure methodology</t>
      </text>
    </comment>
    <comment ref="AI126" authorId="20" shapeId="0" xr:uid="{9D4F37BF-B5EF-4A28-ACE3-577D92998495}">
      <text>
        <t xml:space="preserve">[Threaded comment]
Your version of Excel allows you to read this threaded comment; however, any edits to it will get removed if the file is opened in a newer version of Excel. Learn more: https://go.microsoft.com/fwlink/?linkid=870924
Comment:
    Restated from 1377 to reflect Everyday market and Healthylife moving to Aus Food from W Living </t>
      </text>
    </comment>
  </commentList>
</comments>
</file>

<file path=xl/sharedStrings.xml><?xml version="1.0" encoding="utf-8"?>
<sst xmlns="http://schemas.openxmlformats.org/spreadsheetml/2006/main" count="1088" uniqueCount="577">
  <si>
    <t>Sales</t>
  </si>
  <si>
    <t>Australian Food</t>
  </si>
  <si>
    <t>Endeavour drinks</t>
  </si>
  <si>
    <t>NZ Supermarkets</t>
  </si>
  <si>
    <t>Hotels</t>
  </si>
  <si>
    <t>Others</t>
  </si>
  <si>
    <t>Elimination/Reclass/Unallocated</t>
  </si>
  <si>
    <t>Sales from Continuing Ops.</t>
  </si>
  <si>
    <t>FY17</t>
  </si>
  <si>
    <t>FY18</t>
  </si>
  <si>
    <t>FY19</t>
  </si>
  <si>
    <t>FY20</t>
  </si>
  <si>
    <t>FY21</t>
  </si>
  <si>
    <t>FY22</t>
  </si>
  <si>
    <t>FY23</t>
  </si>
  <si>
    <t>FY24</t>
  </si>
  <si>
    <t>FY25</t>
  </si>
  <si>
    <t>1H17</t>
  </si>
  <si>
    <t>2H17</t>
  </si>
  <si>
    <t>1H18</t>
  </si>
  <si>
    <t>2H18</t>
  </si>
  <si>
    <t>1H19</t>
  </si>
  <si>
    <t>2H19</t>
  </si>
  <si>
    <t>1H20</t>
  </si>
  <si>
    <t>2H20</t>
  </si>
  <si>
    <t>1H21</t>
  </si>
  <si>
    <t>2H21</t>
  </si>
  <si>
    <t>1H22</t>
  </si>
  <si>
    <t>2H22</t>
  </si>
  <si>
    <t>1H23</t>
  </si>
  <si>
    <t>2H23</t>
  </si>
  <si>
    <t>1H24</t>
  </si>
  <si>
    <t>2H24</t>
  </si>
  <si>
    <t>1H25</t>
  </si>
  <si>
    <t>2H25</t>
  </si>
  <si>
    <t>FY26E</t>
  </si>
  <si>
    <t>FY27E</t>
  </si>
  <si>
    <t>1H26E</t>
  </si>
  <si>
    <t>2H26E</t>
  </si>
  <si>
    <t>EBIT</t>
  </si>
  <si>
    <t>Australian B2B</t>
  </si>
  <si>
    <t>W Living</t>
  </si>
  <si>
    <t>EBIT from Continuing Ops</t>
  </si>
  <si>
    <t>CODB</t>
  </si>
  <si>
    <t>EBITDA</t>
  </si>
  <si>
    <t>D&amp;A</t>
  </si>
  <si>
    <t>Lease D&amp;A</t>
  </si>
  <si>
    <t>AASB16 adjustment</t>
  </si>
  <si>
    <t>EBIT pre AASB16</t>
  </si>
  <si>
    <t>Store Numbers and Trading Area</t>
  </si>
  <si>
    <t xml:space="preserve">Trading Area </t>
  </si>
  <si>
    <t>Store locations</t>
  </si>
  <si>
    <t>NSW &amp; ACT</t>
  </si>
  <si>
    <t>QLD</t>
  </si>
  <si>
    <t>VIC</t>
  </si>
  <si>
    <t>SA &amp; NT</t>
  </si>
  <si>
    <t>WA</t>
  </si>
  <si>
    <t>TAS</t>
  </si>
  <si>
    <t xml:space="preserve">Total </t>
  </si>
  <si>
    <t>Refurbishments</t>
  </si>
  <si>
    <t>eCom (Woolies X)</t>
  </si>
  <si>
    <t>Funds employed</t>
  </si>
  <si>
    <t>NZ Food</t>
  </si>
  <si>
    <t>NZ$</t>
  </si>
  <si>
    <t>Online sales</t>
  </si>
  <si>
    <t>Area per store</t>
  </si>
  <si>
    <t>A$</t>
  </si>
  <si>
    <t>Sales Per Sqm</t>
  </si>
  <si>
    <t>Big W</t>
  </si>
  <si>
    <t>Petstock</t>
  </si>
  <si>
    <t>Everyday Marketplace</t>
  </si>
  <si>
    <t xml:space="preserve">Petstock </t>
  </si>
  <si>
    <t>GMV</t>
  </si>
  <si>
    <t>B2B Food</t>
  </si>
  <si>
    <t>B2B Supply Chain (PC3)</t>
  </si>
  <si>
    <t>Hotel</t>
  </si>
  <si>
    <r>
      <t xml:space="preserve">W Living </t>
    </r>
    <r>
      <rPr>
        <i/>
        <sz val="10"/>
        <rFont val="Arial"/>
        <family val="2"/>
      </rPr>
      <t>(prior to FY24 Big W)</t>
    </r>
  </si>
  <si>
    <t>Other</t>
  </si>
  <si>
    <t>Gross Profit</t>
  </si>
  <si>
    <t>Gross Margin</t>
  </si>
  <si>
    <t>Growth</t>
  </si>
  <si>
    <t>A$M</t>
  </si>
  <si>
    <t>P&amp;L</t>
  </si>
  <si>
    <t>Significant items</t>
  </si>
  <si>
    <t>Total EBIT</t>
  </si>
  <si>
    <t>Net interest</t>
  </si>
  <si>
    <t>PBT</t>
  </si>
  <si>
    <t>PBT statutory</t>
  </si>
  <si>
    <t>Franking</t>
  </si>
  <si>
    <t>Franking Rate</t>
  </si>
  <si>
    <t>Franking Credits</t>
  </si>
  <si>
    <t>CFS</t>
  </si>
  <si>
    <t>Depreciation and Amortisation</t>
  </si>
  <si>
    <t>Operating cash flow</t>
  </si>
  <si>
    <t>Receipts from customers</t>
  </si>
  <si>
    <t>Payments to suppliers</t>
  </si>
  <si>
    <t>Sustaining capex</t>
  </si>
  <si>
    <t>SIB</t>
  </si>
  <si>
    <t>Renewals</t>
  </si>
  <si>
    <t>Supply Chain</t>
  </si>
  <si>
    <t>IT</t>
  </si>
  <si>
    <t>Productivity</t>
  </si>
  <si>
    <t>Growth Capex</t>
  </si>
  <si>
    <t>New Stores</t>
  </si>
  <si>
    <t>Digital</t>
  </si>
  <si>
    <t>Ecomm</t>
  </si>
  <si>
    <t>Other Growth</t>
  </si>
  <si>
    <t>Total Operating Capex</t>
  </si>
  <si>
    <t>Property Development</t>
  </si>
  <si>
    <t>Acquisitions</t>
  </si>
  <si>
    <t>Gross Capex</t>
  </si>
  <si>
    <t>Property Sales</t>
  </si>
  <si>
    <t>Group Net capex</t>
  </si>
  <si>
    <t>Capex model</t>
  </si>
  <si>
    <t>New Zealand Food</t>
  </si>
  <si>
    <t>BigW</t>
  </si>
  <si>
    <t>Endeavour</t>
  </si>
  <si>
    <t>BS</t>
  </si>
  <si>
    <t xml:space="preserve">Assets </t>
  </si>
  <si>
    <t>Cash Deposits</t>
  </si>
  <si>
    <t>Current Receivables</t>
  </si>
  <si>
    <t>Inventory</t>
  </si>
  <si>
    <t>Other Current Assets</t>
  </si>
  <si>
    <t>Assets held for sale or distribution</t>
  </si>
  <si>
    <t>Total Current Assets</t>
  </si>
  <si>
    <t>Non Current Recievables</t>
  </si>
  <si>
    <t>Fixed Assets</t>
  </si>
  <si>
    <t>Right of Use Assets</t>
  </si>
  <si>
    <t>Goodwill</t>
  </si>
  <si>
    <t>Intangible Assets</t>
  </si>
  <si>
    <t>Deferred Tax Asset</t>
  </si>
  <si>
    <t>Equity Accounted Investments</t>
  </si>
  <si>
    <t>Other Non Current Assets</t>
  </si>
  <si>
    <t>Total Non-Current Assets</t>
  </si>
  <si>
    <t>Total Assets</t>
  </si>
  <si>
    <t>Liabilities</t>
  </si>
  <si>
    <t>Trade Payables</t>
  </si>
  <si>
    <t>Other Current Creditors</t>
  </si>
  <si>
    <t>Current lease liabilities</t>
  </si>
  <si>
    <t>Bank Overdraft</t>
  </si>
  <si>
    <t>Current Debt</t>
  </si>
  <si>
    <t>Provisions</t>
  </si>
  <si>
    <t>Other Current Liabilities</t>
  </si>
  <si>
    <t>Total Current liabilities</t>
  </si>
  <si>
    <t>Non Current Debt</t>
  </si>
  <si>
    <t>Non-Current Lease Liabilities</t>
  </si>
  <si>
    <t>Other Non-Current Liabilities</t>
  </si>
  <si>
    <t>Total Non-Current liabilities</t>
  </si>
  <si>
    <t>Total Liabilities</t>
  </si>
  <si>
    <t>Reserves</t>
  </si>
  <si>
    <t>Retained Profits</t>
  </si>
  <si>
    <t>Shareholders Equity</t>
  </si>
  <si>
    <t>Minority Interests</t>
  </si>
  <si>
    <t>Total Equity</t>
  </si>
  <si>
    <t>Check</t>
  </si>
  <si>
    <t>Contributed equity</t>
  </si>
  <si>
    <t>Weeks in period</t>
  </si>
  <si>
    <t>1Q17</t>
  </si>
  <si>
    <t>2Q17</t>
  </si>
  <si>
    <t>3Q17</t>
  </si>
  <si>
    <t>4Q17</t>
  </si>
  <si>
    <t>1Q18</t>
  </si>
  <si>
    <t>2Q18</t>
  </si>
  <si>
    <t>3Q18</t>
  </si>
  <si>
    <t>4Q18</t>
  </si>
  <si>
    <t>1Q19</t>
  </si>
  <si>
    <t>2Q19</t>
  </si>
  <si>
    <t>3Q19</t>
  </si>
  <si>
    <t>4Q19</t>
  </si>
  <si>
    <t>1Q20</t>
  </si>
  <si>
    <t>2Q20</t>
  </si>
  <si>
    <t>3Q20</t>
  </si>
  <si>
    <t>4Q20</t>
  </si>
  <si>
    <t>1Q21</t>
  </si>
  <si>
    <t>2Q21</t>
  </si>
  <si>
    <t>3Q21</t>
  </si>
  <si>
    <t>4Q21</t>
  </si>
  <si>
    <t>1Q22</t>
  </si>
  <si>
    <t>2Q22</t>
  </si>
  <si>
    <t>3Q22</t>
  </si>
  <si>
    <t>4Q22</t>
  </si>
  <si>
    <t>1Q23</t>
  </si>
  <si>
    <t>2Q23</t>
  </si>
  <si>
    <t>3Q23</t>
  </si>
  <si>
    <t>4Q23</t>
  </si>
  <si>
    <t>1Q24</t>
  </si>
  <si>
    <t>2Q24</t>
  </si>
  <si>
    <t>3Q24</t>
  </si>
  <si>
    <t>4Q24</t>
  </si>
  <si>
    <t>1Q25</t>
  </si>
  <si>
    <t>2Q25</t>
  </si>
  <si>
    <t>3Q25</t>
  </si>
  <si>
    <t>1Q26</t>
  </si>
  <si>
    <t>AUD / NZD</t>
  </si>
  <si>
    <t>Big W only</t>
  </si>
  <si>
    <t>Total</t>
  </si>
  <si>
    <t>Store controllable VOC</t>
  </si>
  <si>
    <t>Metro</t>
  </si>
  <si>
    <t># of stores</t>
  </si>
  <si>
    <t>Supermarkets</t>
  </si>
  <si>
    <t>eStores</t>
  </si>
  <si>
    <t>Woolies X</t>
  </si>
  <si>
    <t>Online Sales</t>
  </si>
  <si>
    <t>Online Penetration</t>
  </si>
  <si>
    <t>B2B Supply chain</t>
  </si>
  <si>
    <t>NZ Supermarkets AUD</t>
  </si>
  <si>
    <t>Sales NZD</t>
  </si>
  <si>
    <t>VOC NPS (Store and online)</t>
  </si>
  <si>
    <t>Woolworths MarketPlus + Healthylife</t>
  </si>
  <si>
    <t>Total W living sales</t>
  </si>
  <si>
    <t>P/E</t>
  </si>
  <si>
    <t>Valuation</t>
  </si>
  <si>
    <t>Weighting</t>
  </si>
  <si>
    <t>Payables</t>
  </si>
  <si>
    <t>Cash</t>
  </si>
  <si>
    <t>Borrowings</t>
  </si>
  <si>
    <t>Eliminations</t>
  </si>
  <si>
    <t>NPAT</t>
  </si>
  <si>
    <t>EPS</t>
  </si>
  <si>
    <t>DPS</t>
  </si>
  <si>
    <t>OCF</t>
  </si>
  <si>
    <t>Net Debt</t>
  </si>
  <si>
    <t>Receivables</t>
  </si>
  <si>
    <t>Endeavour Drinks Group</t>
  </si>
  <si>
    <t xml:space="preserve"> </t>
  </si>
  <si>
    <t>Non Lease D&amp;A</t>
  </si>
  <si>
    <t>Woolworths Group (WOW.AX)</t>
  </si>
  <si>
    <t>Rating</t>
  </si>
  <si>
    <t>Target Price/ Target price period/ Upside/downside to target price</t>
  </si>
  <si>
    <t>M&amp;A probability (1 = high, 3 = low)</t>
  </si>
  <si>
    <t>Current shares outstanding (mn):</t>
  </si>
  <si>
    <t>Currency:</t>
  </si>
  <si>
    <t>AUD</t>
  </si>
  <si>
    <t>Current Publication Date:</t>
  </si>
  <si>
    <t>Previous Publication Date:</t>
  </si>
  <si>
    <t xml:space="preserve">Team Contacts: </t>
  </si>
  <si>
    <t>Rayanne Haidar, rayanne.haidar@gs.com +61 2 9321 8739, Goldman Sachs Australia Pty Ltd</t>
  </si>
  <si>
    <t>Market Cap (US$ mn) (price as of ______):</t>
  </si>
  <si>
    <t>Lead Analyst</t>
  </si>
  <si>
    <t>Payments for interest component of leases</t>
  </si>
  <si>
    <t>Net finance costs</t>
  </si>
  <si>
    <t>Income tax paid</t>
  </si>
  <si>
    <t>Proceeds from sale of PPE</t>
  </si>
  <si>
    <t>Payments for PPE &amp; Intangibles</t>
  </si>
  <si>
    <t>Proceeds from sale of businesses</t>
  </si>
  <si>
    <t>Payments for purchase of businesses</t>
  </si>
  <si>
    <t>Payments for purchase of reinvestment</t>
  </si>
  <si>
    <t>Advances to non-related parties</t>
  </si>
  <si>
    <t>Dividends received</t>
  </si>
  <si>
    <t>Lease repayment</t>
  </si>
  <si>
    <t>Proceeds from borrowings</t>
  </si>
  <si>
    <t>Repayment of borrowings</t>
  </si>
  <si>
    <t>Dividends paid</t>
  </si>
  <si>
    <t>Dividends paid to non-controlling interests</t>
  </si>
  <si>
    <t>Payments for purchase of additional equity</t>
  </si>
  <si>
    <t>Payments for shares held in trust</t>
  </si>
  <si>
    <t>Total Sales</t>
  </si>
  <si>
    <t>Net Interest Income / (Expense)</t>
  </si>
  <si>
    <t>Goldman Sachs | Woolworths Group | WOW-AU</t>
  </si>
  <si>
    <t>EBIT Margin</t>
  </si>
  <si>
    <t>Cost of Goods Sold</t>
  </si>
  <si>
    <t>Net New Stores</t>
  </si>
  <si>
    <t>Ending Stores</t>
  </si>
  <si>
    <t xml:space="preserve">Australian Supermarkets </t>
  </si>
  <si>
    <t>Store Count</t>
  </si>
  <si>
    <t>Growth %</t>
  </si>
  <si>
    <t>LFL Sales Growth %</t>
  </si>
  <si>
    <t>Store Growth %</t>
  </si>
  <si>
    <t>Change YoY %</t>
  </si>
  <si>
    <t>% of Sales</t>
  </si>
  <si>
    <t>Growth  %</t>
  </si>
  <si>
    <t>EBITDA Margin</t>
  </si>
  <si>
    <t>ROFE %</t>
  </si>
  <si>
    <t>Funds Employed</t>
  </si>
  <si>
    <t>% of GMV</t>
  </si>
  <si>
    <t>By Segment</t>
  </si>
  <si>
    <t>Divested</t>
  </si>
  <si>
    <t>Gross Profit Reported</t>
  </si>
  <si>
    <t>Employee Expenses</t>
  </si>
  <si>
    <t>Occupancy Expenses</t>
  </si>
  <si>
    <t>Contract Labour &amp; Consultancy</t>
  </si>
  <si>
    <t>EBIT Normalised</t>
  </si>
  <si>
    <t>PBT Normalised</t>
  </si>
  <si>
    <t>Tax Normalised</t>
  </si>
  <si>
    <t>Minority Interest</t>
  </si>
  <si>
    <t>NPAT Normalised</t>
  </si>
  <si>
    <t>Significant Items</t>
  </si>
  <si>
    <t>NPAT Statutory</t>
  </si>
  <si>
    <t>Shares (Diluted)</t>
  </si>
  <si>
    <t>EPS Normalised</t>
  </si>
  <si>
    <t>Tax Modelling</t>
  </si>
  <si>
    <t>Tax Statutory</t>
  </si>
  <si>
    <t>Tax Rates</t>
  </si>
  <si>
    <t>Weighted Average Basic</t>
  </si>
  <si>
    <t>Weighted Average Diluted</t>
  </si>
  <si>
    <t>Receivables Days</t>
  </si>
  <si>
    <t>Inventory Days</t>
  </si>
  <si>
    <t>Payables Days</t>
  </si>
  <si>
    <t>Net Working Capital</t>
  </si>
  <si>
    <t>Balance Sheet Metrics</t>
  </si>
  <si>
    <t>Net Operating Cash Flow</t>
  </si>
  <si>
    <t>Change in Net Working Capital</t>
  </si>
  <si>
    <t>Tax Paid</t>
  </si>
  <si>
    <t>Area Per Store</t>
  </si>
  <si>
    <t>EBITDA Normalised</t>
  </si>
  <si>
    <t>EBIT Statutory</t>
  </si>
  <si>
    <t>Income Tax Normalised</t>
  </si>
  <si>
    <t>Period End Shares</t>
  </si>
  <si>
    <t>NZ Supermarkets (NZD)</t>
  </si>
  <si>
    <t>Aus Food Key Metrics</t>
  </si>
  <si>
    <t>Big W Key Metrics</t>
  </si>
  <si>
    <t>NZ Food Key Metrics</t>
  </si>
  <si>
    <t>Scan Rates %</t>
  </si>
  <si>
    <t>Total Everyday Rewards Members</t>
  </si>
  <si>
    <t>Online Penetration %</t>
  </si>
  <si>
    <t>Online Growth %</t>
  </si>
  <si>
    <t>Store controllable VOC %</t>
  </si>
  <si>
    <t>NPS %</t>
  </si>
  <si>
    <t>Customer Metrics</t>
  </si>
  <si>
    <t>Total ex tobacco %</t>
  </si>
  <si>
    <t>Total %</t>
  </si>
  <si>
    <t>Changes in Avg. Prices</t>
  </si>
  <si>
    <t>Comparable Item Growth %</t>
  </si>
  <si>
    <t>Comparable Items per Basket %</t>
  </si>
  <si>
    <t>Comparable Transaction Growth %</t>
  </si>
  <si>
    <t>Volume Productivity Measures</t>
  </si>
  <si>
    <t>Implied Other Growth %</t>
  </si>
  <si>
    <t>Comparable Sales %</t>
  </si>
  <si>
    <t>Total Sales Growth %</t>
  </si>
  <si>
    <t>Sales Productivity Measures</t>
  </si>
  <si>
    <t>Quarterly Sales</t>
  </si>
  <si>
    <t>Sales from Continuing Ops. %</t>
  </si>
  <si>
    <t>Other Growth (space/timing/fx) %</t>
  </si>
  <si>
    <t>AU B2B Sales</t>
  </si>
  <si>
    <t>Total B2B Sales</t>
  </si>
  <si>
    <t>eComm Penetration %</t>
  </si>
  <si>
    <t>Volume Productivity Metrics (BigW)</t>
  </si>
  <si>
    <t>Volume Productivity Metrics (NZ)</t>
  </si>
  <si>
    <t>eComm Sales Growth %</t>
  </si>
  <si>
    <t>Countdown Onecard Members</t>
  </si>
  <si>
    <t>NZ VOC NPS (Store and Online) %</t>
  </si>
  <si>
    <t>NZ Store Controllable VOC %</t>
  </si>
  <si>
    <t>Onecard Scan Rates %</t>
  </si>
  <si>
    <t>Scan Rate of Transactions</t>
  </si>
  <si>
    <t>EBIT pre AASB16 Margin</t>
  </si>
  <si>
    <t>Payout Ratio %</t>
  </si>
  <si>
    <t>Total Operating Cash Flow</t>
  </si>
  <si>
    <t>Total Investing Cash Flow</t>
  </si>
  <si>
    <t>Total Financing Cash Flow</t>
  </si>
  <si>
    <t>Cash at Beginning</t>
  </si>
  <si>
    <t>Cash at Ending</t>
  </si>
  <si>
    <t>Net Increase in Cash</t>
  </si>
  <si>
    <t>FX Impact</t>
  </si>
  <si>
    <t>Reported Operating Cash Flow Items</t>
  </si>
  <si>
    <t>Branch &amp; Administration Expenses</t>
  </si>
  <si>
    <t>Aus Food Sales</t>
  </si>
  <si>
    <t>Others Sales</t>
  </si>
  <si>
    <t>NZ Supermarkets Sales</t>
  </si>
  <si>
    <t>W Living Sales</t>
  </si>
  <si>
    <t>Elimination Sales</t>
  </si>
  <si>
    <t>Aus Food Growth</t>
  </si>
  <si>
    <t>Aus Food Comp</t>
  </si>
  <si>
    <t>NZ Growth</t>
  </si>
  <si>
    <t>NZ LFL</t>
  </si>
  <si>
    <t>Big W Growth</t>
  </si>
  <si>
    <t>Big W LFL</t>
  </si>
  <si>
    <t>Aus B2B Growth</t>
  </si>
  <si>
    <t>W Living Growth</t>
  </si>
  <si>
    <t>4Q25</t>
  </si>
  <si>
    <t>Peter Marks, peter.marks@gs.com, +61 2 9321 8846, Goldman Sachs Australia Pty Ltd</t>
  </si>
  <si>
    <t>Consumer Team</t>
  </si>
  <si>
    <t>James Leigh, james.leigh@gs.com, +61 2 , Goldman Sachs Australia Pty Ltd</t>
  </si>
  <si>
    <t>FY28E</t>
  </si>
  <si>
    <t>Balance sheet</t>
  </si>
  <si>
    <t xml:space="preserve">Cash </t>
  </si>
  <si>
    <t>Trade receivables</t>
  </si>
  <si>
    <t>Inventories</t>
  </si>
  <si>
    <t>Other current assets</t>
  </si>
  <si>
    <t>Current assets</t>
  </si>
  <si>
    <t>PPE</t>
  </si>
  <si>
    <t>Lease assets</t>
  </si>
  <si>
    <t>Intangibles</t>
  </si>
  <si>
    <t>Other non current assets</t>
  </si>
  <si>
    <t>Non-current assets</t>
  </si>
  <si>
    <t>Trade payables</t>
  </si>
  <si>
    <t>Other current liabilities</t>
  </si>
  <si>
    <t>Current liabilities</t>
  </si>
  <si>
    <t>Lease liabilities</t>
  </si>
  <si>
    <t>Other non-current liabilities</t>
  </si>
  <si>
    <t>Non-current liabilities</t>
  </si>
  <si>
    <t>Aus B2B</t>
  </si>
  <si>
    <t>Total sales</t>
  </si>
  <si>
    <t xml:space="preserve">Tax </t>
  </si>
  <si>
    <t xml:space="preserve">NPAT </t>
  </si>
  <si>
    <t>Shares (m)</t>
  </si>
  <si>
    <t>Net debt ex leases</t>
  </si>
  <si>
    <t>Tax</t>
  </si>
  <si>
    <t>Change in net working capital</t>
  </si>
  <si>
    <t>Operating cashflow</t>
  </si>
  <si>
    <t>Capex</t>
  </si>
  <si>
    <t>Lease repayments</t>
  </si>
  <si>
    <t>FCF</t>
  </si>
  <si>
    <t>Change in net debt</t>
  </si>
  <si>
    <t>Price target</t>
  </si>
  <si>
    <t>Current share price</t>
  </si>
  <si>
    <t>Upside / downside</t>
  </si>
  <si>
    <t>Aus B2B Sales</t>
  </si>
  <si>
    <t>Model Summary</t>
  </si>
  <si>
    <t>Ordinary Dividend</t>
  </si>
  <si>
    <t>Special Dividend</t>
  </si>
  <si>
    <t>Total Dividend Per Share</t>
  </si>
  <si>
    <t>Aus Food EBIT</t>
  </si>
  <si>
    <t>Aus B2B EBIT</t>
  </si>
  <si>
    <t>NZ Supermarkets EBIT</t>
  </si>
  <si>
    <t>W Living EBIT</t>
  </si>
  <si>
    <t>Others EBIT</t>
  </si>
  <si>
    <t>Net Interest</t>
  </si>
  <si>
    <t>Shares</t>
  </si>
  <si>
    <t>Chg WC</t>
  </si>
  <si>
    <t>TR</t>
  </si>
  <si>
    <t>Other CA</t>
  </si>
  <si>
    <t>Other NCA</t>
  </si>
  <si>
    <t>NCA</t>
  </si>
  <si>
    <t>TP</t>
  </si>
  <si>
    <t>CL</t>
  </si>
  <si>
    <t>Change YoY%</t>
  </si>
  <si>
    <t>FY29E</t>
  </si>
  <si>
    <t>FY30E</t>
  </si>
  <si>
    <t>3Q26E</t>
  </si>
  <si>
    <t>4Q26E</t>
  </si>
  <si>
    <t>2Q26E</t>
  </si>
  <si>
    <t>Col C</t>
  </si>
  <si>
    <t>Col K</t>
  </si>
  <si>
    <t>Aus Food EBIT Margin</t>
  </si>
  <si>
    <t>NZ Food EBIT Margin</t>
  </si>
  <si>
    <t>Total Sales Growth</t>
  </si>
  <si>
    <t>Total EBIT Growth</t>
  </si>
  <si>
    <t>PBT Growth</t>
  </si>
  <si>
    <t>NPAT Growth</t>
  </si>
  <si>
    <t>EPS Growth</t>
  </si>
  <si>
    <t>CA</t>
  </si>
  <si>
    <t>-</t>
  </si>
  <si>
    <t>ROU</t>
  </si>
  <si>
    <t>NC Lease</t>
  </si>
  <si>
    <t>NC Borrowings</t>
  </si>
  <si>
    <t>C Borrowings</t>
  </si>
  <si>
    <t>NCL</t>
  </si>
  <si>
    <t>Minorities</t>
  </si>
  <si>
    <t>Contributed Equity</t>
  </si>
  <si>
    <t>Proceeds PPE</t>
  </si>
  <si>
    <t>Lease Repayment</t>
  </si>
  <si>
    <t>Aus Food GPM</t>
  </si>
  <si>
    <t>Aus Food GP</t>
  </si>
  <si>
    <t>Least Interest</t>
  </si>
  <si>
    <t>Non-Lease Interest</t>
  </si>
  <si>
    <t>Aus Food LFL Sales Growth</t>
  </si>
  <si>
    <t>NZ Food LFL Sales Growth</t>
  </si>
  <si>
    <t>Sales Growth</t>
  </si>
  <si>
    <t>EBIT Growth</t>
  </si>
  <si>
    <t>Change in Net Debt</t>
  </si>
  <si>
    <t>Chg in Net Debt</t>
  </si>
  <si>
    <t>Net Chg Cash</t>
  </si>
  <si>
    <t>RoE</t>
  </si>
  <si>
    <t>Terminal Growth Rate</t>
  </si>
  <si>
    <t>Risk Free Rate</t>
  </si>
  <si>
    <t>Market Equity Risk Premium</t>
  </si>
  <si>
    <t>Beta</t>
  </si>
  <si>
    <t>Cost of Equity</t>
  </si>
  <si>
    <t xml:space="preserve">Cost of Debt </t>
  </si>
  <si>
    <t>Tax Rate</t>
  </si>
  <si>
    <t>WACC</t>
  </si>
  <si>
    <t>Chg in NWC</t>
  </si>
  <si>
    <t>D/E</t>
  </si>
  <si>
    <t>Payout Ratio</t>
  </si>
  <si>
    <t>FCF Yield</t>
  </si>
  <si>
    <t>Div Yield</t>
  </si>
  <si>
    <t>Free Cash Flow</t>
  </si>
  <si>
    <t>Discount Factor</t>
  </si>
  <si>
    <t>Applied Multiple (x)</t>
  </si>
  <si>
    <t>P/E Multiple Valuation</t>
  </si>
  <si>
    <t>EPS (cps)</t>
  </si>
  <si>
    <t>Shares EOP</t>
  </si>
  <si>
    <t>Goldman Sachs | Woolworths Group Valuation | WOW-AU</t>
  </si>
  <si>
    <t>Cash Flow</t>
  </si>
  <si>
    <t>Divisional Key Metrics</t>
  </si>
  <si>
    <t>Group Key Metrics</t>
  </si>
  <si>
    <t>Total Growth % (reported, adjusted)</t>
  </si>
  <si>
    <t>Total Growth % (calculated)</t>
  </si>
  <si>
    <t>AUD NZD</t>
  </si>
  <si>
    <t>MyDeal</t>
  </si>
  <si>
    <t>Mydeal</t>
  </si>
  <si>
    <t>Everyday Marketplace / MyDeal</t>
  </si>
  <si>
    <t>LFL</t>
  </si>
  <si>
    <t>FCF post financing</t>
  </si>
  <si>
    <t>Stores</t>
  </si>
  <si>
    <t>Petstock retail</t>
  </si>
  <si>
    <t>Petstock franchise</t>
  </si>
  <si>
    <t>Net new stores</t>
  </si>
  <si>
    <t>growth</t>
  </si>
  <si>
    <t>Sales per store</t>
  </si>
  <si>
    <t>Vets</t>
  </si>
  <si>
    <t>Petstock Retail</t>
  </si>
  <si>
    <t>Petstock Franchise</t>
  </si>
  <si>
    <t>Total Vets</t>
  </si>
  <si>
    <t>Total sales growth ex-tobacco</t>
  </si>
  <si>
    <t>Tobacco impact</t>
  </si>
  <si>
    <t>margin impact</t>
  </si>
  <si>
    <t>Shares Diluted</t>
  </si>
  <si>
    <t>o/w Metro</t>
  </si>
  <si>
    <t>D&amp;A ex leases</t>
  </si>
  <si>
    <t>Discounted FCF</t>
  </si>
  <si>
    <t>FY31E</t>
  </si>
  <si>
    <t>FY32E</t>
  </si>
  <si>
    <t>FY33E</t>
  </si>
  <si>
    <t>FY34E</t>
  </si>
  <si>
    <t>FY35E</t>
  </si>
  <si>
    <t>Net capex</t>
  </si>
  <si>
    <t>Timing</t>
  </si>
  <si>
    <t>Total EV</t>
  </si>
  <si>
    <t>AASB16 EBIT impact</t>
  </si>
  <si>
    <t>Total AASB16 impact</t>
  </si>
  <si>
    <t>Lease Modelling Adjustment</t>
  </si>
  <si>
    <t>Present Value of FCF</t>
  </si>
  <si>
    <t>Terminal Value</t>
  </si>
  <si>
    <t>Less: Net Debt</t>
  </si>
  <si>
    <t>Less Minority Interest</t>
  </si>
  <si>
    <t>Equity Value</t>
  </si>
  <si>
    <t>Equity Value per Share</t>
  </si>
  <si>
    <t>Discounted Cash Flow</t>
  </si>
  <si>
    <t>P/E Multiple</t>
  </si>
  <si>
    <t>Value (A$)</t>
  </si>
  <si>
    <t>Final Weighted Price Target</t>
  </si>
  <si>
    <t>Implied Value Per Share</t>
  </si>
  <si>
    <t>Target Price</t>
  </si>
  <si>
    <t>DCF Assumptions</t>
  </si>
  <si>
    <t>Value (A$m)</t>
  </si>
  <si>
    <t>AASB16 EBIT Adjustment</t>
  </si>
  <si>
    <t>Add: D&amp;A ex Leases</t>
  </si>
  <si>
    <t>Less: Net Capex</t>
  </si>
  <si>
    <t>Free Cash Flow pre Tax</t>
  </si>
  <si>
    <t>Less: Acquisitions</t>
  </si>
  <si>
    <t>Less: Tax</t>
  </si>
  <si>
    <t>DCF Calculation</t>
  </si>
  <si>
    <t>MULTIPLES VALUATION Woolworths Group (WOW.AX)</t>
  </si>
  <si>
    <t>VALUATION SUMMARY Woolworths Group (WOW.AX)</t>
  </si>
  <si>
    <t>DISCOUNTED CASH FLOW MODEL Woolworths Group (WOW.AX)</t>
  </si>
  <si>
    <t>Current Share Price</t>
  </si>
  <si>
    <t>Upside/Downside to Px</t>
  </si>
  <si>
    <t>DISCOUNTED CASH FLOW MODEL  Woolworths Group (WOW.AX)</t>
  </si>
  <si>
    <t>Net Capex</t>
  </si>
  <si>
    <t>Proceeds from business sales</t>
  </si>
  <si>
    <t>DPS total</t>
  </si>
  <si>
    <t>Other financing cashflows</t>
  </si>
  <si>
    <t>Other financing</t>
  </si>
  <si>
    <t>AASB16 EBIT Impact</t>
  </si>
  <si>
    <t>External Sales</t>
  </si>
  <si>
    <t>Intersegment Sales</t>
  </si>
  <si>
    <t>Endeavour Group Share of Profits</t>
  </si>
  <si>
    <t>EBIT / LBIT</t>
  </si>
  <si>
    <t>Total EBIT / LBIT</t>
  </si>
  <si>
    <t>Growth ex Tobacco %</t>
  </si>
  <si>
    <t>Aus Food Growth ex Tobacco</t>
  </si>
  <si>
    <t>Online Contribution to LFL</t>
  </si>
  <si>
    <t>Total sales growth ex-tobacco ex-Online</t>
  </si>
  <si>
    <t>Total Aus Stores</t>
  </si>
  <si>
    <t>Big W EBIT Margin</t>
  </si>
  <si>
    <t>Aus Food EBIT Margin AASB16</t>
  </si>
  <si>
    <t>NZ EBIT Margin AASB16</t>
  </si>
  <si>
    <t>BigW EBIT Margin AASB16</t>
  </si>
  <si>
    <t>W Living (prior to FY24, Big W)</t>
  </si>
  <si>
    <t>W Living (prior to FY24 Big W)</t>
  </si>
  <si>
    <t>Mini Woolies (not included in sqm)</t>
  </si>
  <si>
    <t>Buy</t>
  </si>
  <si>
    <t>Recommendation</t>
  </si>
  <si>
    <t>BUY</t>
  </si>
  <si>
    <t>Note: FY24 includes 53 weeks vs. all other years include 52 weeks.</t>
  </si>
  <si>
    <t>A$37/ 12 Month/ 16.5%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</si>
</sst>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68">
    <numFmt numFmtId="6" formatCode="&quot;$&quot;#,##0_);[Red]\(&quot;$&quot;#,##0\)"/>
    <numFmt numFmtId="7" formatCode="&quot;$&quot;#,##0.00_);\(&quot;$&quot;#,##0.00\)"/>
    <numFmt numFmtId="8" formatCode="&quot;$&quot;#,##0.00_);[Red]\(&quot;$&quot;#,##0.0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quot;$&quot;* #,##0_-;\-&quot;$&quot;* #,##0_-;_-&quot;$&quot;* &quot;-&quot;_-;_-@_-"/>
    <numFmt numFmtId="165" formatCode="_-* #,##0_-;\-* #,##0_-;_-* &quot;-&quot;_-;_-@_-"/>
    <numFmt numFmtId="166" formatCode="_-&quot;$&quot;* #,##0.00_-;\-&quot;$&quot;* #,##0.00_-;_-&quot;$&quot;* &quot;-&quot;??_-;_-@_-"/>
    <numFmt numFmtId="167" formatCode="_-* #,##0.00_-;\-* #,##0.00_-;_-* &quot;-&quot;??_-;_-@_-"/>
    <numFmt numFmtId="168" formatCode="0.0"/>
    <numFmt numFmtId="169" formatCode="#,##0.0"/>
    <numFmt numFmtId="170" formatCode="0.0%"/>
    <numFmt numFmtId="171" formatCode="##0.00"/>
    <numFmt numFmtId="172" formatCode="&quot;$&quot;#,##0.00"/>
    <numFmt numFmtId="173" formatCode="#,##0.0_);\(#,##0.0\)"/>
    <numFmt numFmtId="174" formatCode="#,##0_)\x;\(#,##0\)\x;0_)\x;@_)_x"/>
    <numFmt numFmtId="175" formatCode="#,##0.0_);\(#,##0.0\);#,##0.0_);@_)"/>
    <numFmt numFmtId="176" formatCode="&quot;£&quot;_(#,##0.00_);&quot;£&quot;\(#,##0.00\);&quot;£&quot;_(0.00_);@_)"/>
    <numFmt numFmtId="177" formatCode="#,##0.00_);\(#,##0.00\);0.00_);@_)"/>
    <numFmt numFmtId="178" formatCode="\€_(#,##0.00_);\€\(#,##0.00\);\€_(0.00_);@_)"/>
    <numFmt numFmtId="179" formatCode="0.0_)\%;\(0.0\)\%;0.0_)\%;@_)_%"/>
    <numFmt numFmtId="180" formatCode="#,##0.0_)_%;\(#,##0.0\)_%;0.0_)_%;@_)_%"/>
    <numFmt numFmtId="181" formatCode="#,##0_)_x;\(#,##0\)_x;0_)_x;@_)_x"/>
    <numFmt numFmtId="182" formatCode="&quot;$&quot;_(#,##0.00_);&quot;$&quot;\(#,##0.00\);&quot;$&quot;_(0.00_);@_)"/>
    <numFmt numFmtId="183" formatCode="&quot;$&quot;_(#,##0.00_);&quot;$&quot;\(#,##0.00\)"/>
    <numFmt numFmtId="184" formatCode="#,##0.0_)\x;\(#,##0.0\)\x"/>
    <numFmt numFmtId="185" formatCode="#,##0.0_)_x;\(#,##0.0\)_x"/>
    <numFmt numFmtId="186" formatCode="0.0_)\%;\(0.0\)\%"/>
    <numFmt numFmtId="187" formatCode="#,##0.0_)_%;\(#,##0.0\)_%"/>
    <numFmt numFmtId="188" formatCode="#,##0.0_)\x;\(#,##0.0\)\x;0.0_)\x;@_)_x"/>
    <numFmt numFmtId="189" formatCode="#,##0.0_)_x;\(#,##0.0\)_x;0.0_)_x;@_)_x"/>
    <numFmt numFmtId="190" formatCode="&quot;$&quot;0.0"/>
    <numFmt numFmtId="191" formatCode="#,##0;\(#,##0\)"/>
    <numFmt numFmtId="192" formatCode="0\A"/>
    <numFmt numFmtId="193" formatCode="0.00_)"/>
    <numFmt numFmtId="194" formatCode="0\p"/>
    <numFmt numFmtId="195" formatCode="\$0.00;\(\$0.00\)"/>
    <numFmt numFmtId="196" formatCode="0.0&quot;  &quot;"/>
    <numFmt numFmtId="197" formatCode="_-* #,##0_-;\(#,##0\);_-* &quot;–&quot;_-;_-@_-"/>
    <numFmt numFmtId="198" formatCode="#,##0.00;;;[White]General"/>
    <numFmt numFmtId="199" formatCode="_(* #,##0.00000_);_(* \(#,##0.00000\);_(* &quot;-&quot;??_);_(@_)"/>
    <numFmt numFmtId="200" formatCode="#,##0.000_);[Red]\(#,##0.000\)"/>
    <numFmt numFmtId="201" formatCode="#,##0;\(#,##0\);\–;@"/>
    <numFmt numFmtId="202" formatCode="_(&quot;CHF&quot;* #,##0.0_);_(&quot;CHF&quot;* \(#,##0.0\);_(&quot;CHF&quot;* &quot;-&quot;??_);_(@_)"/>
    <numFmt numFmtId="203" formatCode="#,##0.0\ ;\(#,##0.0\)"/>
    <numFmt numFmtId="204" formatCode="0.0_)%;\(0.0\)%"/>
    <numFmt numFmtId="205" formatCode="0.0%_);\(0.0%\)"/>
    <numFmt numFmtId="206" formatCode="0.0_)"/>
    <numFmt numFmtId="207" formatCode="&quot;US$&quot;&quot;$&quot;#,##0.00_);\(&quot;$&quot;#,##0.00\)"/>
    <numFmt numFmtId="208" formatCode="#,##0.0_);[Red]\(#,##0.0\)"/>
    <numFmt numFmtId="209" formatCode="&quot;$&quot;#,##0.0_);[Red]\(&quot;$&quot;#,##0.0\)"/>
    <numFmt numFmtId="210" formatCode="#,##0.000_);\(#,##0.000\)"/>
    <numFmt numFmtId="211" formatCode="0&quot;E&quot;"/>
    <numFmt numFmtId="212" formatCode="_ #,###_-;\(#,##0\);_-* &quot;–&quot;?;_-@_-"/>
    <numFmt numFmtId="213" formatCode="#,##0.000;\(#,##0.000\)"/>
    <numFmt numFmtId="214" formatCode="mmmm\ dd\.\ yyyy"/>
    <numFmt numFmtId="215" formatCode="&quot;Valuation date: &quot;[$-409]d\-mmm\-yy;@"/>
    <numFmt numFmtId="216" formatCode="#,##0.0&quot; &quot;;\(#,##0.0\)"/>
    <numFmt numFmtId="217" formatCode="&quot;At current px: &quot;\A&quot;$&quot;#,##0.00"/>
    <numFmt numFmtId="218" formatCode="#,##0.0000"/>
    <numFmt numFmtId="219" formatCode="#,##0.00;[Red]\(#,##0.00\)"/>
    <numFmt numFmtId="220" formatCode="0.0\x"/>
    <numFmt numFmtId="221" formatCode="\A&quot;$&quot;0.0"/>
    <numFmt numFmtId="222" formatCode="_(* #,##0_);_(* \(#,##0\);_(* &quot;-&quot;??_);_(@_)"/>
    <numFmt numFmtId="223" formatCode="\A&quot;$&quot;0.00"/>
    <numFmt numFmtId="224" formatCode="_(* #,##0.0_);_(* \(#,##0.0\);_(* &quot;-&quot;??_);_(@_)"/>
  </numFmts>
  <fonts count="203">
    <font>
      <sz val="11"/>
      <color theme="1"/>
      <name val="Aptos Narrow"/>
      <family val="2"/>
      <scheme val="minor"/>
    </font>
    <font>
      <sz val="8"/>
      <name val="Aptos Narrow"/>
      <family val="2"/>
      <scheme val="minor"/>
    </font>
    <font>
      <sz val="10"/>
      <name val="Verdana"/>
      <family val="2"/>
    </font>
    <font>
      <b/>
      <sz val="9"/>
      <color indexed="81"/>
      <name val="Tahoma"/>
      <family val="2"/>
    </font>
    <font>
      <sz val="9"/>
      <color indexed="81"/>
      <name val="Tahoma"/>
      <family val="2"/>
    </font>
    <font>
      <sz val="11"/>
      <color theme="1"/>
      <name val="Aptos Narrow"/>
      <family val="2"/>
      <scheme val="minor"/>
    </font>
    <font>
      <sz val="11"/>
      <color rgb="FF006100"/>
      <name val="Aptos Narrow"/>
      <family val="2"/>
      <scheme val="minor"/>
    </font>
    <font>
      <sz val="11"/>
      <color rgb="FF9C0006"/>
      <name val="Aptos Narrow"/>
      <family val="2"/>
      <scheme val="minor"/>
    </font>
    <font>
      <b/>
      <sz val="11"/>
      <color rgb="FF3F3F3F"/>
      <name val="Aptos Narrow"/>
      <family val="2"/>
      <scheme val="minor"/>
    </font>
    <font>
      <b/>
      <sz val="10"/>
      <color theme="0"/>
      <name val="Arial"/>
      <family val="2"/>
    </font>
    <font>
      <sz val="10"/>
      <name val="Arial"/>
      <family val="2"/>
    </font>
    <font>
      <i/>
      <sz val="10"/>
      <name val="Arial"/>
      <family val="2"/>
    </font>
    <font>
      <b/>
      <sz val="10"/>
      <name val="Arial"/>
      <family val="2"/>
    </font>
    <font>
      <sz val="10"/>
      <color theme="1"/>
      <name val="Arial"/>
      <family val="2"/>
    </font>
    <font>
      <b/>
      <sz val="10"/>
      <color theme="1"/>
      <name val="Arial"/>
      <family val="2"/>
    </font>
    <font>
      <sz val="10"/>
      <name val="Helvetica"/>
      <family val="2"/>
    </font>
    <font>
      <sz val="8"/>
      <name val="Arial"/>
      <family val="2"/>
    </font>
    <font>
      <sz val="10"/>
      <color indexed="8"/>
      <name val="Arial"/>
      <family val="2"/>
    </font>
    <font>
      <b/>
      <sz val="9"/>
      <name val="Arial"/>
      <family val="2"/>
    </font>
    <font>
      <b/>
      <sz val="8"/>
      <name val="Arial"/>
      <family val="2"/>
    </font>
    <font>
      <sz val="8"/>
      <color indexed="8"/>
      <name val="Arial"/>
      <family val="2"/>
    </font>
    <font>
      <b/>
      <i/>
      <sz val="8"/>
      <name val="Arial"/>
      <family val="2"/>
    </font>
    <font>
      <b/>
      <sz val="12"/>
      <name val="Arial"/>
      <family val="2"/>
    </font>
    <font>
      <sz val="9"/>
      <name val="Arial"/>
      <family val="2"/>
    </font>
    <font>
      <sz val="8"/>
      <color indexed="10"/>
      <name val="Arial"/>
      <family val="2"/>
    </font>
    <font>
      <sz val="9"/>
      <name val="Helvetica"/>
      <family val="2"/>
    </font>
    <font>
      <sz val="9"/>
      <color indexed="8"/>
      <name val="Arial"/>
      <family val="2"/>
    </font>
    <font>
      <sz val="8"/>
      <name val="Tahoma"/>
      <family val="2"/>
    </font>
    <font>
      <sz val="10"/>
      <color indexed="10"/>
      <name val="Arial"/>
      <family val="2"/>
    </font>
    <font>
      <sz val="12"/>
      <name val="Helvetica"/>
      <family val="2"/>
    </font>
    <font>
      <b/>
      <sz val="14"/>
      <name val="Times New Roman"/>
      <family val="1"/>
    </font>
    <font>
      <b/>
      <sz val="12"/>
      <name val="Times New Roman"/>
      <family val="1"/>
    </font>
    <font>
      <b/>
      <u/>
      <sz val="9"/>
      <name val="Arial"/>
      <family val="2"/>
    </font>
    <font>
      <b/>
      <i/>
      <sz val="12"/>
      <color indexed="39"/>
      <name val="Arial"/>
      <family val="2"/>
    </font>
    <font>
      <sz val="10"/>
      <color indexed="17"/>
      <name val="Arial"/>
      <family val="2"/>
    </font>
    <font>
      <sz val="10"/>
      <name val="MS Serif"/>
      <family val="1"/>
    </font>
    <font>
      <sz val="10"/>
      <name val="MS Sans Serif"/>
      <family val="2"/>
    </font>
    <font>
      <sz val="10"/>
      <name val="Geneva"/>
      <family val="2"/>
    </font>
    <font>
      <sz val="10"/>
      <name val="Helv"/>
    </font>
    <font>
      <sz val="10"/>
      <name val="Courier"/>
      <family val="3"/>
    </font>
    <font>
      <b/>
      <sz val="10"/>
      <color indexed="9"/>
      <name val="Helvetica"/>
      <family val="2"/>
    </font>
    <font>
      <b/>
      <sz val="22"/>
      <color indexed="18"/>
      <name val="Arial"/>
      <family val="2"/>
    </font>
    <font>
      <b/>
      <sz val="14"/>
      <color indexed="18"/>
      <name val="Arial"/>
      <family val="2"/>
    </font>
    <font>
      <b/>
      <sz val="10"/>
      <color indexed="18"/>
      <name val="Arial"/>
      <family val="2"/>
    </font>
    <font>
      <b/>
      <u val="singleAccounting"/>
      <sz val="10"/>
      <color indexed="18"/>
      <name val="Arial"/>
      <family val="2"/>
    </font>
    <font>
      <b/>
      <sz val="10"/>
      <name val="MS Sans Serif"/>
      <family val="2"/>
    </font>
    <font>
      <sz val="10"/>
      <name val="GS TheSans"/>
      <family val="2"/>
    </font>
    <font>
      <sz val="8"/>
      <color indexed="12"/>
      <name val="Arial"/>
      <family val="2"/>
    </font>
    <font>
      <sz val="10"/>
      <color indexed="9"/>
      <name val="Arial"/>
      <family val="2"/>
    </font>
    <font>
      <sz val="10"/>
      <color indexed="20"/>
      <name val="Arial"/>
      <family val="2"/>
    </font>
    <font>
      <b/>
      <sz val="10"/>
      <color indexed="52"/>
      <name val="Arial"/>
      <family val="2"/>
    </font>
    <font>
      <b/>
      <sz val="10"/>
      <color indexed="9"/>
      <name val="Arial"/>
      <family val="2"/>
    </font>
    <font>
      <i/>
      <sz val="10"/>
      <color indexed="23"/>
      <name val="Arial"/>
      <family val="2"/>
    </font>
    <font>
      <b/>
      <sz val="15"/>
      <color indexed="62"/>
      <name val="Arial"/>
      <family val="2"/>
    </font>
    <font>
      <b/>
      <sz val="13"/>
      <color indexed="62"/>
      <name val="Arial"/>
      <family val="2"/>
    </font>
    <font>
      <b/>
      <sz val="11"/>
      <color indexed="62"/>
      <name val="Arial"/>
      <family val="2"/>
    </font>
    <font>
      <sz val="10"/>
      <color indexed="62"/>
      <name val="Arial"/>
      <family val="2"/>
    </font>
    <font>
      <sz val="10"/>
      <color indexed="52"/>
      <name val="Arial"/>
      <family val="2"/>
    </font>
    <font>
      <sz val="10"/>
      <color indexed="60"/>
      <name val="Arial"/>
      <family val="2"/>
    </font>
    <font>
      <b/>
      <sz val="10"/>
      <color indexed="34"/>
      <name val="Arial"/>
      <family val="2"/>
    </font>
    <font>
      <b/>
      <sz val="18"/>
      <color indexed="62"/>
      <name val="Cambria"/>
      <family val="2"/>
    </font>
    <font>
      <b/>
      <sz val="10"/>
      <color indexed="8"/>
      <name val="Arial"/>
      <family val="2"/>
    </font>
    <font>
      <sz val="11"/>
      <color rgb="FF9C6500"/>
      <name val="Aptos Narrow"/>
      <family val="2"/>
      <scheme val="minor"/>
    </font>
    <font>
      <sz val="9"/>
      <color indexed="8"/>
      <name val="Times New Roman"/>
      <family val="1"/>
    </font>
    <font>
      <b/>
      <sz val="10"/>
      <color indexed="8"/>
      <name val="Times New Roman"/>
      <family val="1"/>
    </font>
    <font>
      <sz val="8"/>
      <name val="Times"/>
      <family val="1"/>
    </font>
    <font>
      <sz val="8"/>
      <name val="Helvetica"/>
      <family val="2"/>
    </font>
    <font>
      <b/>
      <sz val="12"/>
      <name val="Tms Rmn"/>
    </font>
    <font>
      <sz val="9"/>
      <color indexed="9"/>
      <name val="Times New Roman"/>
      <family val="1"/>
    </font>
    <font>
      <sz val="8"/>
      <color indexed="12"/>
      <name val="Tms Rmn"/>
    </font>
    <font>
      <b/>
      <sz val="10"/>
      <name val="Bookman"/>
      <family val="1"/>
    </font>
    <font>
      <b/>
      <sz val="24"/>
      <name val="Times New Roman"/>
      <family val="1"/>
    </font>
    <font>
      <b/>
      <sz val="14"/>
      <name val="Book Antiqua"/>
      <family val="1"/>
    </font>
    <font>
      <sz val="11"/>
      <color indexed="12"/>
      <name val="Book Antiqua"/>
      <family val="1"/>
    </font>
    <font>
      <b/>
      <u/>
      <sz val="7"/>
      <name val="Helvetica"/>
      <family val="2"/>
    </font>
    <font>
      <sz val="9"/>
      <name val="Times New Roman"/>
      <family val="1"/>
    </font>
    <font>
      <sz val="10"/>
      <name val="Book Antiqua"/>
      <family val="1"/>
    </font>
    <font>
      <sz val="7"/>
      <name val="Arial"/>
      <family val="2"/>
    </font>
    <font>
      <b/>
      <sz val="8.5"/>
      <color indexed="17"/>
      <name val="Arial"/>
      <family val="2"/>
    </font>
    <font>
      <b/>
      <sz val="7"/>
      <color indexed="17"/>
      <name val="Arial"/>
      <family val="2"/>
    </font>
    <font>
      <sz val="8.5"/>
      <color indexed="8"/>
      <name val="Arial"/>
      <family val="2"/>
    </font>
    <font>
      <b/>
      <sz val="8"/>
      <name val="Book Antiqua"/>
      <family val="1"/>
    </font>
    <font>
      <b/>
      <sz val="10"/>
      <name val="Palatino"/>
      <family val="1"/>
    </font>
    <font>
      <b/>
      <sz val="14"/>
      <name val="Arial"/>
      <family val="2"/>
    </font>
    <font>
      <sz val="8"/>
      <name val="Book Antiqua"/>
      <family val="1"/>
    </font>
    <font>
      <i/>
      <sz val="7"/>
      <name val="Book Antiqua"/>
      <family val="1"/>
    </font>
    <font>
      <sz val="8"/>
      <color indexed="9"/>
      <name val="Arial"/>
      <family val="2"/>
    </font>
    <font>
      <b/>
      <i/>
      <sz val="16"/>
      <name val="Helv"/>
    </font>
    <font>
      <sz val="10"/>
      <color indexed="72"/>
      <name val="System"/>
      <family val="2"/>
    </font>
    <font>
      <sz val="10"/>
      <name val="Palatino"/>
      <family val="1"/>
    </font>
    <font>
      <sz val="8"/>
      <name val="Helv"/>
      <family val="2"/>
    </font>
    <font>
      <sz val="10"/>
      <name val="Times New Roman"/>
      <family val="1"/>
    </font>
    <font>
      <sz val="8"/>
      <name val="Helv"/>
    </font>
    <font>
      <b/>
      <sz val="14"/>
      <name val="Bookman"/>
      <family val="1"/>
    </font>
    <font>
      <b/>
      <sz val="8"/>
      <name val="HelveticaNeue Condensed"/>
    </font>
    <font>
      <sz val="8"/>
      <name val="HelveticaNeue LightCond"/>
      <family val="2"/>
    </font>
    <font>
      <b/>
      <sz val="7"/>
      <name val="HelveticaNeue Condensed"/>
      <family val="2"/>
    </font>
    <font>
      <b/>
      <sz val="9"/>
      <name val="Times New Roman"/>
      <family val="1"/>
    </font>
    <font>
      <b/>
      <sz val="11"/>
      <name val="Times New Roman"/>
      <family val="1"/>
    </font>
    <font>
      <b/>
      <sz val="8.5"/>
      <color indexed="8"/>
      <name val="Arial"/>
      <family val="2"/>
    </font>
    <font>
      <b/>
      <sz val="12"/>
      <color indexed="16"/>
      <name val="Arial"/>
      <family val="2"/>
    </font>
    <font>
      <sz val="7"/>
      <name val="Times New Roman"/>
      <family val="1"/>
    </font>
    <font>
      <b/>
      <u/>
      <sz val="14"/>
      <name val="Book Antiqua"/>
      <family val="1"/>
    </font>
    <font>
      <b/>
      <sz val="10"/>
      <name val="Book Antiqua"/>
      <family val="1"/>
    </font>
    <font>
      <b/>
      <sz val="7"/>
      <name val="Arial"/>
      <family val="2"/>
    </font>
    <font>
      <b/>
      <sz val="10"/>
      <name val="Times New Roman"/>
      <family val="1"/>
    </font>
    <font>
      <sz val="8"/>
      <color indexed="49"/>
      <name val="Times New Roman"/>
      <family val="1"/>
    </font>
    <font>
      <sz val="10"/>
      <color indexed="8"/>
      <name val="MS Sans Serif"/>
      <family val="2"/>
    </font>
    <font>
      <sz val="10"/>
      <name val="Tms Rmn"/>
    </font>
    <font>
      <b/>
      <sz val="10"/>
      <color indexed="17"/>
      <name val="MS Sans Serif"/>
      <family val="2"/>
    </font>
    <font>
      <i/>
      <sz val="11"/>
      <name val="Helvetica-Black"/>
      <family val="2"/>
    </font>
    <font>
      <sz val="8"/>
      <name val="Tms Rmn"/>
    </font>
    <font>
      <b/>
      <sz val="9"/>
      <color indexed="8"/>
      <name val="Helvetica 65"/>
    </font>
    <font>
      <sz val="7"/>
      <color indexed="8"/>
      <name val="Helvetica 45"/>
      <family val="2"/>
    </font>
    <font>
      <sz val="7"/>
      <color indexed="8"/>
      <name val="Helvetica 65"/>
      <family val="2"/>
    </font>
    <font>
      <sz val="6"/>
      <color indexed="8"/>
      <name val="Helvetica 65"/>
      <family val="2"/>
    </font>
    <font>
      <b/>
      <sz val="8"/>
      <name val="Courier New"/>
      <family val="3"/>
    </font>
    <font>
      <b/>
      <sz val="9"/>
      <name val="Helvetica 65"/>
      <family val="2"/>
    </font>
    <font>
      <sz val="8"/>
      <name val="Times New Roman"/>
      <family val="1"/>
    </font>
    <font>
      <sz val="11"/>
      <name val="Times New Roman"/>
      <family val="1"/>
    </font>
    <font>
      <b/>
      <sz val="8"/>
      <name val="TimesNewRomanPS"/>
      <family val="1"/>
    </font>
    <font>
      <b/>
      <sz val="7"/>
      <name val="TarzanaNarrow"/>
    </font>
    <font>
      <sz val="7"/>
      <name val="TarzanaNarrow"/>
    </font>
    <font>
      <sz val="11"/>
      <name val="Tms Rmn"/>
    </font>
    <font>
      <sz val="8"/>
      <color indexed="12"/>
      <name val="Helv"/>
    </font>
    <font>
      <sz val="8"/>
      <name val="Palatino"/>
      <family val="1"/>
    </font>
    <font>
      <sz val="8.5"/>
      <name val="Arial Narrow"/>
      <family val="2"/>
    </font>
    <font>
      <sz val="8.5"/>
      <color indexed="49"/>
      <name val="Arial Narrow"/>
      <family val="2"/>
    </font>
    <font>
      <sz val="24"/>
      <name val="Arial"/>
      <family val="2"/>
    </font>
    <font>
      <sz val="14"/>
      <name val="Palatino"/>
      <family val="1"/>
    </font>
    <font>
      <sz val="16"/>
      <name val="Palatino"/>
      <family val="1"/>
    </font>
    <font>
      <sz val="32"/>
      <name val="Helvetica-Black"/>
    </font>
    <font>
      <b/>
      <i/>
      <u/>
      <sz val="8.5"/>
      <color indexed="12"/>
      <name val="Arial Narrow"/>
      <family val="2"/>
    </font>
    <font>
      <sz val="8.5"/>
      <color indexed="12"/>
      <name val="Arial Narrow"/>
      <family val="2"/>
    </font>
    <font>
      <b/>
      <sz val="8.5"/>
      <name val="Arial Narrow"/>
      <family val="2"/>
    </font>
    <font>
      <sz val="9"/>
      <name val="Helvetica 45"/>
      <family val="2"/>
    </font>
    <font>
      <sz val="10"/>
      <name val="TarzanaNarrow"/>
    </font>
    <font>
      <b/>
      <sz val="8"/>
      <name val="Times New Roman"/>
      <family val="1"/>
    </font>
    <font>
      <sz val="8"/>
      <color indexed="14"/>
      <name val="Arial Narrow"/>
      <family val="2"/>
    </font>
    <font>
      <b/>
      <sz val="8"/>
      <color indexed="8"/>
      <name val="Arial"/>
      <family val="2"/>
    </font>
    <font>
      <b/>
      <sz val="9.5"/>
      <color indexed="10"/>
      <name val="MS Sans Serif"/>
      <family val="2"/>
    </font>
    <font>
      <sz val="6"/>
      <color indexed="23"/>
      <name val="Helvetica-Black"/>
    </font>
    <font>
      <sz val="9.5"/>
      <color indexed="23"/>
      <name val="Helvetica-Black"/>
    </font>
    <font>
      <sz val="7"/>
      <name val="Palatino"/>
      <family val="1"/>
    </font>
    <font>
      <sz val="10"/>
      <color indexed="12"/>
      <name val="MS Sans Serif"/>
      <family val="2"/>
    </font>
    <font>
      <i/>
      <sz val="8"/>
      <color indexed="17"/>
      <name val="Times New Roman"/>
      <family val="1"/>
    </font>
    <font>
      <sz val="8"/>
      <color indexed="21"/>
      <name val="Arial"/>
      <family val="2"/>
    </font>
    <font>
      <i/>
      <sz val="8"/>
      <name val="MS Sans Serif"/>
      <family val="2"/>
    </font>
    <font>
      <sz val="6"/>
      <name val="Palatino"/>
      <family val="1"/>
    </font>
    <font>
      <sz val="6"/>
      <color indexed="12"/>
      <name val="Palatino"/>
      <family val="1"/>
    </font>
    <font>
      <i/>
      <sz val="8"/>
      <name val="Tms Rmn"/>
    </font>
    <font>
      <i/>
      <sz val="8"/>
      <color indexed="14"/>
      <name val="MS Sans Serif"/>
      <family val="2"/>
    </font>
    <font>
      <b/>
      <sz val="9"/>
      <name val="TarzanaNarrow"/>
    </font>
    <font>
      <b/>
      <sz val="10"/>
      <name val="TarzanaNarrow"/>
    </font>
    <font>
      <sz val="9"/>
      <name val="Geneva"/>
      <family val="2"/>
    </font>
    <font>
      <b/>
      <sz val="14.5"/>
      <name val="TarzanaNarrow"/>
    </font>
    <font>
      <sz val="10"/>
      <color indexed="16"/>
      <name val="Helvetica-Black"/>
    </font>
    <font>
      <sz val="9"/>
      <color indexed="21"/>
      <name val="Helvetica-Black"/>
    </font>
    <font>
      <b/>
      <u/>
      <sz val="10"/>
      <name val="Arial"/>
      <family val="2"/>
    </font>
    <font>
      <sz val="9.5"/>
      <name val="TarzanaNarrow"/>
    </font>
    <font>
      <sz val="9"/>
      <name val="Helv"/>
    </font>
    <font>
      <b/>
      <sz val="10"/>
      <color indexed="50"/>
      <name val="Arial"/>
      <family val="2"/>
    </font>
    <font>
      <u/>
      <sz val="10"/>
      <color theme="10"/>
      <name val="Arial"/>
      <family val="2"/>
    </font>
    <font>
      <u/>
      <sz val="10"/>
      <color theme="10"/>
      <name val="Helvetica"/>
      <family val="2"/>
    </font>
    <font>
      <sz val="10.5"/>
      <color theme="1"/>
      <name val="Calibri"/>
      <family val="2"/>
    </font>
    <font>
      <sz val="11"/>
      <color indexed="8"/>
      <name val="Calibri"/>
      <family val="2"/>
    </font>
    <font>
      <sz val="11"/>
      <color rgb="FF000000"/>
      <name val="Calibri"/>
      <family val="2"/>
    </font>
    <font>
      <sz val="11"/>
      <color rgb="FF800080"/>
      <name val="Calibri"/>
      <family val="2"/>
    </font>
    <font>
      <sz val="11"/>
      <color indexed="20"/>
      <name val="Calibri"/>
      <family val="2"/>
    </font>
    <font>
      <sz val="11"/>
      <color rgb="FF993300"/>
      <name val="Calibri"/>
      <family val="2"/>
    </font>
    <font>
      <sz val="11"/>
      <color indexed="60"/>
      <name val="Calibri"/>
      <family val="2"/>
    </font>
    <font>
      <b/>
      <sz val="10"/>
      <color rgb="FF0000FF"/>
      <name val="Arial"/>
      <family val="2"/>
    </font>
    <font>
      <sz val="10"/>
      <color rgb="FF0000FF"/>
      <name val="Arial"/>
      <family val="2"/>
    </font>
    <font>
      <i/>
      <sz val="10"/>
      <color indexed="12"/>
      <name val="Arial"/>
      <family val="2"/>
    </font>
    <font>
      <i/>
      <sz val="10"/>
      <color rgb="FF0000FF"/>
      <name val="Arial"/>
      <family val="2"/>
    </font>
    <font>
      <sz val="10"/>
      <name val="Aptos Display"/>
      <family val="2"/>
      <scheme val="major"/>
    </font>
    <font>
      <sz val="10"/>
      <color indexed="12"/>
      <name val="Arial"/>
      <family val="2"/>
    </font>
    <font>
      <sz val="10"/>
      <color rgb="FFFF0000"/>
      <name val="Arial"/>
      <family val="2"/>
    </font>
    <font>
      <b/>
      <sz val="10"/>
      <color indexed="12"/>
      <name val="Arial"/>
      <family val="2"/>
    </font>
    <font>
      <sz val="10"/>
      <color theme="0"/>
      <name val="Arial"/>
      <family val="2"/>
    </font>
    <font>
      <i/>
      <sz val="10"/>
      <color theme="1"/>
      <name val="Arial"/>
      <family val="2"/>
    </font>
    <font>
      <b/>
      <sz val="10"/>
      <color rgb="FFFF0000"/>
      <name val="Arial"/>
      <family val="2"/>
    </font>
    <font>
      <sz val="10"/>
      <color theme="8"/>
      <name val="Arial"/>
      <family val="2"/>
    </font>
    <font>
      <sz val="10"/>
      <name val="Verdana"/>
      <family val="2"/>
    </font>
    <font>
      <sz val="11"/>
      <color rgb="FF0000FF"/>
      <name val="Aptos Narrow"/>
      <family val="2"/>
      <scheme val="minor"/>
    </font>
    <font>
      <i/>
      <sz val="10"/>
      <color rgb="FFFF0000"/>
      <name val="Arial"/>
      <family val="2"/>
    </font>
    <font>
      <i/>
      <sz val="11"/>
      <color theme="1"/>
      <name val="Aptos Narrow"/>
      <family val="2"/>
      <scheme val="minor"/>
    </font>
    <font>
      <b/>
      <sz val="10"/>
      <color theme="4"/>
      <name val="Arial"/>
      <family val="2"/>
    </font>
    <font>
      <b/>
      <sz val="8"/>
      <color theme="0"/>
      <name val="Arial"/>
      <family val="2"/>
    </font>
    <font>
      <sz val="8"/>
      <color theme="1"/>
      <name val="Arial"/>
      <family val="2"/>
    </font>
    <font>
      <b/>
      <sz val="8"/>
      <color theme="1"/>
      <name val="Arial"/>
      <family val="2"/>
    </font>
    <font>
      <b/>
      <sz val="16"/>
      <color theme="0"/>
      <name val="Arial"/>
      <family val="2"/>
    </font>
    <font>
      <sz val="16"/>
      <color theme="1"/>
      <name val="Arial"/>
      <family val="2"/>
    </font>
    <font>
      <b/>
      <sz val="16"/>
      <color theme="1"/>
      <name val="Arial"/>
      <family val="2"/>
    </font>
    <font>
      <b/>
      <sz val="16"/>
      <name val="Arial"/>
      <family val="2"/>
    </font>
    <font>
      <b/>
      <sz val="16"/>
      <color rgb="FF0000FF"/>
      <name val="Arial"/>
      <family val="2"/>
    </font>
    <font>
      <sz val="16"/>
      <name val="Arial"/>
      <family val="2"/>
    </font>
    <font>
      <b/>
      <sz val="16"/>
      <color theme="8"/>
      <name val="Arial"/>
      <family val="2"/>
    </font>
    <font>
      <sz val="15"/>
      <color theme="1"/>
      <name val="Arial"/>
      <family val="2"/>
    </font>
    <font>
      <sz val="15"/>
      <color rgb="FF0000FF"/>
      <name val="Arial"/>
      <family val="2"/>
    </font>
    <font>
      <i/>
      <sz val="14"/>
      <color theme="1"/>
      <name val="Arial"/>
      <family val="2"/>
    </font>
    <font>
      <sz val="14"/>
      <color theme="1"/>
      <name val="Arial"/>
      <family val="2"/>
    </font>
    <font>
      <sz val="18"/>
      <color theme="1"/>
      <name val="Arial"/>
      <family val="2"/>
    </font>
  </fonts>
  <fills count="58">
    <fill>
      <patternFill patternType="none"/>
    </fill>
    <fill>
      <patternFill patternType="gray125"/>
    </fill>
    <fill>
      <patternFill patternType="solid">
        <fgColor theme="4"/>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2F2F2"/>
      </patternFill>
    </fill>
    <fill>
      <patternFill patternType="solid">
        <fgColor indexed="43"/>
      </patternFill>
    </fill>
    <fill>
      <patternFill patternType="solid">
        <fgColor indexed="30"/>
      </patternFill>
    </fill>
    <fill>
      <patternFill patternType="solid">
        <fgColor indexed="47"/>
      </patternFill>
    </fill>
    <fill>
      <patternFill patternType="solid">
        <fgColor indexed="38"/>
      </patternFill>
    </fill>
    <fill>
      <patternFill patternType="solid">
        <fgColor indexed="28"/>
      </patternFill>
    </fill>
    <fill>
      <patternFill patternType="solid">
        <fgColor indexed="26"/>
      </patternFill>
    </fill>
    <fill>
      <patternFill patternType="solid">
        <fgColor indexed="33"/>
      </patternFill>
    </fill>
    <fill>
      <patternFill patternType="solid">
        <fgColor indexed="24"/>
      </patternFill>
    </fill>
    <fill>
      <patternFill patternType="solid">
        <fgColor indexed="10"/>
      </patternFill>
    </fill>
    <fill>
      <patternFill patternType="solid">
        <fgColor indexed="57"/>
      </patternFill>
    </fill>
    <fill>
      <patternFill patternType="solid">
        <fgColor indexed="54"/>
      </patternFill>
    </fill>
    <fill>
      <patternFill patternType="solid">
        <fgColor indexed="49"/>
      </patternFill>
    </fill>
    <fill>
      <patternFill patternType="solid">
        <fgColor indexed="53"/>
      </patternFill>
    </fill>
    <fill>
      <patternFill patternType="solid">
        <fgColor indexed="45"/>
      </patternFill>
    </fill>
    <fill>
      <patternFill patternType="solid">
        <fgColor indexed="27"/>
      </patternFill>
    </fill>
    <fill>
      <patternFill patternType="solid">
        <fgColor indexed="42"/>
      </patternFill>
    </fill>
    <fill>
      <patternFill patternType="solid">
        <fgColor indexed="22"/>
        <bgColor indexed="64"/>
      </patternFill>
    </fill>
    <fill>
      <patternFill patternType="solid">
        <fgColor indexed="13"/>
      </patternFill>
    </fill>
    <fill>
      <patternFill patternType="solid">
        <fgColor indexed="11"/>
        <bgColor indexed="64"/>
      </patternFill>
    </fill>
    <fill>
      <patternFill patternType="solid">
        <fgColor indexed="42"/>
        <bgColor indexed="64"/>
      </patternFill>
    </fill>
    <fill>
      <patternFill patternType="solid">
        <fgColor indexed="43"/>
        <bgColor indexed="64"/>
      </patternFill>
    </fill>
    <fill>
      <patternFill patternType="solid">
        <fgColor indexed="8"/>
        <bgColor indexed="64"/>
      </patternFill>
    </fill>
    <fill>
      <patternFill patternType="solid">
        <fgColor indexed="47"/>
        <bgColor indexed="64"/>
      </patternFill>
    </fill>
    <fill>
      <patternFill patternType="solid">
        <fgColor indexed="45"/>
        <bgColor indexed="64"/>
      </patternFill>
    </fill>
    <fill>
      <patternFill patternType="solid">
        <fgColor indexed="29"/>
        <bgColor indexed="64"/>
      </patternFill>
    </fill>
    <fill>
      <patternFill patternType="solid">
        <fgColor indexed="18"/>
        <bgColor indexed="64"/>
      </patternFill>
    </fill>
    <fill>
      <patternFill patternType="solid">
        <fgColor rgb="FFFFFF99"/>
        <bgColor indexed="64"/>
      </patternFill>
    </fill>
    <fill>
      <patternFill patternType="gray0625">
        <fgColor indexed="10"/>
        <bgColor indexed="9"/>
      </patternFill>
    </fill>
    <fill>
      <patternFill patternType="lightGray">
        <fgColor indexed="14"/>
        <bgColor indexed="9"/>
      </patternFill>
    </fill>
    <fill>
      <patternFill patternType="lightGray">
        <fgColor indexed="15"/>
      </patternFill>
    </fill>
    <fill>
      <patternFill patternType="lightGray">
        <fgColor indexed="12"/>
        <bgColor indexed="9"/>
      </patternFill>
    </fill>
    <fill>
      <patternFill patternType="solid">
        <fgColor indexed="11"/>
        <bgColor indexed="9"/>
      </patternFill>
    </fill>
    <fill>
      <patternFill patternType="lightGray">
        <fgColor indexed="22"/>
        <bgColor indexed="9"/>
      </patternFill>
    </fill>
    <fill>
      <patternFill patternType="mediumGray">
        <fgColor indexed="22"/>
      </patternFill>
    </fill>
    <fill>
      <patternFill patternType="lightGray">
        <fgColor indexed="12"/>
      </patternFill>
    </fill>
    <fill>
      <patternFill patternType="gray0625">
        <fgColor indexed="13"/>
        <bgColor indexed="9"/>
      </patternFill>
    </fill>
    <fill>
      <patternFill patternType="solid">
        <fgColor indexed="26"/>
        <bgColor indexed="64"/>
      </patternFill>
    </fill>
    <fill>
      <patternFill patternType="solid">
        <fgColor indexed="63"/>
        <bgColor indexed="64"/>
      </patternFill>
    </fill>
    <fill>
      <patternFill patternType="solid">
        <fgColor indexed="31"/>
        <bgColor indexed="64"/>
      </patternFill>
    </fill>
    <fill>
      <patternFill patternType="solid">
        <fgColor indexed="15"/>
      </patternFill>
    </fill>
    <fill>
      <patternFill patternType="mediumGray"/>
    </fill>
    <fill>
      <patternFill patternType="solid">
        <fgColor indexed="16"/>
        <bgColor indexed="64"/>
      </patternFill>
    </fill>
    <fill>
      <patternFill patternType="solid">
        <fgColor rgb="FFFF8080"/>
        <bgColor indexed="64"/>
      </patternFill>
    </fill>
    <fill>
      <patternFill patternType="solid">
        <fgColor rgb="FFFF99CC"/>
        <bgColor indexed="64"/>
      </patternFill>
    </fill>
    <fill>
      <patternFill patternType="solid">
        <fgColor rgb="FFC6EFCE"/>
        <bgColor indexed="64"/>
      </patternFill>
    </fill>
    <fill>
      <patternFill patternType="solid">
        <fgColor theme="0"/>
        <bgColor indexed="64"/>
      </patternFill>
    </fill>
    <fill>
      <patternFill patternType="solid">
        <fgColor theme="0" tint="-0.14999847407452621"/>
        <bgColor indexed="64"/>
      </patternFill>
    </fill>
    <fill>
      <patternFill patternType="solid">
        <fgColor theme="7" tint="0.59999389629810485"/>
        <bgColor indexed="64"/>
      </patternFill>
    </fill>
    <fill>
      <patternFill patternType="solid">
        <fgColor rgb="FFFFFF00"/>
        <bgColor indexed="64"/>
      </patternFill>
    </fill>
    <fill>
      <patternFill patternType="solid">
        <fgColor theme="0" tint="-4.9989318521683403E-2"/>
        <bgColor indexed="64"/>
      </patternFill>
    </fill>
    <fill>
      <patternFill patternType="solid">
        <fgColor theme="7" tint="0.79998168889431442"/>
        <bgColor indexed="64"/>
      </patternFill>
    </fill>
  </fills>
  <borders count="43">
    <border>
      <left/>
      <right/>
      <top/>
      <bottom/>
      <diagonal/>
    </border>
    <border>
      <left style="thin">
        <color rgb="FF3F3F3F"/>
      </left>
      <right style="thin">
        <color rgb="FF3F3F3F"/>
      </right>
      <top style="thin">
        <color rgb="FF3F3F3F"/>
      </top>
      <bottom style="thin">
        <color rgb="FF3F3F3F"/>
      </bottom>
      <diagonal/>
    </border>
    <border>
      <left/>
      <right/>
      <top style="hair">
        <color indexed="8"/>
      </top>
      <bottom style="hair">
        <color indexed="8"/>
      </bottom>
      <diagonal/>
    </border>
    <border>
      <left/>
      <right/>
      <top/>
      <bottom style="medium">
        <color indexed="18"/>
      </bottom>
      <diagonal/>
    </border>
    <border>
      <left style="thin">
        <color indexed="23"/>
      </left>
      <right style="thin">
        <color indexed="23"/>
      </right>
      <top style="thin">
        <color indexed="23"/>
      </top>
      <bottom style="thin">
        <color indexed="23"/>
      </bottom>
      <diagonal/>
    </border>
    <border>
      <left style="double">
        <color indexed="34"/>
      </left>
      <right style="double">
        <color indexed="34"/>
      </right>
      <top style="double">
        <color indexed="34"/>
      </top>
      <bottom style="double">
        <color indexed="34"/>
      </bottom>
      <diagonal/>
    </border>
    <border>
      <left/>
      <right/>
      <top/>
      <bottom style="thick">
        <color indexed="24"/>
      </bottom>
      <diagonal/>
    </border>
    <border>
      <left/>
      <right/>
      <top/>
      <bottom style="thick">
        <color indexed="31"/>
      </bottom>
      <diagonal/>
    </border>
    <border>
      <left/>
      <right/>
      <top/>
      <bottom style="medium">
        <color indexed="26"/>
      </bottom>
      <diagonal/>
    </border>
    <border>
      <left/>
      <right/>
      <top style="medium">
        <color indexed="64"/>
      </top>
      <bottom/>
      <diagonal/>
    </border>
    <border>
      <left style="thin">
        <color indexed="8"/>
      </left>
      <right style="thin">
        <color indexed="8"/>
      </right>
      <top style="thin">
        <color indexed="8"/>
      </top>
      <bottom style="thin">
        <color indexed="8"/>
      </bottom>
      <diagonal/>
    </border>
    <border>
      <left/>
      <right/>
      <top/>
      <bottom style="double">
        <color indexed="52"/>
      </bottom>
      <diagonal/>
    </border>
    <border>
      <left/>
      <right/>
      <top style="dotted">
        <color indexed="64"/>
      </top>
      <bottom style="dotted">
        <color indexed="64"/>
      </bottom>
      <diagonal/>
    </border>
    <border>
      <left style="thin">
        <color indexed="33"/>
      </left>
      <right style="thin">
        <color indexed="33"/>
      </right>
      <top style="thin">
        <color indexed="33"/>
      </top>
      <bottom style="thin">
        <color indexed="33"/>
      </bottom>
      <diagonal/>
    </border>
    <border>
      <left style="thin">
        <color indexed="64"/>
      </left>
      <right style="thin">
        <color indexed="64"/>
      </right>
      <top/>
      <bottom/>
      <diagonal/>
    </border>
    <border>
      <left style="thin">
        <color indexed="34"/>
      </left>
      <right style="thin">
        <color indexed="34"/>
      </right>
      <top style="thin">
        <color indexed="34"/>
      </top>
      <bottom style="thin">
        <color indexed="34"/>
      </bottom>
      <diagonal/>
    </border>
    <border>
      <left style="thin">
        <color indexed="9"/>
      </left>
      <right/>
      <top style="thin">
        <color indexed="9"/>
      </top>
      <bottom style="thin">
        <color indexed="23"/>
      </bottom>
      <diagonal/>
    </border>
    <border>
      <left style="thin">
        <color indexed="23"/>
      </left>
      <right style="dashed">
        <color indexed="9"/>
      </right>
      <top/>
      <bottom style="dashed">
        <color indexed="9"/>
      </bottom>
      <diagonal/>
    </border>
    <border>
      <left/>
      <right/>
      <top style="thin">
        <color indexed="24"/>
      </top>
      <bottom style="double">
        <color indexed="24"/>
      </bottom>
      <diagonal/>
    </border>
    <border>
      <left/>
      <right/>
      <top/>
      <bottom style="thin">
        <color indexed="64"/>
      </bottom>
      <diagonal/>
    </border>
    <border>
      <left/>
      <right/>
      <top/>
      <bottom style="medium">
        <color indexed="64"/>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right style="thin">
        <color indexed="64"/>
      </right>
      <top/>
      <bottom/>
      <diagonal/>
    </border>
    <border>
      <left/>
      <right/>
      <top style="thin">
        <color indexed="64"/>
      </top>
      <bottom style="thin">
        <color indexed="64"/>
      </bottom>
      <diagonal/>
    </border>
    <border>
      <left/>
      <right/>
      <top style="medium">
        <color indexed="64"/>
      </top>
      <bottom style="medium">
        <color indexed="64"/>
      </bottom>
      <diagonal/>
    </border>
    <border>
      <left/>
      <right/>
      <top/>
      <bottom style="hair">
        <color indexed="64"/>
      </bottom>
      <diagonal/>
    </border>
    <border>
      <left style="thin">
        <color indexed="64"/>
      </left>
      <right style="thin">
        <color indexed="64"/>
      </right>
      <top/>
      <bottom style="thin">
        <color indexed="64"/>
      </bottom>
      <diagonal/>
    </border>
    <border>
      <left/>
      <right/>
      <top style="thin">
        <color indexed="8"/>
      </top>
      <bottom style="thin">
        <color indexed="8"/>
      </bottom>
      <diagonal/>
    </border>
    <border>
      <left style="medium">
        <color indexed="9"/>
      </left>
      <right style="medium">
        <color indexed="9"/>
      </right>
      <top/>
      <bottom/>
      <diagonal/>
    </border>
    <border>
      <left/>
      <right style="thin">
        <color indexed="8"/>
      </right>
      <top style="thin">
        <color indexed="8"/>
      </top>
      <bottom/>
      <diagonal/>
    </border>
    <border>
      <left style="thick">
        <color indexed="9"/>
      </left>
      <right style="thick">
        <color indexed="9"/>
      </right>
      <top/>
      <bottom style="double">
        <color indexed="64"/>
      </bottom>
      <diagonal/>
    </border>
    <border>
      <left/>
      <right/>
      <top style="thin">
        <color indexed="64"/>
      </top>
      <bottom style="medium">
        <color indexed="64"/>
      </bottom>
      <diagonal/>
    </border>
    <border>
      <left/>
      <right/>
      <top/>
      <bottom style="thin">
        <color indexed="8"/>
      </bottom>
      <diagonal/>
    </border>
    <border>
      <left style="hair">
        <color indexed="64"/>
      </left>
      <right style="hair">
        <color indexed="64"/>
      </right>
      <top style="hair">
        <color indexed="64"/>
      </top>
      <bottom style="hair">
        <color indexed="64"/>
      </bottom>
      <diagonal/>
    </border>
    <border>
      <left style="medium">
        <color indexed="8"/>
      </left>
      <right style="medium">
        <color indexed="8"/>
      </right>
      <top/>
      <bottom/>
      <diagonal/>
    </border>
    <border>
      <left/>
      <right/>
      <top style="medium">
        <color indexed="64"/>
      </top>
      <bottom style="thin">
        <color indexed="64"/>
      </bottom>
      <diagonal/>
    </border>
    <border>
      <left style="thick">
        <color indexed="64"/>
      </left>
      <right/>
      <top/>
      <bottom/>
      <diagonal/>
    </border>
    <border>
      <left/>
      <right/>
      <top/>
      <bottom style="dotted">
        <color indexed="64"/>
      </bottom>
      <diagonal/>
    </border>
    <border>
      <left style="medium">
        <color indexed="62"/>
      </left>
      <right style="medium">
        <color indexed="62"/>
      </right>
      <top style="medium">
        <color indexed="62"/>
      </top>
      <bottom style="medium">
        <color indexed="62"/>
      </bottom>
      <diagonal/>
    </border>
    <border>
      <left style="thin">
        <color indexed="10"/>
      </left>
      <right style="thin">
        <color indexed="10"/>
      </right>
      <top style="thin">
        <color indexed="10"/>
      </top>
      <bottom style="thin">
        <color indexed="10"/>
      </bottom>
      <diagonal/>
    </border>
    <border>
      <left style="medium">
        <color indexed="57"/>
      </left>
      <right style="medium">
        <color indexed="57"/>
      </right>
      <top style="medium">
        <color indexed="57"/>
      </top>
      <bottom style="medium">
        <color indexed="57"/>
      </bottom>
      <diagonal/>
    </border>
    <border>
      <left/>
      <right/>
      <top/>
      <bottom style="thin">
        <color auto="1"/>
      </bottom>
      <diagonal/>
    </border>
  </borders>
  <cellStyleXfs count="1586">
    <xf numFmtId="0" fontId="0" fillId="0" borderId="0"/>
    <xf numFmtId="0" fontId="2" fillId="0" borderId="0"/>
    <xf numFmtId="179" fontId="16" fillId="0" borderId="0" applyFont="0" applyFill="0" applyBorder="0" applyAlignment="0" applyProtection="0"/>
    <xf numFmtId="180" fontId="16" fillId="0" borderId="0" applyFont="0" applyFill="0" applyBorder="0" applyAlignment="0" applyProtection="0"/>
    <xf numFmtId="175" fontId="16" fillId="0" borderId="0" applyFont="0" applyFill="0" applyBorder="0" applyAlignment="0" applyProtection="0"/>
    <xf numFmtId="173" fontId="10" fillId="0" borderId="0" applyFont="0" applyFill="0" applyBorder="0" applyAlignment="0" applyProtection="0"/>
    <xf numFmtId="176" fontId="16" fillId="0" borderId="0" applyFont="0" applyFill="0" applyBorder="0" applyAlignment="0" applyProtection="0"/>
    <xf numFmtId="182" fontId="10" fillId="0" borderId="0" applyFont="0" applyFill="0" applyBorder="0" applyAlignment="0" applyProtection="0"/>
    <xf numFmtId="182" fontId="10" fillId="0" borderId="0" applyFont="0" applyFill="0" applyBorder="0" applyAlignment="0" applyProtection="0"/>
    <xf numFmtId="183" fontId="10" fillId="0" borderId="0" applyFont="0" applyFill="0" applyBorder="0" applyAlignment="0" applyProtection="0"/>
    <xf numFmtId="182" fontId="10" fillId="0" borderId="0" applyFont="0" applyFill="0" applyBorder="0" applyAlignment="0" applyProtection="0"/>
    <xf numFmtId="177" fontId="16" fillId="0" borderId="0" applyFont="0" applyFill="0" applyBorder="0" applyAlignment="0" applyProtection="0"/>
    <xf numFmtId="39" fontId="10" fillId="0" borderId="0" applyFont="0" applyFill="0" applyBorder="0" applyAlignment="0" applyProtection="0"/>
    <xf numFmtId="178" fontId="16" fillId="0" borderId="0" applyFont="0" applyFill="0" applyBorder="0" applyAlignment="0" applyProtection="0"/>
    <xf numFmtId="0" fontId="41" fillId="0" borderId="0" applyNumberFormat="0" applyFill="0" applyBorder="0" applyAlignment="0" applyProtection="0"/>
    <xf numFmtId="0" fontId="41" fillId="0" borderId="0" applyNumberFormat="0" applyFill="0" applyBorder="0" applyAlignment="0" applyProtection="0"/>
    <xf numFmtId="0" fontId="41" fillId="0" borderId="0" applyNumberFormat="0" applyFill="0" applyBorder="0" applyAlignment="0" applyProtection="0"/>
    <xf numFmtId="0" fontId="41" fillId="0" borderId="0" applyNumberFormat="0" applyFill="0" applyBorder="0" applyAlignment="0" applyProtection="0"/>
    <xf numFmtId="0" fontId="41" fillId="0" borderId="0" applyNumberFormat="0" applyFill="0" applyBorder="0" applyAlignment="0" applyProtection="0"/>
    <xf numFmtId="0" fontId="41" fillId="0" borderId="0" applyNumberFormat="0" applyFill="0" applyBorder="0" applyAlignment="0" applyProtection="0"/>
    <xf numFmtId="0" fontId="16" fillId="7" borderId="0" applyNumberFormat="0" applyFont="0" applyAlignment="0" applyProtection="0"/>
    <xf numFmtId="174" fontId="16" fillId="0" borderId="0" applyFont="0" applyFill="0" applyBorder="0" applyAlignment="0" applyProtection="0"/>
    <xf numFmtId="184" fontId="10" fillId="0" borderId="0" applyFont="0" applyFill="0" applyBorder="0" applyAlignment="0" applyProtection="0"/>
    <xf numFmtId="188" fontId="10" fillId="0" borderId="0" applyFont="0" applyFill="0" applyBorder="0" applyAlignment="0" applyProtection="0"/>
    <xf numFmtId="181" fontId="16" fillId="0" borderId="0" applyFont="0" applyFill="0" applyBorder="0" applyProtection="0">
      <alignment horizontal="right"/>
    </xf>
    <xf numFmtId="185" fontId="10" fillId="0" borderId="0" applyFont="0" applyFill="0" applyBorder="0" applyAlignment="0" applyProtection="0"/>
    <xf numFmtId="189" fontId="10" fillId="0" borderId="0" applyFont="0" applyFill="0" applyBorder="0" applyProtection="0">
      <alignment horizontal="right"/>
    </xf>
    <xf numFmtId="186" fontId="10" fillId="0" borderId="0" applyFont="0" applyFill="0" applyBorder="0" applyAlignment="0" applyProtection="0"/>
    <xf numFmtId="187" fontId="10" fillId="0" borderId="0" applyFont="0" applyFill="0" applyBorder="0" applyAlignment="0" applyProtection="0"/>
    <xf numFmtId="0" fontId="42" fillId="0" borderId="0" applyNumberFormat="0" applyFill="0" applyBorder="0" applyProtection="0">
      <alignment vertical="top"/>
    </xf>
    <xf numFmtId="0" fontId="42" fillId="0" borderId="0" applyNumberFormat="0" applyFill="0" applyBorder="0" applyProtection="0">
      <alignment vertical="top"/>
    </xf>
    <xf numFmtId="0" fontId="42" fillId="0" borderId="0" applyNumberFormat="0" applyFill="0" applyBorder="0" applyProtection="0">
      <alignment vertical="top"/>
    </xf>
    <xf numFmtId="0" fontId="42" fillId="0" borderId="0" applyNumberFormat="0" applyFill="0" applyBorder="0" applyProtection="0">
      <alignment vertical="top"/>
    </xf>
    <xf numFmtId="0" fontId="42" fillId="0" borderId="0" applyNumberFormat="0" applyFill="0" applyBorder="0" applyProtection="0">
      <alignment vertical="top"/>
    </xf>
    <xf numFmtId="0" fontId="42" fillId="0" borderId="0" applyNumberFormat="0" applyFill="0" applyBorder="0" applyProtection="0">
      <alignment vertical="top"/>
    </xf>
    <xf numFmtId="0" fontId="26" fillId="0" borderId="2" applyNumberFormat="0" applyFill="0" applyAlignment="0" applyProtection="0"/>
    <xf numFmtId="0" fontId="26" fillId="0" borderId="2" applyNumberFormat="0" applyFill="0" applyAlignment="0" applyProtection="0"/>
    <xf numFmtId="0" fontId="26" fillId="0" borderId="2" applyNumberFormat="0" applyFill="0" applyAlignment="0" applyProtection="0"/>
    <xf numFmtId="0" fontId="26" fillId="0" borderId="2" applyNumberFormat="0" applyFill="0" applyAlignment="0" applyProtection="0"/>
    <xf numFmtId="0" fontId="26" fillId="0" borderId="2" applyNumberFormat="0" applyFill="0" applyAlignment="0" applyProtection="0"/>
    <xf numFmtId="0" fontId="43" fillId="0" borderId="3" applyNumberFormat="0" applyFill="0" applyProtection="0">
      <alignment horizontal="center"/>
    </xf>
    <xf numFmtId="0" fontId="43" fillId="0" borderId="3" applyNumberFormat="0" applyFill="0" applyProtection="0">
      <alignment horizontal="center"/>
    </xf>
    <xf numFmtId="0" fontId="43" fillId="0" borderId="3" applyNumberFormat="0" applyFill="0" applyProtection="0">
      <alignment horizontal="center"/>
    </xf>
    <xf numFmtId="0" fontId="43" fillId="0" borderId="3" applyNumberFormat="0" applyFill="0" applyProtection="0">
      <alignment horizontal="center"/>
    </xf>
    <xf numFmtId="0" fontId="43" fillId="0" borderId="3" applyNumberFormat="0" applyFill="0" applyProtection="0">
      <alignment horizontal="center"/>
    </xf>
    <xf numFmtId="0" fontId="43" fillId="0" borderId="0" applyNumberFormat="0" applyFill="0" applyBorder="0" applyProtection="0">
      <alignment horizontal="left"/>
    </xf>
    <xf numFmtId="0" fontId="43" fillId="0" borderId="0" applyNumberFormat="0" applyFill="0" applyBorder="0" applyProtection="0">
      <alignment horizontal="left"/>
    </xf>
    <xf numFmtId="0" fontId="43" fillId="0" borderId="0" applyNumberFormat="0" applyFill="0" applyBorder="0" applyProtection="0">
      <alignment horizontal="left"/>
    </xf>
    <xf numFmtId="0" fontId="43" fillId="0" borderId="0" applyNumberFormat="0" applyFill="0" applyBorder="0" applyProtection="0">
      <alignment horizontal="left"/>
    </xf>
    <xf numFmtId="0" fontId="43" fillId="0" borderId="0" applyNumberFormat="0" applyFill="0" applyBorder="0" applyProtection="0">
      <alignment horizontal="left"/>
    </xf>
    <xf numFmtId="0" fontId="44" fillId="0" borderId="0" applyNumberFormat="0" applyFill="0" applyBorder="0" applyProtection="0">
      <alignment horizontal="centerContinuous"/>
    </xf>
    <xf numFmtId="0" fontId="44" fillId="0" borderId="0" applyNumberFormat="0" applyFill="0" applyBorder="0" applyProtection="0">
      <alignment horizontal="centerContinuous"/>
    </xf>
    <xf numFmtId="0" fontId="44" fillId="0" borderId="0" applyNumberFormat="0" applyFill="0" applyBorder="0" applyProtection="0">
      <alignment horizontal="centerContinuous"/>
    </xf>
    <xf numFmtId="0" fontId="44" fillId="0" borderId="0" applyNumberFormat="0" applyFill="0" applyBorder="0" applyProtection="0">
      <alignment horizontal="centerContinuous"/>
    </xf>
    <xf numFmtId="0" fontId="44" fillId="0" borderId="0" applyNumberFormat="0" applyFill="0" applyBorder="0" applyProtection="0">
      <alignment horizontal="centerContinuous"/>
    </xf>
    <xf numFmtId="0" fontId="17" fillId="8" borderId="0" applyNumberFormat="0" applyBorder="0" applyAlignment="0" applyProtection="0"/>
    <xf numFmtId="0" fontId="17" fillId="9" borderId="0" applyNumberFormat="0" applyBorder="0" applyAlignment="0" applyProtection="0"/>
    <xf numFmtId="0" fontId="17" fillId="7" borderId="0" applyNumberFormat="0" applyBorder="0" applyAlignment="0" applyProtection="0"/>
    <xf numFmtId="0" fontId="17" fillId="10" borderId="0" applyNumberFormat="0" applyBorder="0" applyAlignment="0" applyProtection="0"/>
    <xf numFmtId="0" fontId="17" fillId="8" borderId="0" applyNumberFormat="0" applyBorder="0" applyAlignment="0" applyProtection="0"/>
    <xf numFmtId="0" fontId="17" fillId="9" borderId="0" applyNumberFormat="0" applyBorder="0" applyAlignment="0" applyProtection="0"/>
    <xf numFmtId="0" fontId="17" fillId="11" borderId="0" applyNumberFormat="0" applyBorder="0" applyAlignment="0" applyProtection="0"/>
    <xf numFmtId="0" fontId="17" fillId="9" borderId="0" applyNumberFormat="0" applyBorder="0" applyAlignment="0" applyProtection="0"/>
    <xf numFmtId="0" fontId="17" fillId="7" borderId="0" applyNumberFormat="0" applyBorder="0" applyAlignment="0" applyProtection="0"/>
    <xf numFmtId="0" fontId="17" fillId="11" borderId="0" applyNumberFormat="0" applyBorder="0" applyAlignment="0" applyProtection="0"/>
    <xf numFmtId="0" fontId="17" fillId="11" borderId="0" applyNumberFormat="0" applyBorder="0" applyAlignment="0" applyProtection="0"/>
    <xf numFmtId="0" fontId="17" fillId="9" borderId="0" applyNumberFormat="0" applyBorder="0" applyAlignment="0" applyProtection="0"/>
    <xf numFmtId="0" fontId="48" fillId="12" borderId="0" applyNumberFormat="0" applyBorder="0" applyAlignment="0" applyProtection="0"/>
    <xf numFmtId="0" fontId="48" fillId="9" borderId="0" applyNumberFormat="0" applyBorder="0" applyAlignment="0" applyProtection="0"/>
    <xf numFmtId="0" fontId="48" fillId="7" borderId="0" applyNumberFormat="0" applyBorder="0" applyAlignment="0" applyProtection="0"/>
    <xf numFmtId="0" fontId="48" fillId="13" borderId="0" applyNumberFormat="0" applyBorder="0" applyAlignment="0" applyProtection="0"/>
    <xf numFmtId="0" fontId="48" fillId="12" borderId="0" applyNumberFormat="0" applyBorder="0" applyAlignment="0" applyProtection="0"/>
    <xf numFmtId="0" fontId="48" fillId="9" borderId="0" applyNumberFormat="0" applyBorder="0" applyAlignment="0" applyProtection="0"/>
    <xf numFmtId="0" fontId="48" fillId="14" borderId="0" applyNumberFormat="0" applyBorder="0" applyAlignment="0" applyProtection="0"/>
    <xf numFmtId="0" fontId="48" fillId="15" borderId="0" applyNumberFormat="0" applyBorder="0" applyAlignment="0" applyProtection="0"/>
    <xf numFmtId="0" fontId="48" fillId="16" borderId="0" applyNumberFormat="0" applyBorder="0" applyAlignment="0" applyProtection="0"/>
    <xf numFmtId="0" fontId="48" fillId="17" borderId="0" applyNumberFormat="0" applyBorder="0" applyAlignment="0" applyProtection="0"/>
    <xf numFmtId="0" fontId="48" fillId="18" borderId="0" applyNumberFormat="0" applyBorder="0" applyAlignment="0" applyProtection="0"/>
    <xf numFmtId="0" fontId="48" fillId="19" borderId="0" applyNumberFormat="0" applyBorder="0" applyAlignment="0" applyProtection="0"/>
    <xf numFmtId="0" fontId="49" fillId="20" borderId="0" applyNumberFormat="0" applyBorder="0" applyAlignment="0" applyProtection="0"/>
    <xf numFmtId="0" fontId="50" fillId="21" borderId="4" applyNumberFormat="0" applyAlignment="0" applyProtection="0"/>
    <xf numFmtId="0" fontId="51" fillId="13" borderId="5" applyNumberFormat="0" applyAlignment="0" applyProtection="0"/>
    <xf numFmtId="4" fontId="2" fillId="0" borderId="0" applyFont="0" applyFill="0" applyBorder="0" applyAlignment="0" applyProtection="0"/>
    <xf numFmtId="8" fontId="2" fillId="0" borderId="0" applyFont="0" applyFill="0" applyBorder="0" applyAlignment="0" applyProtection="0"/>
    <xf numFmtId="0" fontId="52" fillId="0" borderId="0" applyNumberFormat="0" applyFill="0" applyBorder="0" applyAlignment="0" applyProtection="0"/>
    <xf numFmtId="12" fontId="38" fillId="0" borderId="0">
      <alignment horizontal="center"/>
    </xf>
    <xf numFmtId="0" fontId="34" fillId="22" borderId="0" applyNumberFormat="0" applyBorder="0" applyAlignment="0" applyProtection="0"/>
    <xf numFmtId="0" fontId="33" fillId="23" borderId="0"/>
    <xf numFmtId="0" fontId="53" fillId="0" borderId="6" applyNumberFormat="0" applyFill="0" applyAlignment="0" applyProtection="0"/>
    <xf numFmtId="0" fontId="54" fillId="0" borderId="7" applyNumberFormat="0" applyFill="0" applyAlignment="0" applyProtection="0"/>
    <xf numFmtId="0" fontId="55" fillId="0" borderId="8" applyNumberFormat="0" applyFill="0" applyAlignment="0" applyProtection="0"/>
    <xf numFmtId="0" fontId="55" fillId="0" borderId="0" applyNumberFormat="0" applyFill="0" applyBorder="0" applyAlignment="0" applyProtection="0"/>
    <xf numFmtId="0" fontId="56" fillId="9" borderId="4" applyNumberFormat="0" applyAlignment="0" applyProtection="0"/>
    <xf numFmtId="171" fontId="34" fillId="0" borderId="9" applyBorder="0">
      <protection locked="0"/>
    </xf>
    <xf numFmtId="0" fontId="45" fillId="24" borderId="10">
      <alignment horizontal="left" vertical="center" wrapText="1"/>
    </xf>
    <xf numFmtId="0" fontId="57" fillId="0" borderId="11" applyNumberFormat="0" applyFill="0" applyAlignment="0" applyProtection="0"/>
    <xf numFmtId="0" fontId="2" fillId="0" borderId="0">
      <alignment horizontal="right"/>
    </xf>
    <xf numFmtId="0" fontId="58" fillId="7" borderId="0" applyNumberFormat="0" applyBorder="0" applyAlignment="0" applyProtection="0"/>
    <xf numFmtId="0" fontId="34" fillId="0" borderId="12" applyNumberFormat="0" applyAlignment="0"/>
    <xf numFmtId="0" fontId="17" fillId="7" borderId="13" applyNumberFormat="0" applyFont="0" applyAlignment="0" applyProtection="0"/>
    <xf numFmtId="0" fontId="2" fillId="0" borderId="14"/>
    <xf numFmtId="0" fontId="59" fillId="21" borderId="15" applyNumberFormat="0" applyAlignment="0" applyProtection="0"/>
    <xf numFmtId="10" fontId="46" fillId="0" borderId="0" applyFont="0" applyFill="0" applyBorder="0" applyProtection="0">
      <alignment horizontal="right"/>
    </xf>
    <xf numFmtId="9" fontId="2" fillId="0" borderId="0" applyFont="0" applyFill="0" applyBorder="0" applyAlignment="0" applyProtection="0"/>
    <xf numFmtId="38" fontId="16" fillId="0" borderId="0" applyFill="0" applyBorder="0" applyAlignment="0" applyProtection="0">
      <alignment horizontal="right"/>
    </xf>
    <xf numFmtId="3" fontId="10" fillId="23" borderId="16" applyFont="0" applyFill="0" applyBorder="0" applyAlignment="0" applyProtection="0"/>
    <xf numFmtId="4" fontId="10" fillId="23" borderId="16" applyFont="0" applyFill="0" applyBorder="0" applyAlignment="0" applyProtection="0"/>
    <xf numFmtId="0" fontId="10" fillId="23" borderId="16" applyFont="0" applyFill="0" applyBorder="0" applyAlignment="0" applyProtection="0"/>
    <xf numFmtId="0" fontId="10" fillId="23" borderId="17" applyFont="0" applyFill="0" applyBorder="0" applyAlignment="0" applyProtection="0"/>
    <xf numFmtId="10" fontId="10" fillId="23" borderId="16" applyFont="0" applyFill="0" applyBorder="0" applyAlignment="0" applyProtection="0"/>
    <xf numFmtId="9" fontId="10" fillId="23" borderId="16" applyFont="0" applyFill="0" applyBorder="0" applyAlignment="0" applyProtection="0"/>
    <xf numFmtId="2" fontId="10" fillId="23" borderId="16" applyFont="0" applyFill="0" applyBorder="0" applyAlignment="0" applyProtection="0"/>
    <xf numFmtId="0" fontId="10" fillId="0" borderId="0" applyFont="0" applyFill="0" applyBorder="0" applyAlignment="0" applyProtection="0"/>
    <xf numFmtId="0" fontId="10" fillId="0" borderId="0">
      <alignment vertical="top"/>
    </xf>
    <xf numFmtId="0" fontId="10" fillId="0" borderId="0">
      <alignment vertical="top"/>
    </xf>
    <xf numFmtId="0" fontId="10" fillId="0" borderId="0">
      <alignment vertical="top"/>
    </xf>
    <xf numFmtId="0" fontId="10" fillId="0" borderId="0">
      <alignment vertical="top"/>
    </xf>
    <xf numFmtId="0" fontId="10" fillId="0" borderId="0">
      <alignment vertical="top"/>
    </xf>
    <xf numFmtId="0" fontId="10" fillId="0" borderId="0">
      <alignment vertical="top"/>
    </xf>
    <xf numFmtId="0" fontId="10" fillId="0" borderId="0">
      <alignment vertical="top"/>
    </xf>
    <xf numFmtId="0" fontId="10" fillId="0" borderId="0">
      <alignment vertical="top"/>
    </xf>
    <xf numFmtId="0" fontId="60" fillId="0" borderId="0" applyNumberFormat="0" applyFill="0" applyBorder="0" applyAlignment="0" applyProtection="0"/>
    <xf numFmtId="0" fontId="36" fillId="0" borderId="0" applyBorder="0"/>
    <xf numFmtId="0" fontId="61" fillId="0" borderId="18" applyNumberFormat="0" applyFill="0" applyAlignment="0" applyProtection="0"/>
    <xf numFmtId="0" fontId="35" fillId="0" borderId="19" applyNumberFormat="0" applyFill="0" applyProtection="0"/>
    <xf numFmtId="0" fontId="28" fillId="0" borderId="0" applyNumberFormat="0" applyFill="0" applyBorder="0" applyAlignment="0" applyProtection="0"/>
    <xf numFmtId="0" fontId="5" fillId="0" borderId="0"/>
    <xf numFmtId="0" fontId="6" fillId="3" borderId="0" applyNumberFormat="0" applyBorder="0" applyAlignment="0" applyProtection="0"/>
    <xf numFmtId="0" fontId="62" fillId="5" borderId="0" applyNumberFormat="0" applyBorder="0" applyAlignment="0" applyProtection="0"/>
    <xf numFmtId="0" fontId="7" fillId="4" borderId="0" applyNumberFormat="0" applyBorder="0" applyAlignment="0" applyProtection="0"/>
    <xf numFmtId="0" fontId="8" fillId="6" borderId="1" applyNumberFormat="0" applyAlignment="0" applyProtection="0"/>
    <xf numFmtId="175" fontId="10" fillId="0" borderId="0" applyFont="0" applyFill="0" applyBorder="0" applyAlignment="0" applyProtection="0"/>
    <xf numFmtId="175" fontId="10" fillId="0" borderId="0" applyFont="0" applyFill="0" applyBorder="0" applyAlignment="0" applyProtection="0"/>
    <xf numFmtId="175" fontId="46" fillId="0" borderId="0" applyFont="0" applyFill="0" applyBorder="0" applyAlignment="0" applyProtection="0"/>
    <xf numFmtId="175" fontId="46" fillId="0" borderId="0" applyFont="0" applyFill="0" applyBorder="0" applyAlignment="0" applyProtection="0"/>
    <xf numFmtId="175" fontId="46" fillId="0" borderId="0" applyFont="0" applyFill="0" applyBorder="0" applyAlignment="0" applyProtection="0"/>
    <xf numFmtId="175" fontId="27" fillId="0" borderId="0" applyFont="0" applyFill="0" applyBorder="0" applyAlignment="0" applyProtection="0"/>
    <xf numFmtId="175" fontId="10" fillId="0" borderId="0" applyFont="0" applyFill="0" applyBorder="0" applyAlignment="0" applyProtection="0"/>
    <xf numFmtId="175" fontId="10" fillId="0" borderId="0" applyFont="0" applyFill="0" applyBorder="0" applyAlignment="0" applyProtection="0"/>
    <xf numFmtId="173" fontId="10" fillId="0" borderId="0" applyFont="0" applyFill="0" applyBorder="0" applyAlignment="0" applyProtection="0"/>
    <xf numFmtId="173" fontId="10" fillId="0" borderId="0" applyFont="0" applyFill="0" applyBorder="0" applyAlignment="0" applyProtection="0"/>
    <xf numFmtId="175" fontId="10" fillId="0" borderId="0" applyFont="0" applyFill="0" applyBorder="0" applyAlignment="0" applyProtection="0"/>
    <xf numFmtId="175" fontId="45" fillId="0" borderId="0" applyFont="0" applyFill="0" applyBorder="0" applyAlignment="0" applyProtection="0"/>
    <xf numFmtId="175" fontId="10" fillId="0" borderId="0" applyFont="0" applyFill="0" applyBorder="0" applyAlignment="0" applyProtection="0"/>
    <xf numFmtId="175" fontId="10" fillId="0" borderId="0" applyFont="0" applyFill="0" applyBorder="0" applyAlignment="0" applyProtection="0"/>
    <xf numFmtId="175" fontId="10" fillId="0" borderId="0" applyFont="0" applyFill="0" applyBorder="0" applyAlignment="0" applyProtection="0"/>
    <xf numFmtId="175" fontId="46" fillId="0" borderId="0" applyFont="0" applyFill="0" applyBorder="0" applyAlignment="0" applyProtection="0"/>
    <xf numFmtId="173" fontId="10" fillId="0" borderId="0" applyFont="0" applyFill="0" applyBorder="0" applyAlignment="0" applyProtection="0"/>
    <xf numFmtId="173" fontId="10" fillId="0" borderId="0" applyFont="0" applyFill="0" applyBorder="0" applyAlignment="0" applyProtection="0"/>
    <xf numFmtId="173" fontId="10" fillId="0" borderId="0" applyFont="0" applyFill="0" applyBorder="0" applyAlignment="0" applyProtection="0"/>
    <xf numFmtId="175" fontId="46" fillId="0" borderId="0" applyFont="0" applyFill="0" applyBorder="0" applyAlignment="0" applyProtection="0"/>
    <xf numFmtId="175" fontId="10" fillId="0" borderId="0" applyFont="0" applyFill="0" applyBorder="0" applyAlignment="0" applyProtection="0"/>
    <xf numFmtId="175" fontId="10" fillId="0" borderId="0" applyFont="0" applyFill="0" applyBorder="0" applyAlignment="0" applyProtection="0"/>
    <xf numFmtId="175" fontId="46" fillId="0" borderId="0" applyFont="0" applyFill="0" applyBorder="0" applyAlignment="0" applyProtection="0"/>
    <xf numFmtId="173" fontId="10" fillId="0" borderId="0" applyFont="0" applyFill="0" applyBorder="0" applyAlignment="0" applyProtection="0"/>
    <xf numFmtId="173" fontId="10" fillId="0" borderId="0" applyFont="0" applyFill="0" applyBorder="0" applyAlignment="0" applyProtection="0"/>
    <xf numFmtId="173" fontId="10" fillId="0" borderId="0" applyFont="0" applyFill="0" applyBorder="0" applyAlignment="0" applyProtection="0"/>
    <xf numFmtId="175" fontId="46" fillId="0" borderId="0" applyFont="0" applyFill="0" applyBorder="0" applyAlignment="0" applyProtection="0"/>
    <xf numFmtId="175" fontId="10" fillId="0" borderId="0" applyFont="0" applyFill="0" applyBorder="0" applyAlignment="0" applyProtection="0"/>
    <xf numFmtId="175" fontId="10" fillId="0" borderId="0" applyFont="0" applyFill="0" applyBorder="0" applyAlignment="0" applyProtection="0"/>
    <xf numFmtId="175" fontId="10" fillId="0" borderId="0" applyFont="0" applyFill="0" applyBorder="0" applyAlignment="0" applyProtection="0"/>
    <xf numFmtId="182" fontId="10" fillId="0" borderId="0" applyFont="0" applyFill="0" applyBorder="0" applyAlignment="0" applyProtection="0"/>
    <xf numFmtId="182" fontId="10" fillId="0" borderId="0" applyFont="0" applyFill="0" applyBorder="0" applyAlignment="0" applyProtection="0"/>
    <xf numFmtId="183" fontId="10" fillId="0" borderId="0" applyFont="0" applyFill="0" applyBorder="0" applyAlignment="0" applyProtection="0"/>
    <xf numFmtId="183" fontId="10" fillId="0" borderId="0" applyFont="0" applyFill="0" applyBorder="0" applyAlignment="0" applyProtection="0"/>
    <xf numFmtId="182" fontId="27" fillId="0" borderId="0" applyFont="0" applyFill="0" applyBorder="0" applyAlignment="0" applyProtection="0"/>
    <xf numFmtId="183" fontId="10" fillId="0" borderId="0" applyFont="0" applyFill="0" applyBorder="0" applyAlignment="0" applyProtection="0"/>
    <xf numFmtId="182" fontId="10" fillId="0" borderId="0" applyFont="0" applyFill="0" applyBorder="0" applyAlignment="0" applyProtection="0"/>
    <xf numFmtId="183" fontId="10" fillId="0" borderId="0" applyFont="0" applyFill="0" applyBorder="0" applyAlignment="0" applyProtection="0"/>
    <xf numFmtId="182" fontId="10" fillId="0" borderId="0" applyFont="0" applyFill="0" applyBorder="0" applyAlignment="0" applyProtection="0"/>
    <xf numFmtId="183" fontId="10" fillId="0" borderId="0" applyFont="0" applyFill="0" applyBorder="0" applyAlignment="0" applyProtection="0"/>
    <xf numFmtId="183" fontId="10" fillId="0" borderId="0" applyFont="0" applyFill="0" applyBorder="0" applyAlignment="0" applyProtection="0"/>
    <xf numFmtId="182" fontId="10" fillId="0" borderId="0" applyFont="0" applyFill="0" applyBorder="0" applyAlignment="0" applyProtection="0"/>
    <xf numFmtId="182" fontId="45" fillId="0" borderId="0" applyFont="0" applyFill="0" applyBorder="0" applyAlignment="0" applyProtection="0"/>
    <xf numFmtId="182" fontId="10" fillId="0" borderId="0" applyFont="0" applyFill="0" applyBorder="0" applyAlignment="0" applyProtection="0"/>
    <xf numFmtId="182" fontId="10" fillId="0" borderId="0" applyFont="0" applyFill="0" applyBorder="0" applyAlignment="0" applyProtection="0"/>
    <xf numFmtId="182" fontId="10" fillId="0" borderId="0" applyFont="0" applyFill="0" applyBorder="0" applyAlignment="0" applyProtection="0"/>
    <xf numFmtId="183" fontId="10" fillId="0" borderId="0" applyFont="0" applyFill="0" applyBorder="0" applyAlignment="0" applyProtection="0"/>
    <xf numFmtId="183" fontId="10" fillId="0" borderId="0" applyFont="0" applyFill="0" applyBorder="0" applyAlignment="0" applyProtection="0"/>
    <xf numFmtId="183" fontId="10" fillId="0" borderId="0" applyFont="0" applyFill="0" applyBorder="0" applyAlignment="0" applyProtection="0"/>
    <xf numFmtId="183" fontId="10" fillId="0" borderId="0" applyFont="0" applyFill="0" applyBorder="0" applyAlignment="0" applyProtection="0"/>
    <xf numFmtId="183" fontId="10" fillId="0" borderId="0" applyFont="0" applyFill="0" applyBorder="0" applyAlignment="0" applyProtection="0"/>
    <xf numFmtId="182" fontId="46" fillId="0" borderId="0" applyFont="0" applyFill="0" applyBorder="0" applyAlignment="0" applyProtection="0"/>
    <xf numFmtId="183" fontId="10" fillId="0" borderId="0" applyFont="0" applyFill="0" applyBorder="0" applyAlignment="0" applyProtection="0"/>
    <xf numFmtId="182" fontId="10" fillId="0" borderId="0" applyFont="0" applyFill="0" applyBorder="0" applyAlignment="0" applyProtection="0"/>
    <xf numFmtId="182" fontId="10" fillId="0" borderId="0" applyFont="0" applyFill="0" applyBorder="0" applyAlignment="0" applyProtection="0"/>
    <xf numFmtId="182" fontId="46" fillId="0" borderId="0" applyFont="0" applyFill="0" applyBorder="0" applyAlignment="0" applyProtection="0"/>
    <xf numFmtId="182" fontId="46" fillId="0" borderId="0" applyFont="0" applyFill="0" applyBorder="0" applyAlignment="0" applyProtection="0"/>
    <xf numFmtId="182" fontId="46" fillId="0" borderId="0" applyFont="0" applyFill="0" applyBorder="0" applyAlignment="0" applyProtection="0"/>
    <xf numFmtId="183" fontId="10" fillId="0" borderId="0" applyFont="0" applyFill="0" applyBorder="0" applyAlignment="0" applyProtection="0"/>
    <xf numFmtId="182" fontId="46" fillId="0" borderId="0" applyFont="0" applyFill="0" applyBorder="0" applyAlignment="0" applyProtection="0"/>
    <xf numFmtId="183" fontId="10" fillId="0" borderId="0" applyFont="0" applyFill="0" applyBorder="0" applyAlignment="0" applyProtection="0"/>
    <xf numFmtId="182" fontId="46" fillId="0" borderId="0" applyFont="0" applyFill="0" applyBorder="0" applyAlignment="0" applyProtection="0"/>
    <xf numFmtId="183" fontId="10" fillId="0" borderId="0" applyFont="0" applyFill="0" applyBorder="0" applyAlignment="0" applyProtection="0"/>
    <xf numFmtId="182" fontId="10" fillId="0" borderId="0" applyFont="0" applyFill="0" applyBorder="0" applyAlignment="0" applyProtection="0"/>
    <xf numFmtId="182" fontId="10" fillId="0" borderId="0" applyFont="0" applyFill="0" applyBorder="0" applyAlignment="0" applyProtection="0"/>
    <xf numFmtId="182" fontId="10" fillId="0" borderId="0" applyFont="0" applyFill="0" applyBorder="0" applyAlignment="0" applyProtection="0"/>
    <xf numFmtId="177" fontId="10" fillId="0" borderId="0" applyFont="0" applyFill="0" applyBorder="0" applyAlignment="0" applyProtection="0"/>
    <xf numFmtId="177" fontId="10" fillId="0" borderId="0" applyFont="0" applyFill="0" applyBorder="0" applyAlignment="0" applyProtection="0"/>
    <xf numFmtId="39" fontId="10" fillId="0" borderId="0" applyFont="0" applyFill="0" applyBorder="0" applyAlignment="0" applyProtection="0"/>
    <xf numFmtId="39" fontId="10" fillId="0" borderId="0" applyFont="0" applyFill="0" applyBorder="0" applyAlignment="0" applyProtection="0"/>
    <xf numFmtId="177" fontId="27" fillId="0" borderId="0" applyFont="0" applyFill="0" applyBorder="0" applyAlignment="0" applyProtection="0"/>
    <xf numFmtId="39" fontId="10" fillId="0" borderId="0" applyFont="0" applyFill="0" applyBorder="0" applyAlignment="0" applyProtection="0"/>
    <xf numFmtId="177" fontId="10" fillId="0" borderId="0" applyFont="0" applyFill="0" applyBorder="0" applyAlignment="0" applyProtection="0"/>
    <xf numFmtId="39" fontId="10" fillId="0" borderId="0" applyFont="0" applyFill="0" applyBorder="0" applyAlignment="0" applyProtection="0"/>
    <xf numFmtId="177" fontId="10" fillId="0" borderId="0" applyFont="0" applyFill="0" applyBorder="0" applyAlignment="0" applyProtection="0"/>
    <xf numFmtId="39" fontId="10" fillId="0" borderId="0" applyFont="0" applyFill="0" applyBorder="0" applyAlignment="0" applyProtection="0"/>
    <xf numFmtId="39" fontId="10" fillId="0" borderId="0" applyFont="0" applyFill="0" applyBorder="0" applyAlignment="0" applyProtection="0"/>
    <xf numFmtId="177" fontId="10" fillId="0" borderId="0" applyFont="0" applyFill="0" applyBorder="0" applyAlignment="0" applyProtection="0"/>
    <xf numFmtId="177" fontId="45" fillId="0" borderId="0" applyFont="0" applyFill="0" applyBorder="0" applyAlignment="0" applyProtection="0"/>
    <xf numFmtId="177" fontId="10" fillId="0" borderId="0" applyFont="0" applyFill="0" applyBorder="0" applyAlignment="0" applyProtection="0"/>
    <xf numFmtId="177" fontId="10" fillId="0" borderId="0" applyFont="0" applyFill="0" applyBorder="0" applyAlignment="0" applyProtection="0"/>
    <xf numFmtId="177" fontId="10" fillId="0" borderId="0" applyFont="0" applyFill="0" applyBorder="0" applyAlignment="0" applyProtection="0"/>
    <xf numFmtId="39" fontId="10" fillId="0" borderId="0" applyFont="0" applyFill="0" applyBorder="0" applyAlignment="0" applyProtection="0"/>
    <xf numFmtId="39" fontId="10" fillId="0" borderId="0" applyFont="0" applyFill="0" applyBorder="0" applyAlignment="0" applyProtection="0"/>
    <xf numFmtId="39" fontId="10" fillId="0" borderId="0" applyFont="0" applyFill="0" applyBorder="0" applyAlignment="0" applyProtection="0"/>
    <xf numFmtId="39" fontId="10" fillId="0" borderId="0" applyFont="0" applyFill="0" applyBorder="0" applyAlignment="0" applyProtection="0"/>
    <xf numFmtId="39" fontId="10" fillId="0" borderId="0" applyFont="0" applyFill="0" applyBorder="0" applyAlignment="0" applyProtection="0"/>
    <xf numFmtId="177" fontId="46" fillId="0" borderId="0" applyFont="0" applyFill="0" applyBorder="0" applyAlignment="0" applyProtection="0"/>
    <xf numFmtId="39" fontId="10" fillId="0" borderId="0" applyFont="0" applyFill="0" applyBorder="0" applyAlignment="0" applyProtection="0"/>
    <xf numFmtId="177" fontId="10" fillId="0" borderId="0" applyFont="0" applyFill="0" applyBorder="0" applyAlignment="0" applyProtection="0"/>
    <xf numFmtId="177" fontId="10" fillId="0" borderId="0" applyFont="0" applyFill="0" applyBorder="0" applyAlignment="0" applyProtection="0"/>
    <xf numFmtId="177" fontId="46" fillId="0" borderId="0" applyFont="0" applyFill="0" applyBorder="0" applyAlignment="0" applyProtection="0"/>
    <xf numFmtId="177" fontId="46" fillId="0" borderId="0" applyFont="0" applyFill="0" applyBorder="0" applyAlignment="0" applyProtection="0"/>
    <xf numFmtId="177" fontId="46" fillId="0" borderId="0" applyFont="0" applyFill="0" applyBorder="0" applyAlignment="0" applyProtection="0"/>
    <xf numFmtId="39" fontId="10" fillId="0" borderId="0" applyFont="0" applyFill="0" applyBorder="0" applyAlignment="0" applyProtection="0"/>
    <xf numFmtId="177" fontId="46" fillId="0" borderId="0" applyFont="0" applyFill="0" applyBorder="0" applyAlignment="0" applyProtection="0"/>
    <xf numFmtId="39" fontId="10" fillId="0" borderId="0" applyFont="0" applyFill="0" applyBorder="0" applyAlignment="0" applyProtection="0"/>
    <xf numFmtId="177" fontId="46" fillId="0" borderId="0" applyFont="0" applyFill="0" applyBorder="0" applyAlignment="0" applyProtection="0"/>
    <xf numFmtId="39" fontId="10" fillId="0" borderId="0" applyFont="0" applyFill="0" applyBorder="0" applyAlignment="0" applyProtection="0"/>
    <xf numFmtId="177" fontId="10" fillId="0" borderId="0" applyFont="0" applyFill="0" applyBorder="0" applyAlignment="0" applyProtection="0"/>
    <xf numFmtId="177" fontId="10" fillId="0" borderId="0" applyFont="0" applyFill="0" applyBorder="0" applyAlignment="0" applyProtection="0"/>
    <xf numFmtId="177" fontId="10" fillId="0" borderId="0" applyFont="0" applyFill="0" applyBorder="0" applyAlignment="0" applyProtection="0"/>
    <xf numFmtId="183" fontId="10" fillId="0" borderId="0" applyFont="0" applyFill="0" applyBorder="0" applyAlignment="0" applyProtection="0"/>
    <xf numFmtId="174" fontId="10" fillId="0" borderId="0" applyFont="0" applyFill="0" applyBorder="0" applyAlignment="0" applyProtection="0"/>
    <xf numFmtId="174" fontId="10" fillId="0" borderId="0" applyFont="0" applyFill="0" applyBorder="0" applyAlignment="0" applyProtection="0"/>
    <xf numFmtId="184" fontId="10" fillId="0" borderId="0" applyFont="0" applyFill="0" applyBorder="0" applyAlignment="0" applyProtection="0"/>
    <xf numFmtId="184" fontId="10" fillId="0" borderId="0" applyFont="0" applyFill="0" applyBorder="0" applyAlignment="0" applyProtection="0"/>
    <xf numFmtId="174" fontId="27" fillId="0" borderId="0" applyFont="0" applyFill="0" applyBorder="0" applyAlignment="0" applyProtection="0"/>
    <xf numFmtId="184" fontId="10" fillId="0" borderId="0" applyFont="0" applyFill="0" applyBorder="0" applyAlignment="0" applyProtection="0"/>
    <xf numFmtId="174" fontId="10" fillId="0" borderId="0" applyFont="0" applyFill="0" applyBorder="0" applyAlignment="0" applyProtection="0"/>
    <xf numFmtId="184" fontId="10" fillId="0" borderId="0" applyFont="0" applyFill="0" applyBorder="0" applyAlignment="0" applyProtection="0"/>
    <xf numFmtId="174" fontId="10" fillId="0" borderId="0" applyFont="0" applyFill="0" applyBorder="0" applyAlignment="0" applyProtection="0"/>
    <xf numFmtId="184" fontId="10" fillId="0" borderId="0" applyFont="0" applyFill="0" applyBorder="0" applyAlignment="0" applyProtection="0"/>
    <xf numFmtId="184" fontId="10" fillId="0" borderId="0" applyFont="0" applyFill="0" applyBorder="0" applyAlignment="0" applyProtection="0"/>
    <xf numFmtId="174" fontId="10" fillId="0" borderId="0" applyFont="0" applyFill="0" applyBorder="0" applyAlignment="0" applyProtection="0"/>
    <xf numFmtId="174" fontId="45" fillId="0" borderId="0" applyFont="0" applyFill="0" applyBorder="0" applyAlignment="0" applyProtection="0"/>
    <xf numFmtId="188" fontId="10" fillId="0" borderId="0" applyFont="0" applyFill="0" applyBorder="0" applyAlignment="0" applyProtection="0"/>
    <xf numFmtId="188" fontId="10" fillId="0" borderId="0" applyFont="0" applyFill="0" applyBorder="0" applyAlignment="0" applyProtection="0"/>
    <xf numFmtId="188" fontId="10" fillId="0" borderId="0" applyFont="0" applyFill="0" applyBorder="0" applyAlignment="0" applyProtection="0"/>
    <xf numFmtId="184" fontId="10" fillId="0" borderId="0" applyFont="0" applyFill="0" applyBorder="0" applyAlignment="0" applyProtection="0"/>
    <xf numFmtId="184" fontId="10" fillId="0" borderId="0" applyFont="0" applyFill="0" applyBorder="0" applyAlignment="0" applyProtection="0"/>
    <xf numFmtId="184" fontId="10" fillId="0" borderId="0" applyFont="0" applyFill="0" applyBorder="0" applyAlignment="0" applyProtection="0"/>
    <xf numFmtId="184" fontId="10" fillId="0" borderId="0" applyFont="0" applyFill="0" applyBorder="0" applyAlignment="0" applyProtection="0"/>
    <xf numFmtId="184" fontId="10" fillId="0" borderId="0" applyFont="0" applyFill="0" applyBorder="0" applyAlignment="0" applyProtection="0"/>
    <xf numFmtId="174" fontId="46" fillId="0" borderId="0" applyFont="0" applyFill="0" applyBorder="0" applyAlignment="0" applyProtection="0"/>
    <xf numFmtId="184" fontId="10" fillId="0" borderId="0" applyFont="0" applyFill="0" applyBorder="0" applyAlignment="0" applyProtection="0"/>
    <xf numFmtId="174" fontId="10" fillId="0" borderId="0" applyFont="0" applyFill="0" applyBorder="0" applyAlignment="0" applyProtection="0"/>
    <xf numFmtId="174" fontId="10" fillId="0" borderId="0" applyFont="0" applyFill="0" applyBorder="0" applyAlignment="0" applyProtection="0"/>
    <xf numFmtId="174" fontId="46" fillId="0" borderId="0" applyFont="0" applyFill="0" applyBorder="0" applyAlignment="0" applyProtection="0"/>
    <xf numFmtId="174" fontId="46" fillId="0" borderId="0" applyFont="0" applyFill="0" applyBorder="0" applyAlignment="0" applyProtection="0"/>
    <xf numFmtId="174" fontId="46" fillId="0" borderId="0" applyFont="0" applyFill="0" applyBorder="0" applyAlignment="0" applyProtection="0"/>
    <xf numFmtId="184" fontId="10" fillId="0" borderId="0" applyFont="0" applyFill="0" applyBorder="0" applyAlignment="0" applyProtection="0"/>
    <xf numFmtId="174" fontId="46" fillId="0" borderId="0" applyFont="0" applyFill="0" applyBorder="0" applyAlignment="0" applyProtection="0"/>
    <xf numFmtId="184" fontId="10" fillId="0" borderId="0" applyFont="0" applyFill="0" applyBorder="0" applyAlignment="0" applyProtection="0"/>
    <xf numFmtId="174" fontId="46" fillId="0" borderId="0" applyFont="0" applyFill="0" applyBorder="0" applyAlignment="0" applyProtection="0"/>
    <xf numFmtId="184" fontId="10" fillId="0" borderId="0" applyFont="0" applyFill="0" applyBorder="0" applyAlignment="0" applyProtection="0"/>
    <xf numFmtId="174" fontId="10" fillId="0" borderId="0" applyFont="0" applyFill="0" applyBorder="0" applyAlignment="0" applyProtection="0"/>
    <xf numFmtId="174" fontId="10" fillId="0" borderId="0" applyFont="0" applyFill="0" applyBorder="0" applyAlignment="0" applyProtection="0"/>
    <xf numFmtId="174" fontId="10" fillId="0" borderId="0" applyFont="0" applyFill="0" applyBorder="0" applyAlignment="0" applyProtection="0"/>
    <xf numFmtId="181" fontId="10" fillId="0" borderId="0" applyFont="0" applyFill="0" applyBorder="0" applyProtection="0">
      <alignment horizontal="right"/>
    </xf>
    <xf numFmtId="181" fontId="10" fillId="0" borderId="0" applyFont="0" applyFill="0" applyBorder="0" applyProtection="0">
      <alignment horizontal="right"/>
    </xf>
    <xf numFmtId="185" fontId="10" fillId="0" borderId="0" applyFont="0" applyFill="0" applyBorder="0" applyAlignment="0" applyProtection="0"/>
    <xf numFmtId="185" fontId="10" fillId="0" borderId="0" applyFont="0" applyFill="0" applyBorder="0" applyAlignment="0" applyProtection="0"/>
    <xf numFmtId="181" fontId="27" fillId="0" borderId="0" applyFont="0" applyFill="0" applyBorder="0" applyProtection="0">
      <alignment horizontal="right"/>
    </xf>
    <xf numFmtId="185" fontId="10" fillId="0" borderId="0" applyFont="0" applyFill="0" applyBorder="0" applyAlignment="0" applyProtection="0"/>
    <xf numFmtId="181" fontId="10" fillId="0" borderId="0" applyFont="0" applyFill="0" applyBorder="0" applyProtection="0">
      <alignment horizontal="right"/>
    </xf>
    <xf numFmtId="185" fontId="10" fillId="0" borderId="0" applyFont="0" applyFill="0" applyBorder="0" applyAlignment="0" applyProtection="0"/>
    <xf numFmtId="181" fontId="10" fillId="0" borderId="0" applyFont="0" applyFill="0" applyBorder="0" applyProtection="0">
      <alignment horizontal="right"/>
    </xf>
    <xf numFmtId="185" fontId="10" fillId="0" borderId="0" applyFont="0" applyFill="0" applyBorder="0" applyAlignment="0" applyProtection="0"/>
    <xf numFmtId="185" fontId="10" fillId="0" borderId="0" applyFont="0" applyFill="0" applyBorder="0" applyAlignment="0" applyProtection="0"/>
    <xf numFmtId="181" fontId="10" fillId="0" borderId="0" applyFont="0" applyFill="0" applyBorder="0" applyProtection="0">
      <alignment horizontal="right"/>
    </xf>
    <xf numFmtId="181" fontId="45" fillId="0" borderId="0" applyFont="0" applyFill="0" applyBorder="0" applyProtection="0">
      <alignment horizontal="right"/>
    </xf>
    <xf numFmtId="189" fontId="10" fillId="0" borderId="0" applyFont="0" applyFill="0" applyBorder="0" applyAlignment="0" applyProtection="0"/>
    <xf numFmtId="189" fontId="10" fillId="0" borderId="0" applyFont="0" applyFill="0" applyBorder="0" applyAlignment="0" applyProtection="0"/>
    <xf numFmtId="189" fontId="10" fillId="0" borderId="0" applyFont="0" applyFill="0" applyBorder="0" applyAlignment="0" applyProtection="0"/>
    <xf numFmtId="185" fontId="10" fillId="0" borderId="0" applyFont="0" applyFill="0" applyBorder="0" applyAlignment="0" applyProtection="0"/>
    <xf numFmtId="185" fontId="10" fillId="0" borderId="0" applyFont="0" applyFill="0" applyBorder="0" applyAlignment="0" applyProtection="0"/>
    <xf numFmtId="185" fontId="10" fillId="0" borderId="0" applyFont="0" applyFill="0" applyBorder="0" applyAlignment="0" applyProtection="0"/>
    <xf numFmtId="185" fontId="10" fillId="0" borderId="0" applyFont="0" applyFill="0" applyBorder="0" applyAlignment="0" applyProtection="0"/>
    <xf numFmtId="185" fontId="10" fillId="0" borderId="0" applyFont="0" applyFill="0" applyBorder="0" applyAlignment="0" applyProtection="0"/>
    <xf numFmtId="181" fontId="46" fillId="0" borderId="0" applyFont="0" applyFill="0" applyBorder="0" applyProtection="0">
      <alignment horizontal="right"/>
    </xf>
    <xf numFmtId="185" fontId="10" fillId="0" borderId="0" applyFont="0" applyFill="0" applyBorder="0" applyAlignment="0" applyProtection="0"/>
    <xf numFmtId="181" fontId="10" fillId="0" borderId="0" applyFont="0" applyFill="0" applyBorder="0" applyProtection="0">
      <alignment horizontal="right"/>
    </xf>
    <xf numFmtId="181" fontId="10" fillId="0" borderId="0" applyFont="0" applyFill="0" applyBorder="0" applyProtection="0">
      <alignment horizontal="right"/>
    </xf>
    <xf numFmtId="181" fontId="46" fillId="0" borderId="0" applyFont="0" applyFill="0" applyBorder="0" applyProtection="0">
      <alignment horizontal="right"/>
    </xf>
    <xf numFmtId="181" fontId="46" fillId="0" borderId="0" applyFont="0" applyFill="0" applyBorder="0" applyProtection="0">
      <alignment horizontal="right"/>
    </xf>
    <xf numFmtId="181" fontId="46" fillId="0" borderId="0" applyFont="0" applyFill="0" applyBorder="0" applyProtection="0">
      <alignment horizontal="right"/>
    </xf>
    <xf numFmtId="185" fontId="10" fillId="0" borderId="0" applyFont="0" applyFill="0" applyBorder="0" applyAlignment="0" applyProtection="0"/>
    <xf numFmtId="181" fontId="46" fillId="0" borderId="0" applyFont="0" applyFill="0" applyBorder="0" applyProtection="0">
      <alignment horizontal="right"/>
    </xf>
    <xf numFmtId="185" fontId="10" fillId="0" borderId="0" applyFont="0" applyFill="0" applyBorder="0" applyAlignment="0" applyProtection="0"/>
    <xf numFmtId="181" fontId="46" fillId="0" borderId="0" applyFont="0" applyFill="0" applyBorder="0" applyProtection="0">
      <alignment horizontal="right"/>
    </xf>
    <xf numFmtId="185" fontId="10" fillId="0" borderId="0" applyFont="0" applyFill="0" applyBorder="0" applyAlignment="0" applyProtection="0"/>
    <xf numFmtId="181" fontId="10" fillId="0" borderId="0" applyFont="0" applyFill="0" applyBorder="0" applyProtection="0">
      <alignment horizontal="right"/>
    </xf>
    <xf numFmtId="181" fontId="10" fillId="0" borderId="0" applyFont="0" applyFill="0" applyBorder="0" applyProtection="0">
      <alignment horizontal="right"/>
    </xf>
    <xf numFmtId="181" fontId="10" fillId="0" borderId="0" applyFont="0" applyFill="0" applyBorder="0" applyProtection="0">
      <alignment horizontal="right"/>
    </xf>
    <xf numFmtId="179" fontId="10" fillId="0" borderId="0" applyFont="0" applyFill="0" applyBorder="0" applyProtection="0">
      <alignment horizontal="right"/>
    </xf>
    <xf numFmtId="179" fontId="10" fillId="0" borderId="0" applyFont="0" applyFill="0" applyBorder="0" applyAlignment="0" applyProtection="0"/>
    <xf numFmtId="179" fontId="10" fillId="0" borderId="0" applyFont="0" applyFill="0" applyBorder="0" applyAlignment="0" applyProtection="0"/>
    <xf numFmtId="179" fontId="10" fillId="0" borderId="0" applyFont="0" applyFill="0" applyBorder="0" applyAlignment="0" applyProtection="0"/>
    <xf numFmtId="180" fontId="10" fillId="0" borderId="0" applyFont="0" applyFill="0" applyBorder="0" applyProtection="0">
      <alignment horizontal="right"/>
    </xf>
    <xf numFmtId="180" fontId="10" fillId="0" borderId="0" applyFont="0" applyFill="0" applyBorder="0" applyProtection="0">
      <alignment horizontal="right"/>
    </xf>
    <xf numFmtId="180" fontId="10" fillId="0" borderId="0" applyFont="0" applyFill="0" applyBorder="0" applyAlignment="0" applyProtection="0"/>
    <xf numFmtId="180" fontId="10" fillId="0" borderId="0" applyFont="0" applyFill="0" applyBorder="0" applyAlignment="0" applyProtection="0"/>
    <xf numFmtId="180" fontId="10" fillId="0" borderId="0" applyFont="0" applyFill="0" applyBorder="0" applyAlignment="0" applyProtection="0"/>
    <xf numFmtId="0" fontId="42" fillId="0" borderId="0" applyNumberFormat="0" applyFill="0" applyBorder="0" applyProtection="0">
      <alignment vertical="top"/>
    </xf>
    <xf numFmtId="0" fontId="42" fillId="0" borderId="0" applyNumberFormat="0" applyFill="0" applyBorder="0" applyAlignment="0" applyProtection="0">
      <alignment vertical="top"/>
    </xf>
    <xf numFmtId="0" fontId="42" fillId="0" borderId="0" applyNumberFormat="0" applyFill="0" applyBorder="0" applyProtection="0">
      <alignment vertical="top"/>
    </xf>
    <xf numFmtId="0" fontId="42" fillId="0" borderId="0" applyNumberFormat="0" applyFill="0" applyBorder="0" applyProtection="0">
      <alignment vertical="top"/>
    </xf>
    <xf numFmtId="0" fontId="42" fillId="0" borderId="0" applyNumberFormat="0" applyFill="0" applyBorder="0" applyProtection="0">
      <alignment vertical="top"/>
    </xf>
    <xf numFmtId="0" fontId="42" fillId="0" borderId="0" applyNumberFormat="0" applyFill="0" applyBorder="0" applyProtection="0">
      <alignment vertical="top"/>
    </xf>
    <xf numFmtId="0" fontId="42" fillId="0" borderId="0" applyNumberFormat="0" applyFill="0" applyBorder="0" applyProtection="0">
      <alignment vertical="top"/>
    </xf>
    <xf numFmtId="0" fontId="42" fillId="0" borderId="0" applyNumberFormat="0" applyFill="0" applyBorder="0" applyProtection="0">
      <alignment vertical="top"/>
    </xf>
    <xf numFmtId="0" fontId="42" fillId="0" borderId="0" applyNumberFormat="0" applyFill="0" applyBorder="0" applyProtection="0">
      <alignment vertical="top"/>
    </xf>
    <xf numFmtId="0" fontId="42" fillId="0" borderId="0" applyNumberFormat="0" applyFill="0" applyBorder="0" applyProtection="0">
      <alignment vertical="top"/>
    </xf>
    <xf numFmtId="0" fontId="26" fillId="0" borderId="2" applyNumberFormat="0" applyFill="0" applyAlignment="0" applyProtection="0"/>
    <xf numFmtId="0" fontId="26" fillId="0" borderId="28" applyNumberFormat="0" applyFill="0" applyAlignment="0" applyProtection="0"/>
    <xf numFmtId="0" fontId="26" fillId="0" borderId="2" applyNumberFormat="0" applyFill="0" applyAlignment="0" applyProtection="0"/>
    <xf numFmtId="0" fontId="26" fillId="0" borderId="2" applyNumberFormat="0" applyFill="0" applyAlignment="0" applyProtection="0"/>
    <xf numFmtId="0" fontId="44" fillId="0" borderId="0" applyNumberFormat="0" applyFill="0" applyBorder="0" applyProtection="0">
      <alignment horizontal="centerContinuous"/>
    </xf>
    <xf numFmtId="0" fontId="44" fillId="0" borderId="0" applyNumberFormat="0" applyFill="0" applyProtection="0">
      <alignment horizontal="centerContinuous"/>
    </xf>
    <xf numFmtId="0" fontId="44" fillId="0" borderId="0" applyNumberFormat="0" applyFill="0" applyBorder="0" applyProtection="0">
      <alignment horizontal="centerContinuous"/>
    </xf>
    <xf numFmtId="0" fontId="44" fillId="0" borderId="0" applyNumberFormat="0" applyFill="0" applyBorder="0" applyProtection="0">
      <alignment horizontal="centerContinuous"/>
    </xf>
    <xf numFmtId="191" fontId="63" fillId="34" borderId="0" applyNumberFormat="0" applyFont="0" applyBorder="0" applyAlignment="0">
      <alignment horizontal="right"/>
    </xf>
    <xf numFmtId="192" fontId="64" fillId="34" borderId="24" applyFont="0">
      <alignment horizontal="right"/>
    </xf>
    <xf numFmtId="0" fontId="16" fillId="0" borderId="0" applyNumberFormat="0" applyFill="0" applyBorder="0" applyAlignment="0" applyProtection="0"/>
    <xf numFmtId="0" fontId="65" fillId="0" borderId="0"/>
    <xf numFmtId="2" fontId="66" fillId="0" borderId="0" applyNumberFormat="0" applyBorder="0" applyAlignment="0"/>
    <xf numFmtId="169" fontId="67" fillId="0" borderId="0"/>
    <xf numFmtId="0" fontId="68" fillId="0" borderId="0" applyNumberFormat="0" applyFill="0" applyBorder="0" applyAlignment="0"/>
    <xf numFmtId="0" fontId="69" fillId="0" borderId="0" applyNumberFormat="0" applyFill="0" applyBorder="0" applyAlignment="0" applyProtection="0"/>
    <xf numFmtId="0" fontId="51" fillId="32" borderId="29">
      <alignment horizontal="center"/>
    </xf>
    <xf numFmtId="2" fontId="16" fillId="35" borderId="0" applyNumberFormat="0" applyFont="0" applyBorder="0" applyAlignment="0" applyProtection="0"/>
    <xf numFmtId="193" fontId="16" fillId="36" borderId="0" applyNumberFormat="0" applyFont="0" applyBorder="0" applyAlignment="0">
      <protection locked="0"/>
    </xf>
    <xf numFmtId="0" fontId="16" fillId="0" borderId="0" applyNumberFormat="0" applyFill="0" applyBorder="0" applyAlignment="0" applyProtection="0"/>
    <xf numFmtId="0" fontId="21" fillId="0" borderId="0" applyNumberFormat="0" applyFill="0" applyBorder="0" applyAlignment="0" applyProtection="0"/>
    <xf numFmtId="0" fontId="16" fillId="0" borderId="0" applyNumberFormat="0" applyFill="0" applyBorder="0" applyAlignment="0" applyProtection="0"/>
    <xf numFmtId="193" fontId="70" fillId="0" borderId="0" applyNumberFormat="0" applyFill="0" applyBorder="0" applyProtection="0">
      <alignment horizontal="right"/>
    </xf>
    <xf numFmtId="194" fontId="10" fillId="0" borderId="0">
      <protection locked="0"/>
    </xf>
    <xf numFmtId="0" fontId="71" fillId="0" borderId="0" applyNumberFormat="0" applyFill="0" applyBorder="0">
      <alignment horizontal="right"/>
    </xf>
    <xf numFmtId="38" fontId="72" fillId="0" borderId="0" applyNumberFormat="0" applyFill="0" applyBorder="0">
      <alignment vertical="center"/>
    </xf>
    <xf numFmtId="8" fontId="73" fillId="0" borderId="30">
      <protection locked="0"/>
    </xf>
    <xf numFmtId="194" fontId="10" fillId="0" borderId="0">
      <protection locked="0"/>
    </xf>
    <xf numFmtId="14" fontId="74" fillId="0" borderId="0">
      <alignment horizontal="right"/>
    </xf>
    <xf numFmtId="0" fontId="23" fillId="0" borderId="0"/>
    <xf numFmtId="195" fontId="75" fillId="0" borderId="0" applyFont="0" applyFill="0" applyBorder="0" applyAlignment="0" applyProtection="0">
      <alignment horizontal="right"/>
    </xf>
    <xf numFmtId="0" fontId="66" fillId="0" borderId="0" applyNumberFormat="0" applyAlignment="0"/>
    <xf numFmtId="196" fontId="16" fillId="37" borderId="22" applyNumberFormat="0" applyFont="0" applyBorder="0" applyAlignment="0" applyProtection="0">
      <alignment horizontal="right"/>
    </xf>
    <xf numFmtId="170" fontId="76" fillId="0" borderId="0" applyNumberFormat="0" applyFont="0" applyAlignment="0">
      <alignment vertical="center"/>
    </xf>
    <xf numFmtId="194" fontId="10" fillId="0" borderId="0">
      <protection locked="0"/>
    </xf>
    <xf numFmtId="0" fontId="77" fillId="0" borderId="0" applyNumberFormat="0" applyFill="0" applyBorder="0" applyAlignment="0" applyProtection="0"/>
    <xf numFmtId="1" fontId="16" fillId="0" borderId="0" applyNumberFormat="0" applyBorder="0" applyAlignment="0" applyProtection="0"/>
    <xf numFmtId="197" fontId="78" fillId="0" borderId="0">
      <alignment vertical="center"/>
    </xf>
    <xf numFmtId="49" fontId="77" fillId="0" borderId="0">
      <alignment horizontal="right"/>
    </xf>
    <xf numFmtId="49" fontId="79" fillId="0" borderId="0">
      <alignment horizontal="right"/>
    </xf>
    <xf numFmtId="197" fontId="80" fillId="0" borderId="0">
      <alignment vertical="center"/>
    </xf>
    <xf numFmtId="170" fontId="81" fillId="0" borderId="0" applyNumberFormat="0" applyFill="0" applyBorder="0">
      <alignment horizontal="left" vertical="center"/>
    </xf>
    <xf numFmtId="0" fontId="22" fillId="0" borderId="0"/>
    <xf numFmtId="0" fontId="36" fillId="38" borderId="0" applyNumberFormat="0" applyFont="0" applyBorder="0" applyAlignment="0" applyProtection="0"/>
    <xf numFmtId="198" fontId="10" fillId="0" borderId="0" applyNumberFormat="0" applyFill="0" applyBorder="0" applyAlignment="0" applyProtection="0"/>
    <xf numFmtId="0" fontId="82" fillId="0" borderId="0"/>
    <xf numFmtId="0" fontId="83" fillId="0" borderId="0"/>
    <xf numFmtId="38" fontId="84" fillId="0" borderId="0" applyNumberFormat="0" applyFill="0" applyBorder="0">
      <alignment horizontal="left" vertical="center"/>
    </xf>
    <xf numFmtId="170" fontId="85" fillId="0" borderId="0" applyFill="0" applyBorder="0">
      <alignment vertical="center"/>
    </xf>
    <xf numFmtId="0" fontId="86" fillId="28" borderId="0"/>
    <xf numFmtId="199" fontId="10" fillId="0" borderId="0" applyFont="0" applyFill="0" applyBorder="0" applyAlignment="0" applyProtection="0"/>
    <xf numFmtId="193" fontId="87" fillId="0" borderId="0"/>
    <xf numFmtId="0" fontId="5" fillId="0" borderId="0"/>
    <xf numFmtId="2" fontId="36" fillId="0" borderId="0" applyBorder="0" applyProtection="0"/>
    <xf numFmtId="0" fontId="10" fillId="0" borderId="0"/>
    <xf numFmtId="0" fontId="16" fillId="0" borderId="0" applyNumberFormat="0" applyFill="0" applyBorder="0" applyAlignment="0" applyProtection="0"/>
    <xf numFmtId="0" fontId="19" fillId="0" borderId="0" applyNumberFormat="0" applyFill="0" applyBorder="0" applyAlignment="0" applyProtection="0"/>
    <xf numFmtId="198" fontId="10" fillId="0" borderId="0" applyNumberFormat="0" applyFill="0" applyBorder="0" applyAlignment="0" applyProtection="0"/>
    <xf numFmtId="0" fontId="19" fillId="0" borderId="0" applyNumberFormat="0" applyFill="0" applyBorder="0" applyAlignment="0" applyProtection="0"/>
    <xf numFmtId="0" fontId="84" fillId="0" borderId="0" applyNumberFormat="0" applyFill="0" applyBorder="0" applyAlignment="0" applyProtection="0"/>
    <xf numFmtId="0" fontId="16" fillId="0" borderId="0" applyNumberFormat="0" applyFill="0" applyBorder="0" applyAlignment="0" applyProtection="0"/>
    <xf numFmtId="0" fontId="88" fillId="0" borderId="0">
      <alignment horizontal="left" vertical="top"/>
      <protection locked="0"/>
    </xf>
    <xf numFmtId="200" fontId="10" fillId="0" borderId="0" applyFill="0">
      <alignment horizontal="center" vertical="center"/>
    </xf>
    <xf numFmtId="0" fontId="30" fillId="0" borderId="0" applyNumberFormat="0" applyFill="0" applyBorder="0">
      <alignment horizontal="left"/>
    </xf>
    <xf numFmtId="190" fontId="10" fillId="0" borderId="0"/>
    <xf numFmtId="7" fontId="89" fillId="0" borderId="0" applyFont="0" applyFill="0" applyBorder="0" applyAlignment="0" applyProtection="0"/>
    <xf numFmtId="0" fontId="90" fillId="0" borderId="0" applyNumberFormat="0" applyAlignment="0"/>
    <xf numFmtId="169" fontId="10" fillId="0" borderId="0" applyFill="0" applyBorder="0" applyAlignment="0" applyProtection="0"/>
    <xf numFmtId="173" fontId="91" fillId="0" borderId="0">
      <alignment vertical="top"/>
    </xf>
    <xf numFmtId="168" fontId="36" fillId="15" borderId="27" applyNumberFormat="0" applyFont="0" applyBorder="0" applyAlignment="0" applyProtection="0">
      <alignment horizontal="center"/>
    </xf>
    <xf numFmtId="37" fontId="92" fillId="1" borderId="0">
      <alignment horizontal="right"/>
    </xf>
    <xf numFmtId="1" fontId="29" fillId="39" borderId="0" applyNumberFormat="0" applyFont="0" applyBorder="0" applyAlignment="0">
      <alignment horizontal="left"/>
    </xf>
    <xf numFmtId="2" fontId="93" fillId="0" borderId="0"/>
    <xf numFmtId="1" fontId="10" fillId="0" borderId="0"/>
    <xf numFmtId="201" fontId="94" fillId="0" borderId="0" applyNumberFormat="0" applyFill="0" applyBorder="0" applyAlignment="0" applyProtection="0">
      <alignment horizontal="right" vertical="center" wrapText="1"/>
    </xf>
    <xf numFmtId="0" fontId="95" fillId="0" borderId="0" applyNumberFormat="0" applyFill="0" applyBorder="0" applyAlignment="0" applyProtection="0"/>
    <xf numFmtId="0" fontId="96" fillId="0" borderId="0" applyNumberFormat="0" applyFill="0" applyBorder="0" applyAlignment="0" applyProtection="0">
      <protection locked="0"/>
    </xf>
    <xf numFmtId="0" fontId="97" fillId="0" borderId="22" applyNumberFormat="0" applyFill="0" applyProtection="0">
      <alignment horizontal="right"/>
    </xf>
    <xf numFmtId="6" fontId="84" fillId="0" borderId="31" applyFill="0">
      <alignment vertical="center"/>
    </xf>
    <xf numFmtId="202" fontId="16" fillId="0" borderId="0"/>
    <xf numFmtId="39" fontId="12" fillId="0" borderId="24" applyNumberFormat="0" applyBorder="0">
      <alignment horizontal="right"/>
    </xf>
    <xf numFmtId="0" fontId="97" fillId="0" borderId="32" applyNumberFormat="0" applyProtection="0">
      <alignment horizontal="right"/>
    </xf>
    <xf numFmtId="0" fontId="98" fillId="0" borderId="19" applyNumberFormat="0" applyFill="0" applyProtection="0"/>
    <xf numFmtId="0" fontId="99" fillId="0" borderId="0">
      <alignment vertical="center"/>
    </xf>
    <xf numFmtId="0" fontId="78" fillId="0" borderId="0">
      <alignment vertical="center"/>
    </xf>
    <xf numFmtId="0" fontId="80" fillId="0" borderId="0">
      <alignment vertical="center"/>
    </xf>
    <xf numFmtId="0" fontId="100" fillId="0" borderId="0" applyNumberFormat="0">
      <alignment horizontal="left"/>
    </xf>
    <xf numFmtId="0" fontId="101" fillId="0" borderId="0" applyFill="0" applyBorder="0" applyProtection="0">
      <alignment horizontal="left" vertical="top"/>
    </xf>
    <xf numFmtId="14" fontId="10" fillId="0" borderId="0" applyFill="0" applyBorder="0">
      <alignment vertical="center"/>
    </xf>
    <xf numFmtId="0" fontId="22" fillId="0" borderId="0" applyNumberFormat="0" applyFill="0" applyBorder="0" applyAlignment="0" applyProtection="0"/>
    <xf numFmtId="0" fontId="32" fillId="0" borderId="0" applyNumberFormat="0" applyFill="0" applyBorder="0" applyAlignment="0" applyProtection="0"/>
    <xf numFmtId="38" fontId="102" fillId="0" borderId="0" applyNumberFormat="0" applyFill="0" applyBorder="0">
      <alignment horizontal="left" vertical="center"/>
    </xf>
    <xf numFmtId="38" fontId="103" fillId="0" borderId="0" applyNumberFormat="0" applyFill="0" applyBorder="0">
      <alignment horizontal="centerContinuous" vertical="center"/>
    </xf>
    <xf numFmtId="0" fontId="104" fillId="0" borderId="0" applyNumberFormat="0" applyFill="0" applyBorder="0" applyAlignment="0" applyProtection="0"/>
    <xf numFmtId="0" fontId="18" fillId="0" borderId="0" applyNumberFormat="0" applyFill="0" applyBorder="0" applyAlignment="0" applyProtection="0"/>
    <xf numFmtId="168" fontId="66" fillId="0" borderId="0" applyNumberFormat="0" applyBorder="0" applyAlignment="0"/>
    <xf numFmtId="1" fontId="105" fillId="0" borderId="24" applyFill="0" applyProtection="0">
      <alignment horizontal="right"/>
    </xf>
    <xf numFmtId="172" fontId="10" fillId="0" borderId="0" applyFill="0" applyBorder="0">
      <alignment vertical="center"/>
    </xf>
    <xf numFmtId="0" fontId="5" fillId="0" borderId="0"/>
    <xf numFmtId="9" fontId="2" fillId="0" borderId="0" applyFont="0" applyFill="0" applyBorder="0" applyAlignment="0" applyProtection="0"/>
    <xf numFmtId="4" fontId="2" fillId="0" borderId="0" applyFont="0" applyFill="0" applyBorder="0" applyAlignment="0" applyProtection="0"/>
    <xf numFmtId="8" fontId="2" fillId="0" borderId="0" applyFont="0" applyFill="0" applyBorder="0" applyAlignment="0" applyProtection="0"/>
    <xf numFmtId="0" fontId="36" fillId="0" borderId="0"/>
    <xf numFmtId="9" fontId="36" fillId="0" borderId="0" applyFont="0" applyFill="0" applyBorder="0" applyAlignment="0" applyProtection="0"/>
    <xf numFmtId="0" fontId="15" fillId="0" borderId="0"/>
    <xf numFmtId="0" fontId="23" fillId="0" borderId="0"/>
    <xf numFmtId="203" fontId="23" fillId="0" borderId="0"/>
    <xf numFmtId="203" fontId="23" fillId="0" borderId="0"/>
    <xf numFmtId="0" fontId="92" fillId="0" borderId="0"/>
    <xf numFmtId="0" fontId="23" fillId="0" borderId="0" applyFont="0" applyFill="0" applyBorder="0" applyAlignment="0" applyProtection="0">
      <alignment horizontal="centerContinuous"/>
    </xf>
    <xf numFmtId="9" fontId="23" fillId="0" borderId="0"/>
    <xf numFmtId="0" fontId="23" fillId="0" borderId="0"/>
    <xf numFmtId="10" fontId="23" fillId="0" borderId="0"/>
    <xf numFmtId="9" fontId="10" fillId="0" borderId="0"/>
    <xf numFmtId="9" fontId="10" fillId="0" borderId="0"/>
    <xf numFmtId="9" fontId="10" fillId="0" borderId="0"/>
    <xf numFmtId="0" fontId="10" fillId="0" borderId="0"/>
    <xf numFmtId="0" fontId="10" fillId="0" borderId="0"/>
    <xf numFmtId="0" fontId="10" fillId="0" borderId="0"/>
    <xf numFmtId="10" fontId="10" fillId="0" borderId="0"/>
    <xf numFmtId="10" fontId="10" fillId="0" borderId="0"/>
    <xf numFmtId="10" fontId="10" fillId="0" borderId="0"/>
    <xf numFmtId="204" fontId="23" fillId="0" borderId="0" applyFont="0" applyFill="0" applyBorder="0" applyAlignment="0" applyProtection="0">
      <alignment horizontal="centerContinuous"/>
    </xf>
    <xf numFmtId="0" fontId="106" fillId="0" borderId="0" applyFont="0" applyFill="0" applyBorder="0" applyAlignment="0" applyProtection="0"/>
    <xf numFmtId="205" fontId="106" fillId="0" borderId="0" applyFont="0" applyFill="0" applyBorder="0" applyAlignment="0" applyProtection="0"/>
    <xf numFmtId="205" fontId="106" fillId="0" borderId="0" applyFont="0" applyFill="0" applyBorder="0" applyAlignment="0" applyProtection="0"/>
    <xf numFmtId="0" fontId="106" fillId="0" borderId="0" applyFont="0" applyFill="0" applyBorder="0" applyAlignment="0" applyProtection="0"/>
    <xf numFmtId="205" fontId="106" fillId="0" borderId="0" applyFont="0" applyFill="0" applyBorder="0" applyAlignment="0" applyProtection="0"/>
    <xf numFmtId="205" fontId="106" fillId="0" borderId="0" applyFont="0" applyFill="0" applyBorder="0" applyAlignment="0" applyProtection="0"/>
    <xf numFmtId="204" fontId="23" fillId="0" borderId="0" applyFont="0" applyFill="0" applyBorder="0" applyAlignment="0" applyProtection="0">
      <alignment horizontal="centerContinuous"/>
    </xf>
    <xf numFmtId="37" fontId="15" fillId="0" borderId="0"/>
    <xf numFmtId="0" fontId="15" fillId="0" borderId="0"/>
    <xf numFmtId="0" fontId="107" fillId="0" borderId="0" applyNumberFormat="0" applyFont="0" applyFill="0" applyBorder="0" applyAlignment="0" applyProtection="0"/>
    <xf numFmtId="0" fontId="10" fillId="0" borderId="0" applyNumberFormat="0" applyFont="0" applyFill="0" applyBorder="0" applyAlignment="0" applyProtection="0"/>
    <xf numFmtId="179" fontId="10"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179" fontId="10" fillId="0" borderId="0" applyFont="0" applyFill="0" applyBorder="0" applyAlignment="0" applyProtection="0"/>
    <xf numFmtId="179" fontId="10" fillId="0" borderId="0" applyFont="0" applyFill="0" applyBorder="0" applyAlignment="0" applyProtection="0"/>
    <xf numFmtId="179" fontId="10" fillId="0" borderId="0" applyFont="0" applyFill="0" applyBorder="0" applyAlignment="0" applyProtection="0"/>
    <xf numFmtId="180" fontId="10"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180" fontId="10" fillId="0" borderId="0" applyFont="0" applyFill="0" applyBorder="0" applyAlignment="0" applyProtection="0"/>
    <xf numFmtId="180" fontId="10" fillId="0" borderId="0" applyFont="0" applyFill="0" applyBorder="0" applyAlignment="0" applyProtection="0"/>
    <xf numFmtId="180" fontId="10"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173" fontId="10" fillId="0" borderId="0" applyFont="0" applyFill="0" applyBorder="0" applyAlignment="0" applyProtection="0"/>
    <xf numFmtId="173" fontId="10" fillId="0" borderId="0" applyFont="0" applyFill="0" applyBorder="0" applyAlignment="0" applyProtection="0"/>
    <xf numFmtId="0" fontId="10" fillId="0" borderId="0" applyFont="0" applyFill="0" applyBorder="0" applyAlignment="0" applyProtection="0"/>
    <xf numFmtId="173" fontId="10" fillId="0" borderId="0" applyFont="0" applyFill="0" applyBorder="0" applyAlignment="0" applyProtection="0"/>
    <xf numFmtId="173" fontId="10" fillId="0" borderId="0" applyFont="0" applyFill="0" applyBorder="0" applyAlignment="0" applyProtection="0"/>
    <xf numFmtId="0" fontId="10" fillId="0" borderId="0" applyFont="0" applyFill="0" applyBorder="0" applyAlignment="0" applyProtection="0"/>
    <xf numFmtId="175" fontId="10"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175" fontId="10" fillId="0" borderId="0" applyFont="0" applyFill="0" applyBorder="0" applyAlignment="0" applyProtection="0"/>
    <xf numFmtId="175" fontId="10" fillId="0" borderId="0" applyFont="0" applyFill="0" applyBorder="0" applyAlignment="0" applyProtection="0"/>
    <xf numFmtId="175" fontId="10" fillId="0" borderId="0" applyFont="0" applyFill="0" applyBorder="0" applyAlignment="0" applyProtection="0"/>
    <xf numFmtId="0" fontId="10" fillId="0" borderId="0" applyFont="0" applyFill="0" applyBorder="0" applyAlignment="0" applyProtection="0"/>
    <xf numFmtId="175" fontId="10"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175" fontId="10" fillId="0" borderId="0" applyFont="0" applyFill="0" applyBorder="0" applyAlignment="0" applyProtection="0"/>
    <xf numFmtId="175" fontId="10" fillId="0" borderId="0" applyFont="0" applyFill="0" applyBorder="0" applyAlignment="0" applyProtection="0"/>
    <xf numFmtId="175" fontId="10" fillId="0" borderId="0" applyFont="0" applyFill="0" applyBorder="0" applyAlignment="0" applyProtection="0"/>
    <xf numFmtId="173" fontId="10" fillId="0" borderId="0" applyFont="0" applyFill="0" applyBorder="0" applyAlignment="0" applyProtection="0"/>
    <xf numFmtId="0" fontId="10" fillId="0" borderId="0" applyFont="0" applyFill="0" applyBorder="0" applyAlignment="0" applyProtection="0"/>
    <xf numFmtId="173" fontId="10" fillId="0" borderId="0" applyFont="0" applyFill="0" applyBorder="0" applyAlignment="0" applyProtection="0"/>
    <xf numFmtId="173" fontId="10" fillId="0" borderId="0" applyFont="0" applyFill="0" applyBorder="0" applyAlignment="0" applyProtection="0"/>
    <xf numFmtId="0" fontId="10" fillId="0" borderId="0" applyFont="0" applyFill="0" applyBorder="0" applyAlignment="0" applyProtection="0"/>
    <xf numFmtId="173" fontId="10" fillId="0" borderId="0" applyFont="0" applyFill="0" applyBorder="0" applyAlignment="0" applyProtection="0"/>
    <xf numFmtId="173" fontId="10" fillId="0" borderId="0" applyFont="0" applyFill="0" applyBorder="0" applyAlignment="0" applyProtection="0"/>
    <xf numFmtId="0" fontId="10" fillId="0" borderId="0" applyFont="0" applyFill="0" applyBorder="0" applyAlignment="0" applyProtection="0"/>
    <xf numFmtId="175" fontId="10" fillId="0" borderId="0" applyFont="0" applyFill="0" applyBorder="0" applyAlignment="0" applyProtection="0"/>
    <xf numFmtId="175" fontId="10" fillId="0" borderId="0" applyFont="0" applyFill="0" applyBorder="0" applyAlignment="0" applyProtection="0"/>
    <xf numFmtId="0" fontId="10" fillId="0" borderId="0" applyFont="0" applyFill="0" applyBorder="0" applyAlignment="0" applyProtection="0"/>
    <xf numFmtId="175" fontId="10" fillId="0" borderId="0" applyFont="0" applyFill="0" applyBorder="0" applyAlignment="0" applyProtection="0"/>
    <xf numFmtId="175" fontId="10"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173" fontId="10" fillId="0" borderId="0" applyFont="0" applyFill="0" applyBorder="0" applyAlignment="0" applyProtection="0"/>
    <xf numFmtId="173" fontId="10"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173" fontId="10" fillId="0" borderId="0" applyFont="0" applyFill="0" applyBorder="0" applyAlignment="0" applyProtection="0"/>
    <xf numFmtId="173" fontId="10" fillId="0" borderId="0" applyFont="0" applyFill="0" applyBorder="0" applyAlignment="0" applyProtection="0"/>
    <xf numFmtId="173" fontId="10" fillId="0" borderId="0" applyFont="0" applyFill="0" applyBorder="0" applyAlignment="0" applyProtection="0"/>
    <xf numFmtId="0" fontId="10" fillId="0" borderId="0" applyFont="0" applyFill="0" applyBorder="0" applyAlignment="0" applyProtection="0"/>
    <xf numFmtId="175" fontId="10" fillId="0" borderId="0" applyFont="0" applyFill="0" applyBorder="0" applyAlignment="0" applyProtection="0"/>
    <xf numFmtId="175" fontId="10" fillId="0" borderId="0" applyFont="0" applyFill="0" applyBorder="0" applyAlignment="0" applyProtection="0"/>
    <xf numFmtId="0" fontId="10" fillId="0" borderId="0" applyFont="0" applyFill="0" applyBorder="0" applyAlignment="0" applyProtection="0"/>
    <xf numFmtId="175" fontId="10"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175" fontId="10" fillId="0" borderId="0" applyFont="0" applyFill="0" applyBorder="0" applyAlignment="0" applyProtection="0"/>
    <xf numFmtId="175" fontId="10" fillId="0" borderId="0" applyFont="0" applyFill="0" applyBorder="0" applyAlignment="0" applyProtection="0"/>
    <xf numFmtId="175" fontId="10"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173" fontId="10" fillId="0" borderId="0" applyFont="0" applyFill="0" applyBorder="0" applyAlignment="0" applyProtection="0"/>
    <xf numFmtId="173" fontId="10" fillId="0" borderId="0" applyFont="0" applyFill="0" applyBorder="0" applyAlignment="0" applyProtection="0"/>
    <xf numFmtId="173" fontId="10" fillId="0" borderId="0" applyFont="0" applyFill="0" applyBorder="0" applyAlignment="0" applyProtection="0"/>
    <xf numFmtId="173" fontId="10"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175" fontId="10"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175" fontId="10" fillId="0" borderId="0" applyFont="0" applyFill="0" applyBorder="0" applyAlignment="0" applyProtection="0"/>
    <xf numFmtId="175" fontId="10" fillId="0" borderId="0" applyFont="0" applyFill="0" applyBorder="0" applyAlignment="0" applyProtection="0"/>
    <xf numFmtId="175" fontId="10" fillId="0" borderId="0" applyFont="0" applyFill="0" applyBorder="0" applyAlignment="0" applyProtection="0"/>
    <xf numFmtId="0" fontId="10" fillId="0" borderId="0" applyFont="0" applyFill="0" applyBorder="0" applyAlignment="0" applyProtection="0"/>
    <xf numFmtId="173" fontId="10" fillId="0" borderId="0" applyFont="0" applyFill="0" applyBorder="0" applyAlignment="0" applyProtection="0"/>
    <xf numFmtId="173" fontId="10"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175" fontId="10" fillId="0" borderId="0" applyFont="0" applyFill="0" applyBorder="0" applyAlignment="0" applyProtection="0"/>
    <xf numFmtId="175" fontId="10"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206" fontId="10" fillId="0" borderId="0" applyFont="0" applyFill="0" applyBorder="0" applyAlignment="0" applyProtection="0"/>
    <xf numFmtId="206" fontId="10" fillId="0" borderId="0" applyFont="0" applyFill="0" applyBorder="0" applyAlignment="0" applyProtection="0"/>
    <xf numFmtId="0" fontId="10" fillId="0" borderId="0" applyFont="0" applyFill="0" applyBorder="0" applyAlignment="0" applyProtection="0"/>
    <xf numFmtId="206" fontId="10" fillId="0" borderId="0" applyFont="0" applyFill="0" applyBorder="0" applyAlignment="0" applyProtection="0"/>
    <xf numFmtId="206" fontId="10" fillId="0" borderId="0" applyFont="0" applyFill="0" applyBorder="0" applyAlignment="0" applyProtection="0"/>
    <xf numFmtId="0" fontId="10" fillId="0" borderId="0" applyFont="0" applyFill="0" applyBorder="0" applyAlignment="0" applyProtection="0"/>
    <xf numFmtId="206" fontId="10"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206" fontId="10" fillId="0" borderId="0" applyFont="0" applyFill="0" applyBorder="0" applyAlignment="0" applyProtection="0"/>
    <xf numFmtId="206" fontId="10" fillId="0" borderId="0" applyFont="0" applyFill="0" applyBorder="0" applyAlignment="0" applyProtection="0"/>
    <xf numFmtId="206" fontId="10"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206" fontId="10" fillId="0" borderId="0" applyFont="0" applyFill="0" applyBorder="0" applyAlignment="0" applyProtection="0"/>
    <xf numFmtId="206" fontId="10" fillId="0" borderId="0" applyFont="0" applyFill="0" applyBorder="0" applyAlignment="0" applyProtection="0"/>
    <xf numFmtId="206" fontId="10"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206" fontId="10" fillId="0" borderId="0" applyFont="0" applyFill="0" applyBorder="0" applyAlignment="0" applyProtection="0"/>
    <xf numFmtId="206" fontId="10" fillId="0" borderId="0" applyFont="0" applyFill="0" applyBorder="0" applyAlignment="0" applyProtection="0"/>
    <xf numFmtId="206" fontId="10"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182" fontId="10"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182" fontId="10" fillId="0" borderId="0" applyFont="0" applyFill="0" applyBorder="0" applyAlignment="0" applyProtection="0"/>
    <xf numFmtId="182" fontId="10" fillId="0" borderId="0" applyFont="0" applyFill="0" applyBorder="0" applyAlignment="0" applyProtection="0"/>
    <xf numFmtId="182" fontId="10" fillId="0" borderId="0" applyFont="0" applyFill="0" applyBorder="0" applyAlignment="0" applyProtection="0"/>
    <xf numFmtId="206" fontId="10"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206" fontId="10" fillId="0" borderId="0" applyFont="0" applyFill="0" applyBorder="0" applyAlignment="0" applyProtection="0"/>
    <xf numFmtId="206" fontId="10" fillId="0" borderId="0" applyFont="0" applyFill="0" applyBorder="0" applyAlignment="0" applyProtection="0"/>
    <xf numFmtId="206" fontId="10" fillId="0" borderId="0" applyFont="0" applyFill="0" applyBorder="0" applyAlignment="0" applyProtection="0"/>
    <xf numFmtId="0" fontId="10" fillId="0" borderId="0" applyFont="0" applyFill="0" applyBorder="0" applyAlignment="0" applyProtection="0"/>
    <xf numFmtId="182" fontId="10"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182" fontId="10" fillId="0" borderId="0" applyFont="0" applyFill="0" applyBorder="0" applyAlignment="0" applyProtection="0"/>
    <xf numFmtId="182" fontId="10" fillId="0" borderId="0" applyFont="0" applyFill="0" applyBorder="0" applyAlignment="0" applyProtection="0"/>
    <xf numFmtId="182" fontId="10" fillId="0" borderId="0" applyFont="0" applyFill="0" applyBorder="0" applyAlignment="0" applyProtection="0"/>
    <xf numFmtId="0" fontId="10" fillId="0" borderId="0" applyFont="0" applyFill="0" applyBorder="0" applyAlignment="0" applyProtection="0"/>
    <xf numFmtId="182" fontId="10"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182" fontId="10" fillId="0" borderId="0" applyFont="0" applyFill="0" applyBorder="0" applyAlignment="0" applyProtection="0"/>
    <xf numFmtId="182" fontId="10" fillId="0" borderId="0" applyFont="0" applyFill="0" applyBorder="0" applyAlignment="0" applyProtection="0"/>
    <xf numFmtId="182" fontId="10" fillId="0" borderId="0" applyFont="0" applyFill="0" applyBorder="0" applyAlignment="0" applyProtection="0"/>
    <xf numFmtId="0" fontId="10" fillId="0" borderId="0" applyFont="0" applyFill="0" applyBorder="0" applyAlignment="0" applyProtection="0"/>
    <xf numFmtId="182" fontId="10"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182" fontId="10" fillId="0" borderId="0" applyFont="0" applyFill="0" applyBorder="0" applyAlignment="0" applyProtection="0"/>
    <xf numFmtId="182" fontId="10" fillId="0" borderId="0" applyFont="0" applyFill="0" applyBorder="0" applyAlignment="0" applyProtection="0"/>
    <xf numFmtId="182" fontId="10" fillId="0" borderId="0" applyFont="0" applyFill="0" applyBorder="0" applyAlignment="0" applyProtection="0"/>
    <xf numFmtId="183" fontId="10" fillId="0" borderId="0" applyFont="0" applyFill="0" applyBorder="0" applyAlignment="0" applyProtection="0"/>
    <xf numFmtId="0" fontId="10" fillId="0" borderId="0" applyFont="0" applyFill="0" applyBorder="0" applyAlignment="0" applyProtection="0"/>
    <xf numFmtId="182" fontId="10"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182" fontId="10" fillId="0" borderId="0" applyFont="0" applyFill="0" applyBorder="0" applyAlignment="0" applyProtection="0"/>
    <xf numFmtId="182" fontId="10" fillId="0" borderId="0" applyFont="0" applyFill="0" applyBorder="0" applyAlignment="0" applyProtection="0"/>
    <xf numFmtId="182" fontId="10" fillId="0" borderId="0" applyFont="0" applyFill="0" applyBorder="0" applyAlignment="0" applyProtection="0"/>
    <xf numFmtId="0" fontId="10" fillId="0" borderId="0" applyFont="0" applyFill="0" applyBorder="0" applyAlignment="0" applyProtection="0"/>
    <xf numFmtId="183" fontId="10" fillId="0" borderId="0" applyFont="0" applyFill="0" applyBorder="0" applyAlignment="0" applyProtection="0"/>
    <xf numFmtId="183" fontId="10" fillId="0" borderId="0" applyFont="0" applyFill="0" applyBorder="0" applyAlignment="0" applyProtection="0"/>
    <xf numFmtId="0" fontId="10" fillId="0" borderId="0" applyFont="0" applyFill="0" applyBorder="0" applyAlignment="0" applyProtection="0"/>
    <xf numFmtId="183" fontId="10" fillId="0" borderId="0" applyFont="0" applyFill="0" applyBorder="0" applyAlignment="0" applyProtection="0"/>
    <xf numFmtId="183" fontId="10" fillId="0" borderId="0" applyFont="0" applyFill="0" applyBorder="0" applyAlignment="0" applyProtection="0"/>
    <xf numFmtId="0" fontId="10" fillId="0" borderId="0" applyFont="0" applyFill="0" applyBorder="0" applyAlignment="0" applyProtection="0"/>
    <xf numFmtId="182" fontId="10" fillId="0" borderId="0" applyFont="0" applyFill="0" applyBorder="0" applyAlignment="0" applyProtection="0"/>
    <xf numFmtId="182" fontId="10" fillId="0" borderId="0" applyFont="0" applyFill="0" applyBorder="0" applyAlignment="0" applyProtection="0"/>
    <xf numFmtId="0" fontId="10" fillId="0" borderId="0" applyFont="0" applyFill="0" applyBorder="0" applyAlignment="0" applyProtection="0"/>
    <xf numFmtId="182" fontId="10" fillId="0" borderId="0" applyFont="0" applyFill="0" applyBorder="0" applyAlignment="0" applyProtection="0"/>
    <xf numFmtId="182" fontId="10"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206" fontId="10"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206" fontId="10" fillId="0" borderId="0" applyFont="0" applyFill="0" applyBorder="0" applyAlignment="0" applyProtection="0"/>
    <xf numFmtId="206" fontId="10" fillId="0" borderId="0" applyFont="0" applyFill="0" applyBorder="0" applyAlignment="0" applyProtection="0"/>
    <xf numFmtId="206" fontId="10" fillId="0" borderId="0" applyFont="0" applyFill="0" applyBorder="0" applyAlignment="0" applyProtection="0"/>
    <xf numFmtId="0" fontId="10" fillId="0" borderId="0" applyFont="0" applyFill="0" applyBorder="0" applyAlignment="0" applyProtection="0"/>
    <xf numFmtId="206" fontId="10" fillId="0" borderId="0" applyFont="0" applyFill="0" applyBorder="0" applyAlignment="0" applyProtection="0"/>
    <xf numFmtId="206" fontId="10"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206" fontId="10" fillId="0" borderId="0" applyFont="0" applyFill="0" applyBorder="0" applyAlignment="0" applyProtection="0"/>
    <xf numFmtId="206" fontId="10" fillId="0" borderId="0" applyFont="0" applyFill="0" applyBorder="0" applyAlignment="0" applyProtection="0"/>
    <xf numFmtId="183" fontId="10" fillId="0" borderId="0" applyFont="0" applyFill="0" applyBorder="0" applyAlignment="0" applyProtection="0"/>
    <xf numFmtId="0" fontId="10" fillId="0" borderId="0" applyFont="0" applyFill="0" applyBorder="0" applyAlignment="0" applyProtection="0"/>
    <xf numFmtId="182" fontId="10" fillId="0" borderId="0" applyFont="0" applyFill="0" applyBorder="0" applyAlignment="0" applyProtection="0"/>
    <xf numFmtId="182" fontId="10" fillId="0" borderId="0" applyFont="0" applyFill="0" applyBorder="0" applyAlignment="0" applyProtection="0"/>
    <xf numFmtId="0" fontId="10" fillId="0" borderId="0" applyFont="0" applyFill="0" applyBorder="0" applyAlignment="0" applyProtection="0"/>
    <xf numFmtId="182" fontId="10"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182" fontId="10" fillId="0" borderId="0" applyFont="0" applyFill="0" applyBorder="0" applyAlignment="0" applyProtection="0"/>
    <xf numFmtId="182" fontId="10" fillId="0" borderId="0" applyFont="0" applyFill="0" applyBorder="0" applyAlignment="0" applyProtection="0"/>
    <xf numFmtId="182" fontId="10" fillId="0" borderId="0" applyFont="0" applyFill="0" applyBorder="0" applyAlignment="0" applyProtection="0"/>
    <xf numFmtId="0" fontId="10" fillId="0" borderId="0" applyFont="0" applyFill="0" applyBorder="0" applyAlignment="0" applyProtection="0"/>
    <xf numFmtId="182" fontId="10"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182" fontId="10" fillId="0" borderId="0" applyFont="0" applyFill="0" applyBorder="0" applyAlignment="0" applyProtection="0"/>
    <xf numFmtId="182" fontId="10" fillId="0" borderId="0" applyFont="0" applyFill="0" applyBorder="0" applyAlignment="0" applyProtection="0"/>
    <xf numFmtId="182" fontId="10" fillId="0" borderId="0" applyFont="0" applyFill="0" applyBorder="0" applyAlignment="0" applyProtection="0"/>
    <xf numFmtId="0" fontId="10" fillId="0" borderId="0" applyFont="0" applyFill="0" applyBorder="0" applyAlignment="0" applyProtection="0"/>
    <xf numFmtId="182" fontId="10"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182" fontId="10" fillId="0" borderId="0" applyFont="0" applyFill="0" applyBorder="0" applyAlignment="0" applyProtection="0"/>
    <xf numFmtId="182" fontId="10" fillId="0" borderId="0" applyFont="0" applyFill="0" applyBorder="0" applyAlignment="0" applyProtection="0"/>
    <xf numFmtId="182" fontId="10"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183" fontId="10" fillId="0" borderId="0" applyFont="0" applyFill="0" applyBorder="0" applyAlignment="0" applyProtection="0"/>
    <xf numFmtId="183" fontId="10" fillId="0" borderId="0" applyFont="0" applyFill="0" applyBorder="0" applyAlignment="0" applyProtection="0"/>
    <xf numFmtId="183" fontId="10" fillId="0" borderId="0" applyFont="0" applyFill="0" applyBorder="0" applyAlignment="0" applyProtection="0"/>
    <xf numFmtId="183" fontId="10"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182" fontId="10"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182" fontId="10" fillId="0" borderId="0" applyFont="0" applyFill="0" applyBorder="0" applyAlignment="0" applyProtection="0"/>
    <xf numFmtId="182" fontId="10" fillId="0" borderId="0" applyFont="0" applyFill="0" applyBorder="0" applyAlignment="0" applyProtection="0"/>
    <xf numFmtId="182" fontId="10" fillId="0" borderId="0" applyFont="0" applyFill="0" applyBorder="0" applyAlignment="0" applyProtection="0"/>
    <xf numFmtId="0" fontId="10" fillId="0" borderId="0" applyFont="0" applyFill="0" applyBorder="0" applyAlignment="0" applyProtection="0"/>
    <xf numFmtId="206" fontId="10" fillId="0" borderId="0" applyFont="0" applyFill="0" applyBorder="0" applyAlignment="0" applyProtection="0"/>
    <xf numFmtId="206" fontId="10"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182" fontId="10" fillId="0" borderId="0" applyFont="0" applyFill="0" applyBorder="0" applyAlignment="0" applyProtection="0"/>
    <xf numFmtId="182" fontId="10" fillId="0" borderId="0" applyFont="0" applyFill="0" applyBorder="0" applyAlignment="0" applyProtection="0"/>
    <xf numFmtId="0" fontId="10" fillId="0" borderId="0" applyFont="0" applyFill="0" applyBorder="0" applyAlignment="0" applyProtection="0"/>
    <xf numFmtId="206" fontId="10"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206" fontId="10" fillId="0" borderId="0" applyFont="0" applyFill="0" applyBorder="0" applyAlignment="0" applyProtection="0"/>
    <xf numFmtId="206" fontId="10" fillId="0" borderId="0" applyFont="0" applyFill="0" applyBorder="0" applyAlignment="0" applyProtection="0"/>
    <xf numFmtId="206" fontId="10" fillId="0" borderId="0" applyFont="0" applyFill="0" applyBorder="0" applyAlignment="0" applyProtection="0"/>
    <xf numFmtId="0" fontId="10" fillId="0" borderId="0" applyFont="0" applyFill="0" applyBorder="0" applyAlignment="0" applyProtection="0"/>
    <xf numFmtId="182" fontId="10"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182" fontId="10" fillId="0" borderId="0" applyFont="0" applyFill="0" applyBorder="0" applyAlignment="0" applyProtection="0"/>
    <xf numFmtId="182" fontId="10" fillId="0" borderId="0" applyFont="0" applyFill="0" applyBorder="0" applyAlignment="0" applyProtection="0"/>
    <xf numFmtId="182" fontId="10" fillId="0" borderId="0" applyFont="0" applyFill="0" applyBorder="0" applyAlignment="0" applyProtection="0"/>
    <xf numFmtId="0" fontId="10" fillId="0" borderId="0" applyFont="0" applyFill="0" applyBorder="0" applyAlignment="0" applyProtection="0"/>
    <xf numFmtId="182" fontId="10" fillId="0" borderId="0" applyFont="0" applyFill="0" applyBorder="0" applyAlignment="0" applyProtection="0"/>
    <xf numFmtId="182" fontId="10"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173" fontId="10" fillId="0" borderId="0" applyFont="0" applyFill="0" applyBorder="0" applyAlignment="0" applyProtection="0"/>
    <xf numFmtId="173" fontId="10" fillId="0" borderId="0" applyFont="0" applyFill="0" applyBorder="0" applyAlignment="0" applyProtection="0"/>
    <xf numFmtId="0" fontId="10" fillId="0" borderId="0" applyFont="0" applyFill="0" applyBorder="0" applyAlignment="0" applyProtection="0"/>
    <xf numFmtId="173" fontId="10" fillId="0" borderId="0" applyFont="0" applyFill="0" applyBorder="0" applyAlignment="0" applyProtection="0"/>
    <xf numFmtId="173" fontId="10" fillId="0" borderId="0" applyFont="0" applyFill="0" applyBorder="0" applyAlignment="0" applyProtection="0"/>
    <xf numFmtId="0" fontId="10" fillId="0" borderId="0" applyFont="0" applyFill="0" applyBorder="0" applyAlignment="0" applyProtection="0"/>
    <xf numFmtId="177" fontId="10"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177" fontId="10" fillId="0" borderId="0" applyFont="0" applyFill="0" applyBorder="0" applyAlignment="0" applyProtection="0"/>
    <xf numFmtId="177" fontId="10" fillId="0" borderId="0" applyFont="0" applyFill="0" applyBorder="0" applyAlignment="0" applyProtection="0"/>
    <xf numFmtId="177" fontId="10" fillId="0" borderId="0" applyFont="0" applyFill="0" applyBorder="0" applyAlignment="0" applyProtection="0"/>
    <xf numFmtId="0" fontId="10" fillId="0" borderId="0" applyFont="0" applyFill="0" applyBorder="0" applyAlignment="0" applyProtection="0"/>
    <xf numFmtId="177" fontId="10"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177" fontId="10" fillId="0" borderId="0" applyFont="0" applyFill="0" applyBorder="0" applyAlignment="0" applyProtection="0"/>
    <xf numFmtId="177" fontId="10" fillId="0" borderId="0" applyFont="0" applyFill="0" applyBorder="0" applyAlignment="0" applyProtection="0"/>
    <xf numFmtId="177" fontId="10" fillId="0" borderId="0" applyFont="0" applyFill="0" applyBorder="0" applyAlignment="0" applyProtection="0"/>
    <xf numFmtId="39" fontId="10" fillId="0" borderId="0" applyFont="0" applyFill="0" applyBorder="0" applyAlignment="0" applyProtection="0"/>
    <xf numFmtId="39" fontId="10" fillId="0" borderId="0" applyFont="0" applyFill="0" applyBorder="0" applyAlignment="0" applyProtection="0"/>
    <xf numFmtId="0" fontId="10" fillId="0" borderId="0" applyFont="0" applyFill="0" applyBorder="0" applyAlignment="0" applyProtection="0"/>
    <xf numFmtId="177" fontId="10" fillId="0" borderId="0" applyFont="0" applyFill="0" applyBorder="0" applyAlignment="0" applyProtection="0"/>
    <xf numFmtId="177" fontId="10" fillId="0" borderId="0" applyFont="0" applyFill="0" applyBorder="0" applyAlignment="0" applyProtection="0"/>
    <xf numFmtId="0" fontId="10" fillId="0" borderId="0" applyFont="0" applyFill="0" applyBorder="0" applyAlignment="0" applyProtection="0"/>
    <xf numFmtId="177" fontId="10" fillId="0" borderId="0" applyFont="0" applyFill="0" applyBorder="0" applyAlignment="0" applyProtection="0"/>
    <xf numFmtId="177" fontId="10"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173" fontId="10" fillId="0" borderId="0" applyFont="0" applyFill="0" applyBorder="0" applyAlignment="0" applyProtection="0"/>
    <xf numFmtId="173" fontId="10"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173" fontId="10" fillId="0" borderId="0" applyFont="0" applyFill="0" applyBorder="0" applyAlignment="0" applyProtection="0"/>
    <xf numFmtId="173" fontId="10" fillId="0" borderId="0" applyFont="0" applyFill="0" applyBorder="0" applyAlignment="0" applyProtection="0"/>
    <xf numFmtId="0" fontId="10" fillId="0" borderId="0" applyFont="0" applyFill="0" applyBorder="0" applyAlignment="0" applyProtection="0"/>
    <xf numFmtId="177" fontId="10" fillId="0" borderId="0" applyFont="0" applyFill="0" applyBorder="0" applyAlignment="0" applyProtection="0"/>
    <xf numFmtId="177" fontId="10" fillId="0" borderId="0" applyFont="0" applyFill="0" applyBorder="0" applyAlignment="0" applyProtection="0"/>
    <xf numFmtId="0" fontId="10" fillId="0" borderId="0" applyFont="0" applyFill="0" applyBorder="0" applyAlignment="0" applyProtection="0"/>
    <xf numFmtId="177" fontId="10"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177" fontId="10" fillId="0" borderId="0" applyFont="0" applyFill="0" applyBorder="0" applyAlignment="0" applyProtection="0"/>
    <xf numFmtId="177" fontId="10" fillId="0" borderId="0" applyFont="0" applyFill="0" applyBorder="0" applyAlignment="0" applyProtection="0"/>
    <xf numFmtId="177" fontId="10" fillId="0" borderId="0" applyFont="0" applyFill="0" applyBorder="0" applyAlignment="0" applyProtection="0"/>
    <xf numFmtId="39" fontId="10" fillId="0" borderId="0" applyFont="0" applyFill="0" applyBorder="0" applyAlignment="0" applyProtection="0"/>
    <xf numFmtId="39" fontId="10"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177" fontId="10"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177" fontId="10" fillId="0" borderId="0" applyFont="0" applyFill="0" applyBorder="0" applyAlignment="0" applyProtection="0"/>
    <xf numFmtId="177" fontId="10" fillId="0" borderId="0" applyFont="0" applyFill="0" applyBorder="0" applyAlignment="0" applyProtection="0"/>
    <xf numFmtId="177" fontId="10" fillId="0" borderId="0" applyFont="0" applyFill="0" applyBorder="0" applyAlignment="0" applyProtection="0"/>
    <xf numFmtId="0" fontId="10" fillId="0" borderId="0" applyFont="0" applyFill="0" applyBorder="0" applyAlignment="0" applyProtection="0"/>
    <xf numFmtId="173" fontId="10" fillId="0" borderId="0" applyFont="0" applyFill="0" applyBorder="0" applyAlignment="0" applyProtection="0"/>
    <xf numFmtId="173" fontId="10"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177" fontId="10" fillId="0" borderId="0" applyFont="0" applyFill="0" applyBorder="0" applyAlignment="0" applyProtection="0"/>
    <xf numFmtId="177" fontId="10" fillId="0" borderId="0" applyFont="0" applyFill="0" applyBorder="0" applyAlignment="0" applyProtection="0"/>
    <xf numFmtId="3" fontId="23" fillId="0" borderId="0"/>
    <xf numFmtId="0" fontId="23" fillId="0" borderId="0"/>
    <xf numFmtId="0" fontId="23" fillId="0" borderId="0"/>
    <xf numFmtId="0" fontId="23" fillId="0" borderId="0"/>
    <xf numFmtId="0" fontId="23" fillId="0" borderId="0"/>
    <xf numFmtId="0" fontId="23" fillId="0" borderId="0"/>
    <xf numFmtId="0" fontId="23" fillId="0" borderId="0"/>
    <xf numFmtId="207"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207" fontId="23" fillId="0" borderId="0"/>
    <xf numFmtId="0" fontId="23" fillId="0" borderId="0"/>
    <xf numFmtId="0" fontId="10"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178" fontId="10"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178" fontId="10"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178" fontId="10" fillId="0" borderId="0" applyFont="0" applyFill="0" applyBorder="0" applyAlignment="0" applyProtection="0"/>
    <xf numFmtId="0" fontId="10" fillId="0" borderId="0"/>
    <xf numFmtId="0" fontId="10" fillId="0" borderId="0"/>
    <xf numFmtId="0" fontId="15" fillId="0" borderId="0"/>
    <xf numFmtId="0" fontId="15" fillId="0" borderId="0"/>
    <xf numFmtId="0" fontId="15" fillId="0" borderId="0"/>
    <xf numFmtId="0" fontId="15" fillId="0" borderId="0"/>
    <xf numFmtId="0" fontId="15" fillId="0" borderId="0"/>
    <xf numFmtId="0" fontId="15" fillId="0" borderId="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41"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41"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41" fillId="0" borderId="0" applyNumberFormat="0" applyFill="0" applyBorder="0" applyAlignment="0" applyProtection="0"/>
    <xf numFmtId="0" fontId="10" fillId="0" borderId="0" applyNumberFormat="0" applyFill="0" applyBorder="0" applyAlignment="0" applyProtection="0"/>
    <xf numFmtId="0" fontId="41" fillId="0" borderId="0" applyNumberFormat="0" applyFill="0" applyBorder="0" applyAlignment="0" applyProtection="0"/>
    <xf numFmtId="0" fontId="41" fillId="0" borderId="0" applyNumberFormat="0" applyFill="0" applyBorder="0" applyAlignment="0" applyProtection="0"/>
    <xf numFmtId="0" fontId="10" fillId="0" borderId="0" applyNumberForma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0" fontId="10" fillId="0" borderId="0"/>
    <xf numFmtId="0" fontId="10" fillId="0" borderId="0" applyFont="0" applyFill="0" applyBorder="0" applyAlignment="0" applyProtection="0"/>
    <xf numFmtId="3" fontId="23" fillId="0" borderId="0"/>
    <xf numFmtId="0" fontId="10" fillId="0" borderId="0" applyFont="0" applyFill="0" applyBorder="0" applyAlignment="0" applyProtection="0"/>
    <xf numFmtId="0" fontId="10" fillId="0" borderId="0" applyFont="0" applyFill="0" applyBorder="0" applyAlignment="0" applyProtection="0"/>
    <xf numFmtId="193" fontId="10" fillId="0" borderId="0" applyFont="0" applyFill="0" applyBorder="0" applyAlignment="0" applyProtection="0"/>
    <xf numFmtId="193" fontId="10" fillId="0" borderId="0" applyFont="0" applyFill="0" applyBorder="0" applyAlignment="0" applyProtection="0"/>
    <xf numFmtId="0" fontId="10" fillId="0" borderId="0" applyFont="0" applyFill="0" applyBorder="0" applyAlignment="0" applyProtection="0"/>
    <xf numFmtId="193" fontId="10" fillId="0" borderId="0" applyFont="0" applyFill="0" applyBorder="0" applyAlignment="0" applyProtection="0"/>
    <xf numFmtId="193" fontId="10" fillId="0" borderId="0" applyFont="0" applyFill="0" applyBorder="0" applyAlignment="0" applyProtection="0"/>
    <xf numFmtId="0" fontId="10" fillId="0" borderId="0" applyFont="0" applyFill="0" applyBorder="0" applyAlignment="0" applyProtection="0"/>
    <xf numFmtId="174" fontId="10"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174" fontId="10" fillId="0" borderId="0" applyFont="0" applyFill="0" applyBorder="0" applyAlignment="0" applyProtection="0"/>
    <xf numFmtId="174" fontId="10" fillId="0" borderId="0" applyFont="0" applyFill="0" applyBorder="0" applyAlignment="0" applyProtection="0"/>
    <xf numFmtId="174" fontId="10" fillId="0" borderId="0" applyFont="0" applyFill="0" applyBorder="0" applyAlignment="0" applyProtection="0"/>
    <xf numFmtId="0" fontId="10" fillId="0" borderId="0" applyFont="0" applyFill="0" applyBorder="0" applyAlignment="0" applyProtection="0"/>
    <xf numFmtId="174" fontId="10"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174" fontId="10" fillId="0" borderId="0" applyFont="0" applyFill="0" applyBorder="0" applyAlignment="0" applyProtection="0"/>
    <xf numFmtId="174" fontId="10" fillId="0" borderId="0" applyFont="0" applyFill="0" applyBorder="0" applyAlignment="0" applyProtection="0"/>
    <xf numFmtId="174" fontId="10" fillId="0" borderId="0" applyFont="0" applyFill="0" applyBorder="0" applyAlignment="0" applyProtection="0"/>
    <xf numFmtId="184" fontId="10" fillId="0" borderId="0" applyFont="0" applyFill="0" applyBorder="0" applyAlignment="0" applyProtection="0"/>
    <xf numFmtId="0" fontId="10" fillId="0" borderId="0" applyFont="0" applyFill="0" applyBorder="0" applyAlignment="0" applyProtection="0"/>
    <xf numFmtId="184" fontId="10" fillId="0" borderId="0" applyFont="0" applyFill="0" applyBorder="0" applyAlignment="0" applyProtection="0"/>
    <xf numFmtId="184" fontId="10" fillId="0" borderId="0" applyFont="0" applyFill="0" applyBorder="0" applyAlignment="0" applyProtection="0"/>
    <xf numFmtId="0" fontId="10" fillId="0" borderId="0" applyFont="0" applyFill="0" applyBorder="0" applyAlignment="0" applyProtection="0"/>
    <xf numFmtId="184" fontId="10" fillId="0" borderId="0" applyFont="0" applyFill="0" applyBorder="0" applyAlignment="0" applyProtection="0"/>
    <xf numFmtId="184" fontId="10" fillId="0" borderId="0" applyFont="0" applyFill="0" applyBorder="0" applyAlignment="0" applyProtection="0"/>
    <xf numFmtId="0" fontId="10" fillId="0" borderId="0" applyFont="0" applyFill="0" applyBorder="0" applyAlignment="0" applyProtection="0"/>
    <xf numFmtId="174" fontId="10" fillId="0" borderId="0" applyFont="0" applyFill="0" applyBorder="0" applyAlignment="0" applyProtection="0"/>
    <xf numFmtId="174" fontId="10" fillId="0" borderId="0" applyFont="0" applyFill="0" applyBorder="0" applyAlignment="0" applyProtection="0"/>
    <xf numFmtId="0" fontId="10" fillId="0" borderId="0" applyFont="0" applyFill="0" applyBorder="0" applyAlignment="0" applyProtection="0"/>
    <xf numFmtId="174" fontId="10" fillId="0" borderId="0" applyFont="0" applyFill="0" applyBorder="0" applyAlignment="0" applyProtection="0"/>
    <xf numFmtId="174" fontId="10"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193" fontId="10" fillId="0" borderId="0" applyFont="0" applyFill="0" applyBorder="0" applyAlignment="0" applyProtection="0"/>
    <xf numFmtId="193" fontId="10"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193" fontId="10" fillId="0" borderId="0" applyFont="0" applyFill="0" applyBorder="0" applyAlignment="0" applyProtection="0"/>
    <xf numFmtId="193" fontId="10" fillId="0" borderId="0" applyFont="0" applyFill="0" applyBorder="0" applyAlignment="0" applyProtection="0"/>
    <xf numFmtId="184" fontId="10" fillId="0" borderId="0" applyFont="0" applyFill="0" applyBorder="0" applyAlignment="0" applyProtection="0"/>
    <xf numFmtId="0" fontId="10" fillId="0" borderId="0" applyFont="0" applyFill="0" applyBorder="0" applyAlignment="0" applyProtection="0"/>
    <xf numFmtId="174" fontId="10" fillId="0" borderId="0" applyFont="0" applyFill="0" applyBorder="0" applyAlignment="0" applyProtection="0"/>
    <xf numFmtId="174" fontId="10" fillId="0" borderId="0" applyFont="0" applyFill="0" applyBorder="0" applyAlignment="0" applyProtection="0"/>
    <xf numFmtId="0" fontId="10" fillId="0" borderId="0" applyFont="0" applyFill="0" applyBorder="0" applyAlignment="0" applyProtection="0"/>
    <xf numFmtId="174" fontId="10"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174" fontId="10" fillId="0" borderId="0" applyFont="0" applyFill="0" applyBorder="0" applyAlignment="0" applyProtection="0"/>
    <xf numFmtId="174" fontId="10" fillId="0" borderId="0" applyFont="0" applyFill="0" applyBorder="0" applyAlignment="0" applyProtection="0"/>
    <xf numFmtId="174" fontId="10"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184" fontId="10" fillId="0" borderId="0" applyFont="0" applyFill="0" applyBorder="0" applyAlignment="0" applyProtection="0"/>
    <xf numFmtId="184" fontId="10" fillId="0" borderId="0" applyFont="0" applyFill="0" applyBorder="0" applyAlignment="0" applyProtection="0"/>
    <xf numFmtId="184" fontId="10" fillId="0" borderId="0" applyFont="0" applyFill="0" applyBorder="0" applyAlignment="0" applyProtection="0"/>
    <xf numFmtId="184" fontId="10"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174" fontId="10"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174" fontId="10" fillId="0" borderId="0" applyFont="0" applyFill="0" applyBorder="0" applyAlignment="0" applyProtection="0"/>
    <xf numFmtId="174" fontId="10" fillId="0" borderId="0" applyFont="0" applyFill="0" applyBorder="0" applyAlignment="0" applyProtection="0"/>
    <xf numFmtId="174" fontId="10" fillId="0" borderId="0" applyFont="0" applyFill="0" applyBorder="0" applyAlignment="0" applyProtection="0"/>
    <xf numFmtId="0" fontId="10" fillId="0" borderId="0" applyFont="0" applyFill="0" applyBorder="0" applyAlignment="0" applyProtection="0"/>
    <xf numFmtId="193" fontId="10" fillId="0" borderId="0" applyFont="0" applyFill="0" applyBorder="0" applyAlignment="0" applyProtection="0"/>
    <xf numFmtId="193" fontId="10"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174" fontId="10" fillId="0" borderId="0" applyFont="0" applyFill="0" applyBorder="0" applyAlignment="0" applyProtection="0"/>
    <xf numFmtId="174" fontId="10"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208" fontId="10" fillId="0" borderId="0" applyFont="0" applyFill="0" applyBorder="0" applyAlignment="0" applyProtection="0"/>
    <xf numFmtId="208" fontId="10" fillId="0" borderId="0" applyFont="0" applyFill="0" applyBorder="0" applyAlignment="0" applyProtection="0"/>
    <xf numFmtId="0" fontId="10" fillId="0" borderId="0" applyFont="0" applyFill="0" applyBorder="0" applyAlignment="0" applyProtection="0"/>
    <xf numFmtId="208" fontId="10" fillId="0" borderId="0" applyFont="0" applyFill="0" applyBorder="0" applyAlignment="0" applyProtection="0"/>
    <xf numFmtId="208" fontId="10" fillId="0" borderId="0" applyFont="0" applyFill="0" applyBorder="0" applyAlignment="0" applyProtection="0"/>
    <xf numFmtId="0" fontId="10" fillId="0" borderId="0" applyFont="0" applyFill="0" applyBorder="0" applyProtection="0">
      <alignment horizontal="right"/>
    </xf>
    <xf numFmtId="181" fontId="10" fillId="0" borderId="0" applyFont="0" applyFill="0" applyBorder="0" applyProtection="0">
      <alignment horizontal="right"/>
    </xf>
    <xf numFmtId="0" fontId="10" fillId="0" borderId="0" applyFont="0" applyFill="0" applyBorder="0" applyProtection="0">
      <alignment horizontal="right"/>
    </xf>
    <xf numFmtId="0" fontId="10" fillId="0" borderId="0" applyFont="0" applyFill="0" applyBorder="0" applyProtection="0">
      <alignment horizontal="right"/>
    </xf>
    <xf numFmtId="181" fontId="10" fillId="0" borderId="0" applyFont="0" applyFill="0" applyBorder="0" applyProtection="0">
      <alignment horizontal="right"/>
    </xf>
    <xf numFmtId="181" fontId="10" fillId="0" borderId="0" applyFont="0" applyFill="0" applyBorder="0" applyProtection="0">
      <alignment horizontal="right"/>
    </xf>
    <xf numFmtId="181" fontId="10" fillId="0" borderId="0" applyFont="0" applyFill="0" applyBorder="0" applyProtection="0">
      <alignment horizontal="right"/>
    </xf>
    <xf numFmtId="0" fontId="10" fillId="0" borderId="0" applyFont="0" applyFill="0" applyBorder="0" applyProtection="0">
      <alignment horizontal="right"/>
    </xf>
    <xf numFmtId="181" fontId="10" fillId="0" borderId="0" applyFont="0" applyFill="0" applyBorder="0" applyProtection="0">
      <alignment horizontal="right"/>
    </xf>
    <xf numFmtId="0" fontId="10" fillId="0" borderId="0" applyFont="0" applyFill="0" applyBorder="0" applyProtection="0">
      <alignment horizontal="right"/>
    </xf>
    <xf numFmtId="0" fontId="10" fillId="0" borderId="0" applyFont="0" applyFill="0" applyBorder="0" applyProtection="0">
      <alignment horizontal="right"/>
    </xf>
    <xf numFmtId="181" fontId="10" fillId="0" borderId="0" applyFont="0" applyFill="0" applyBorder="0" applyProtection="0">
      <alignment horizontal="right"/>
    </xf>
    <xf numFmtId="181" fontId="10" fillId="0" borderId="0" applyFont="0" applyFill="0" applyBorder="0" applyProtection="0">
      <alignment horizontal="right"/>
    </xf>
    <xf numFmtId="181" fontId="10" fillId="0" borderId="0" applyFont="0" applyFill="0" applyBorder="0" applyProtection="0">
      <alignment horizontal="right"/>
    </xf>
    <xf numFmtId="185" fontId="10" fillId="0" borderId="0" applyFont="0" applyFill="0" applyBorder="0" applyAlignment="0" applyProtection="0"/>
    <xf numFmtId="0" fontId="10" fillId="0" borderId="0" applyFont="0" applyFill="0" applyBorder="0" applyAlignment="0" applyProtection="0"/>
    <xf numFmtId="185" fontId="10" fillId="0" borderId="0" applyFont="0" applyFill="0" applyBorder="0" applyAlignment="0" applyProtection="0"/>
    <xf numFmtId="185" fontId="10" fillId="0" borderId="0" applyFont="0" applyFill="0" applyBorder="0" applyAlignment="0" applyProtection="0"/>
    <xf numFmtId="0" fontId="10" fillId="0" borderId="0" applyFont="0" applyFill="0" applyBorder="0" applyProtection="0">
      <alignment horizontal="right"/>
    </xf>
    <xf numFmtId="181" fontId="10" fillId="0" borderId="0" applyFont="0" applyFill="0" applyBorder="0" applyProtection="0">
      <alignment horizontal="right"/>
    </xf>
    <xf numFmtId="181" fontId="10" fillId="0" borderId="0" applyFont="0" applyFill="0" applyBorder="0" applyProtection="0">
      <alignment horizontal="right"/>
    </xf>
    <xf numFmtId="0" fontId="10" fillId="0" borderId="0" applyFont="0" applyFill="0" applyBorder="0" applyProtection="0">
      <alignment horizontal="right"/>
    </xf>
    <xf numFmtId="181" fontId="10" fillId="0" borderId="0" applyFont="0" applyFill="0" applyBorder="0" applyProtection="0">
      <alignment horizontal="right"/>
    </xf>
    <xf numFmtId="181" fontId="10" fillId="0" borderId="0" applyFont="0" applyFill="0" applyBorder="0" applyProtection="0">
      <alignment horizontal="right"/>
    </xf>
    <xf numFmtId="0" fontId="10" fillId="0" borderId="0" applyFont="0" applyFill="0" applyBorder="0" applyAlignment="0" applyProtection="0"/>
    <xf numFmtId="0" fontId="10" fillId="0" borderId="0" applyFont="0" applyFill="0" applyBorder="0" applyAlignment="0" applyProtection="0"/>
    <xf numFmtId="208" fontId="10" fillId="0" borderId="0" applyFont="0" applyFill="0" applyBorder="0" applyAlignment="0" applyProtection="0"/>
    <xf numFmtId="208" fontId="10"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208" fontId="10" fillId="0" borderId="0" applyFont="0" applyFill="0" applyBorder="0" applyAlignment="0" applyProtection="0"/>
    <xf numFmtId="208" fontId="10" fillId="0" borderId="0" applyFont="0" applyFill="0" applyBorder="0" applyAlignment="0" applyProtection="0"/>
    <xf numFmtId="185" fontId="10" fillId="0" borderId="0" applyFont="0" applyFill="0" applyBorder="0" applyAlignment="0" applyProtection="0"/>
    <xf numFmtId="0" fontId="10" fillId="0" borderId="0" applyFont="0" applyFill="0" applyBorder="0" applyProtection="0">
      <alignment horizontal="right"/>
    </xf>
    <xf numFmtId="181" fontId="10" fillId="0" borderId="0" applyFont="0" applyFill="0" applyBorder="0" applyProtection="0">
      <alignment horizontal="right"/>
    </xf>
    <xf numFmtId="181" fontId="10" fillId="0" borderId="0" applyFont="0" applyFill="0" applyBorder="0" applyProtection="0">
      <alignment horizontal="right"/>
    </xf>
    <xf numFmtId="0" fontId="10" fillId="0" borderId="0" applyFont="0" applyFill="0" applyBorder="0" applyProtection="0">
      <alignment horizontal="right"/>
    </xf>
    <xf numFmtId="181" fontId="10" fillId="0" borderId="0" applyFont="0" applyFill="0" applyBorder="0" applyProtection="0">
      <alignment horizontal="right"/>
    </xf>
    <xf numFmtId="0" fontId="10" fillId="0" borderId="0" applyFont="0" applyFill="0" applyBorder="0" applyProtection="0">
      <alignment horizontal="right"/>
    </xf>
    <xf numFmtId="0" fontId="10" fillId="0" borderId="0" applyFont="0" applyFill="0" applyBorder="0" applyProtection="0">
      <alignment horizontal="right"/>
    </xf>
    <xf numFmtId="181" fontId="10" fillId="0" borderId="0" applyFont="0" applyFill="0" applyBorder="0" applyProtection="0">
      <alignment horizontal="right"/>
    </xf>
    <xf numFmtId="181" fontId="10" fillId="0" borderId="0" applyFont="0" applyFill="0" applyBorder="0" applyProtection="0">
      <alignment horizontal="right"/>
    </xf>
    <xf numFmtId="181" fontId="10" fillId="0" borderId="0" applyFont="0" applyFill="0" applyBorder="0" applyProtection="0">
      <alignment horizontal="right"/>
    </xf>
    <xf numFmtId="0" fontId="10" fillId="0" borderId="0" applyFont="0" applyFill="0" applyBorder="0" applyAlignment="0" applyProtection="0"/>
    <xf numFmtId="0" fontId="10" fillId="0" borderId="0" applyFont="0" applyFill="0" applyBorder="0" applyAlignment="0" applyProtection="0"/>
    <xf numFmtId="185" fontId="10" fillId="0" borderId="0" applyFont="0" applyFill="0" applyBorder="0" applyAlignment="0" applyProtection="0"/>
    <xf numFmtId="185" fontId="10" fillId="0" borderId="0" applyFont="0" applyFill="0" applyBorder="0" applyAlignment="0" applyProtection="0"/>
    <xf numFmtId="185" fontId="10" fillId="0" borderId="0" applyFont="0" applyFill="0" applyBorder="0" applyAlignment="0" applyProtection="0"/>
    <xf numFmtId="185" fontId="10" fillId="0" borderId="0" applyFont="0" applyFill="0" applyBorder="0" applyAlignment="0" applyProtection="0"/>
    <xf numFmtId="0" fontId="10" fillId="0" borderId="0" applyFont="0" applyFill="0" applyBorder="0" applyAlignment="0" applyProtection="0"/>
    <xf numFmtId="0" fontId="10" fillId="0" borderId="0" applyFont="0" applyFill="0" applyBorder="0" applyProtection="0">
      <alignment horizontal="right"/>
    </xf>
    <xf numFmtId="181" fontId="10" fillId="0" borderId="0" applyFont="0" applyFill="0" applyBorder="0" applyProtection="0">
      <alignment horizontal="right"/>
    </xf>
    <xf numFmtId="0" fontId="10" fillId="0" borderId="0" applyFont="0" applyFill="0" applyBorder="0" applyProtection="0">
      <alignment horizontal="right"/>
    </xf>
    <xf numFmtId="0" fontId="10" fillId="0" borderId="0" applyFont="0" applyFill="0" applyBorder="0" applyProtection="0">
      <alignment horizontal="right"/>
    </xf>
    <xf numFmtId="181" fontId="10" fillId="0" borderId="0" applyFont="0" applyFill="0" applyBorder="0" applyProtection="0">
      <alignment horizontal="right"/>
    </xf>
    <xf numFmtId="181" fontId="10" fillId="0" borderId="0" applyFont="0" applyFill="0" applyBorder="0" applyProtection="0">
      <alignment horizontal="right"/>
    </xf>
    <xf numFmtId="181" fontId="10" fillId="0" borderId="0" applyFont="0" applyFill="0" applyBorder="0" applyProtection="0">
      <alignment horizontal="right"/>
    </xf>
    <xf numFmtId="0" fontId="10" fillId="0" borderId="0" applyFont="0" applyFill="0" applyBorder="0" applyAlignment="0" applyProtection="0"/>
    <xf numFmtId="208" fontId="10" fillId="0" borderId="0" applyFont="0" applyFill="0" applyBorder="0" applyAlignment="0" applyProtection="0"/>
    <xf numFmtId="208" fontId="10" fillId="0" borderId="0" applyFont="0" applyFill="0" applyBorder="0" applyAlignment="0" applyProtection="0"/>
    <xf numFmtId="0" fontId="10" fillId="0" borderId="0" applyFont="0" applyFill="0" applyBorder="0" applyProtection="0">
      <alignment horizontal="right"/>
    </xf>
    <xf numFmtId="0" fontId="10" fillId="0" borderId="0" applyFont="0" applyFill="0" applyBorder="0" applyProtection="0">
      <alignment horizontal="right"/>
    </xf>
    <xf numFmtId="181" fontId="10" fillId="0" borderId="0" applyFont="0" applyFill="0" applyBorder="0" applyProtection="0">
      <alignment horizontal="right"/>
    </xf>
    <xf numFmtId="181" fontId="10" fillId="0" borderId="0" applyFont="0" applyFill="0" applyBorder="0" applyProtection="0">
      <alignment horizontal="right"/>
    </xf>
    <xf numFmtId="0" fontId="10" fillId="0" borderId="0" applyFont="0" applyFill="0" applyBorder="0" applyAlignment="0" applyProtection="0"/>
    <xf numFmtId="209" fontId="10" fillId="0" borderId="0" applyFont="0" applyFill="0" applyBorder="0" applyAlignment="0" applyProtection="0"/>
    <xf numFmtId="209" fontId="10"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209" fontId="10" fillId="0" borderId="0" applyFont="0" applyFill="0" applyBorder="0" applyAlignment="0" applyProtection="0"/>
    <xf numFmtId="209" fontId="10" fillId="0" borderId="0" applyFont="0" applyFill="0" applyBorder="0" applyAlignment="0" applyProtection="0"/>
    <xf numFmtId="186" fontId="10" fillId="0" borderId="0" applyFont="0" applyFill="0" applyBorder="0" applyAlignment="0" applyProtection="0"/>
    <xf numFmtId="0" fontId="10" fillId="0" borderId="0" applyFont="0" applyFill="0" applyBorder="0" applyAlignment="0" applyProtection="0"/>
    <xf numFmtId="210" fontId="10" fillId="0" borderId="0" applyFont="0" applyFill="0" applyBorder="0" applyAlignment="0" applyProtection="0"/>
    <xf numFmtId="210" fontId="10" fillId="0" borderId="0" applyFont="0" applyFill="0" applyBorder="0" applyAlignment="0" applyProtection="0"/>
    <xf numFmtId="187" fontId="10"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210" fontId="10" fillId="0" borderId="0" applyFont="0" applyFill="0" applyBorder="0" applyAlignment="0" applyProtection="0"/>
    <xf numFmtId="210" fontId="10" fillId="0" borderId="0" applyFont="0" applyFill="0" applyBorder="0" applyAlignment="0" applyProtection="0"/>
    <xf numFmtId="187" fontId="10" fillId="0" borderId="0" applyFont="0" applyFill="0" applyBorder="0" applyAlignment="0" applyProtection="0"/>
    <xf numFmtId="0" fontId="10" fillId="0" borderId="0"/>
    <xf numFmtId="0" fontId="10" fillId="0" borderId="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42" fillId="0" borderId="0" applyNumberFormat="0" applyFill="0" applyBorder="0" applyProtection="0">
      <alignment vertical="top"/>
    </xf>
    <xf numFmtId="0" fontId="10" fillId="0" borderId="0" applyNumberFormat="0" applyFill="0" applyBorder="0" applyAlignment="0" applyProtection="0"/>
    <xf numFmtId="0" fontId="10" fillId="0" borderId="0" applyNumberFormat="0" applyFill="0" applyBorder="0" applyAlignment="0" applyProtection="0"/>
    <xf numFmtId="0" fontId="42" fillId="0" borderId="0" applyNumberFormat="0" applyFill="0" applyBorder="0" applyProtection="0">
      <alignment vertical="top"/>
    </xf>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42" fillId="0" borderId="0" applyNumberFormat="0" applyFill="0" applyBorder="0" applyProtection="0">
      <alignment vertical="top"/>
    </xf>
    <xf numFmtId="0" fontId="10" fillId="0" borderId="0" applyNumberFormat="0" applyFill="0" applyBorder="0" applyAlignment="0" applyProtection="0"/>
    <xf numFmtId="0" fontId="42" fillId="0" borderId="0" applyNumberFormat="0" applyFill="0" applyBorder="0" applyProtection="0">
      <alignment vertical="top"/>
    </xf>
    <xf numFmtId="0" fontId="42" fillId="0" borderId="0" applyNumberFormat="0" applyFill="0" applyBorder="0" applyProtection="0">
      <alignment vertical="top"/>
    </xf>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26" fillId="0" borderId="2" applyNumberFormat="0" applyFill="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26" fillId="0" borderId="2" applyNumberFormat="0" applyFill="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26" fillId="0" borderId="2" applyNumberFormat="0" applyFill="0" applyAlignment="0" applyProtection="0"/>
    <xf numFmtId="0" fontId="10" fillId="0" borderId="0" applyNumberFormat="0" applyFill="0" applyBorder="0" applyAlignment="0" applyProtection="0"/>
    <xf numFmtId="0" fontId="26" fillId="0" borderId="2" applyNumberFormat="0" applyFill="0" applyAlignment="0" applyProtection="0"/>
    <xf numFmtId="0" fontId="26" fillId="0" borderId="2" applyNumberFormat="0" applyFill="0" applyAlignment="0" applyProtection="0"/>
    <xf numFmtId="0" fontId="10" fillId="0" borderId="0" applyNumberFormat="0" applyFill="0" applyBorder="0" applyAlignment="0" applyProtection="0"/>
    <xf numFmtId="0" fontId="10" fillId="0" borderId="3" applyNumberFormat="0" applyFill="0" applyProtection="0">
      <alignment horizontal="center"/>
    </xf>
    <xf numFmtId="0" fontId="10" fillId="0" borderId="3" applyNumberFormat="0" applyFill="0" applyProtection="0">
      <alignment horizontal="center"/>
    </xf>
    <xf numFmtId="0" fontId="10" fillId="0" borderId="3" applyNumberFormat="0" applyFill="0" applyProtection="0">
      <alignment horizontal="center"/>
    </xf>
    <xf numFmtId="0" fontId="43" fillId="0" borderId="3" applyNumberFormat="0" applyFill="0" applyProtection="0">
      <alignment horizontal="center"/>
    </xf>
    <xf numFmtId="0" fontId="10" fillId="0" borderId="3" applyNumberFormat="0" applyFill="0" applyProtection="0">
      <alignment horizontal="center"/>
    </xf>
    <xf numFmtId="0" fontId="10" fillId="0" borderId="3" applyNumberFormat="0" applyFill="0" applyProtection="0">
      <alignment horizontal="center"/>
    </xf>
    <xf numFmtId="0" fontId="43" fillId="0" borderId="3" applyNumberFormat="0" applyFill="0" applyProtection="0">
      <alignment horizontal="center"/>
    </xf>
    <xf numFmtId="0" fontId="10" fillId="0" borderId="3" applyNumberFormat="0" applyFill="0" applyProtection="0">
      <alignment horizontal="center"/>
    </xf>
    <xf numFmtId="0" fontId="10" fillId="0" borderId="3" applyNumberFormat="0" applyFill="0" applyProtection="0">
      <alignment horizontal="center"/>
    </xf>
    <xf numFmtId="0" fontId="10" fillId="0" borderId="3" applyNumberFormat="0" applyFill="0" applyProtection="0">
      <alignment horizontal="center"/>
    </xf>
    <xf numFmtId="0" fontId="10" fillId="0" borderId="3" applyNumberFormat="0" applyFill="0" applyProtection="0">
      <alignment horizontal="center"/>
    </xf>
    <xf numFmtId="0" fontId="10" fillId="0" borderId="3" applyNumberFormat="0" applyFill="0" applyProtection="0">
      <alignment horizontal="center"/>
    </xf>
    <xf numFmtId="0" fontId="10" fillId="0" borderId="3" applyNumberFormat="0" applyFill="0" applyProtection="0">
      <alignment horizontal="center"/>
    </xf>
    <xf numFmtId="0" fontId="10" fillId="0" borderId="3" applyNumberFormat="0" applyFill="0" applyProtection="0">
      <alignment horizontal="center"/>
    </xf>
    <xf numFmtId="0" fontId="10" fillId="0" borderId="3" applyNumberFormat="0" applyFill="0" applyProtection="0">
      <alignment horizontal="center"/>
    </xf>
    <xf numFmtId="0" fontId="43" fillId="0" borderId="3" applyNumberFormat="0" applyFill="0" applyProtection="0">
      <alignment horizontal="center"/>
    </xf>
    <xf numFmtId="0" fontId="10" fillId="0" borderId="3" applyNumberFormat="0" applyFill="0" applyProtection="0">
      <alignment horizontal="center"/>
    </xf>
    <xf numFmtId="0" fontId="43" fillId="0" borderId="3" applyNumberFormat="0" applyFill="0" applyProtection="0">
      <alignment horizontal="center"/>
    </xf>
    <xf numFmtId="0" fontId="43" fillId="0" borderId="3" applyNumberFormat="0" applyFill="0" applyProtection="0">
      <alignment horizontal="center"/>
    </xf>
    <xf numFmtId="0" fontId="10" fillId="0" borderId="3" applyNumberFormat="0" applyFill="0" applyProtection="0">
      <alignment horizontal="center"/>
    </xf>
    <xf numFmtId="0" fontId="10" fillId="0" borderId="33" applyNumberFormat="0" applyFont="0" applyFill="0" applyAlignment="0" applyProtection="0"/>
    <xf numFmtId="0" fontId="10" fillId="0" borderId="0" applyNumberFormat="0" applyFill="0" applyBorder="0" applyProtection="0">
      <alignment horizontal="left"/>
    </xf>
    <xf numFmtId="0" fontId="10" fillId="0" borderId="0" applyNumberFormat="0" applyFill="0" applyBorder="0" applyProtection="0">
      <alignment horizontal="left"/>
    </xf>
    <xf numFmtId="0" fontId="10" fillId="0" borderId="0" applyNumberFormat="0" applyFill="0" applyBorder="0" applyProtection="0">
      <alignment horizontal="left"/>
    </xf>
    <xf numFmtId="0" fontId="43" fillId="0" borderId="0" applyNumberFormat="0" applyFill="0" applyBorder="0" applyProtection="0">
      <alignment horizontal="left"/>
    </xf>
    <xf numFmtId="0" fontId="10" fillId="0" borderId="0" applyNumberFormat="0" applyFill="0" applyBorder="0" applyProtection="0">
      <alignment horizontal="left"/>
    </xf>
    <xf numFmtId="0" fontId="10" fillId="0" borderId="0" applyNumberFormat="0" applyFill="0" applyBorder="0" applyProtection="0">
      <alignment horizontal="left"/>
    </xf>
    <xf numFmtId="0" fontId="43" fillId="0" borderId="0" applyNumberFormat="0" applyFill="0" applyBorder="0" applyProtection="0">
      <alignment horizontal="left"/>
    </xf>
    <xf numFmtId="0" fontId="10" fillId="0" borderId="0" applyNumberFormat="0" applyFill="0" applyBorder="0" applyProtection="0">
      <alignment horizontal="left"/>
    </xf>
    <xf numFmtId="0" fontId="10" fillId="0" borderId="0" applyNumberFormat="0" applyFill="0" applyBorder="0" applyProtection="0">
      <alignment horizontal="left"/>
    </xf>
    <xf numFmtId="0" fontId="10" fillId="0" borderId="0" applyNumberFormat="0" applyFill="0" applyBorder="0" applyProtection="0">
      <alignment horizontal="left"/>
    </xf>
    <xf numFmtId="0" fontId="10" fillId="0" borderId="0" applyNumberFormat="0" applyFill="0" applyBorder="0" applyProtection="0">
      <alignment horizontal="left"/>
    </xf>
    <xf numFmtId="0" fontId="10" fillId="0" borderId="0" applyNumberFormat="0" applyFill="0" applyBorder="0" applyProtection="0">
      <alignment horizontal="left"/>
    </xf>
    <xf numFmtId="0" fontId="10" fillId="0" borderId="0" applyNumberFormat="0" applyFill="0" applyBorder="0" applyProtection="0">
      <alignment horizontal="left"/>
    </xf>
    <xf numFmtId="0" fontId="10" fillId="0" borderId="0" applyNumberFormat="0" applyFill="0" applyBorder="0" applyProtection="0">
      <alignment horizontal="left"/>
    </xf>
    <xf numFmtId="0" fontId="10" fillId="0" borderId="0" applyNumberFormat="0" applyFill="0" applyBorder="0" applyProtection="0">
      <alignment horizontal="left"/>
    </xf>
    <xf numFmtId="0" fontId="43" fillId="0" borderId="0" applyNumberFormat="0" applyFill="0" applyBorder="0" applyProtection="0">
      <alignment horizontal="left"/>
    </xf>
    <xf numFmtId="0" fontId="10" fillId="0" borderId="0" applyNumberFormat="0" applyFill="0" applyBorder="0" applyProtection="0">
      <alignment horizontal="left"/>
    </xf>
    <xf numFmtId="0" fontId="43" fillId="0" borderId="0" applyNumberFormat="0" applyFill="0" applyBorder="0" applyProtection="0">
      <alignment horizontal="left"/>
    </xf>
    <xf numFmtId="0" fontId="43" fillId="0" borderId="0" applyNumberFormat="0" applyFill="0" applyBorder="0" applyProtection="0">
      <alignment horizontal="left"/>
    </xf>
    <xf numFmtId="0" fontId="10" fillId="0" borderId="0" applyNumberFormat="0" applyFill="0" applyBorder="0" applyProtection="0">
      <alignment horizontal="left"/>
    </xf>
    <xf numFmtId="0" fontId="10" fillId="0" borderId="0" applyNumberFormat="0" applyFill="0" applyBorder="0" applyProtection="0">
      <alignment horizontal="centerContinuous"/>
    </xf>
    <xf numFmtId="0" fontId="10" fillId="0" borderId="0" applyNumberFormat="0" applyFill="0" applyBorder="0" applyProtection="0">
      <alignment horizontal="centerContinuous"/>
    </xf>
    <xf numFmtId="0" fontId="10" fillId="0" borderId="0" applyNumberFormat="0" applyFill="0" applyBorder="0" applyProtection="0">
      <alignment horizontal="centerContinuous"/>
    </xf>
    <xf numFmtId="0" fontId="44" fillId="0" borderId="0" applyNumberFormat="0" applyFill="0" applyBorder="0" applyProtection="0">
      <alignment horizontal="centerContinuous"/>
    </xf>
    <xf numFmtId="0" fontId="10" fillId="0" borderId="0" applyNumberFormat="0" applyFill="0" applyBorder="0" applyProtection="0">
      <alignment horizontal="centerContinuous"/>
    </xf>
    <xf numFmtId="0" fontId="10" fillId="0" borderId="0" applyNumberFormat="0" applyFill="0" applyBorder="0" applyProtection="0">
      <alignment horizontal="centerContinuous"/>
    </xf>
    <xf numFmtId="0" fontId="44" fillId="0" borderId="0" applyNumberFormat="0" applyFill="0" applyBorder="0" applyProtection="0">
      <alignment horizontal="centerContinuous"/>
    </xf>
    <xf numFmtId="0" fontId="10" fillId="0" borderId="0" applyNumberFormat="0" applyFill="0" applyBorder="0" applyProtection="0">
      <alignment horizontal="centerContinuous"/>
    </xf>
    <xf numFmtId="0" fontId="10" fillId="0" borderId="0" applyNumberFormat="0" applyFill="0" applyBorder="0" applyProtection="0">
      <alignment horizontal="centerContinuous"/>
    </xf>
    <xf numFmtId="0" fontId="10" fillId="0" borderId="0" applyNumberFormat="0" applyFill="0" applyBorder="0" applyProtection="0">
      <alignment horizontal="centerContinuous"/>
    </xf>
    <xf numFmtId="0" fontId="10" fillId="0" borderId="0" applyNumberFormat="0" applyFill="0" applyBorder="0" applyProtection="0">
      <alignment horizontal="centerContinuous"/>
    </xf>
    <xf numFmtId="0" fontId="10" fillId="0" borderId="0" applyNumberFormat="0" applyFill="0" applyBorder="0" applyProtection="0">
      <alignment horizontal="centerContinuous"/>
    </xf>
    <xf numFmtId="0" fontId="10" fillId="0" borderId="0" applyNumberFormat="0" applyFill="0" applyBorder="0" applyProtection="0">
      <alignment horizontal="centerContinuous"/>
    </xf>
    <xf numFmtId="0" fontId="10" fillId="0" borderId="0" applyNumberFormat="0" applyFill="0" applyBorder="0" applyProtection="0">
      <alignment horizontal="centerContinuous"/>
    </xf>
    <xf numFmtId="0" fontId="10" fillId="0" borderId="0" applyNumberFormat="0" applyFill="0" applyBorder="0" applyProtection="0">
      <alignment horizontal="centerContinuous"/>
    </xf>
    <xf numFmtId="0" fontId="44" fillId="0" borderId="0" applyNumberFormat="0" applyFill="0" applyBorder="0" applyProtection="0">
      <alignment horizontal="centerContinuous"/>
    </xf>
    <xf numFmtId="0" fontId="10" fillId="0" borderId="0" applyNumberFormat="0" applyFill="0" applyBorder="0" applyProtection="0">
      <alignment horizontal="centerContinuous"/>
    </xf>
    <xf numFmtId="0" fontId="44" fillId="0" borderId="0" applyNumberFormat="0" applyFill="0" applyBorder="0" applyProtection="0">
      <alignment horizontal="centerContinuous"/>
    </xf>
    <xf numFmtId="0" fontId="44" fillId="0" borderId="0" applyNumberFormat="0" applyFill="0" applyBorder="0" applyProtection="0">
      <alignment horizontal="centerContinuous"/>
    </xf>
    <xf numFmtId="0" fontId="10" fillId="0" borderId="0" applyNumberFormat="0" applyFill="0" applyBorder="0" applyProtection="0">
      <alignment horizontal="centerContinuous"/>
    </xf>
    <xf numFmtId="0" fontId="92" fillId="0" borderId="0"/>
    <xf numFmtId="0" fontId="10" fillId="0" borderId="0"/>
    <xf numFmtId="0" fontId="10" fillId="0" borderId="0"/>
    <xf numFmtId="9" fontId="92" fillId="0" borderId="0" applyFont="0" applyFill="0" applyBorder="0" applyAlignment="0" applyProtection="0"/>
    <xf numFmtId="0" fontId="38" fillId="0" borderId="0" applyFont="0" applyFill="0" applyBorder="0" applyAlignment="0" applyProtection="0">
      <alignment horizontal="right"/>
    </xf>
    <xf numFmtId="0" fontId="108" fillId="0" borderId="0"/>
    <xf numFmtId="168" fontId="38" fillId="0" borderId="0" applyFont="0" applyFill="0" applyBorder="0" applyAlignment="0" applyProtection="0">
      <alignment horizontal="right"/>
    </xf>
    <xf numFmtId="10" fontId="92" fillId="0" borderId="0" applyFont="0" applyFill="0" applyBorder="0" applyAlignment="0" applyProtection="0"/>
    <xf numFmtId="0" fontId="97" fillId="0" borderId="0" applyFont="0" applyBorder="0" applyAlignment="0">
      <alignment horizontal="centerContinuous"/>
    </xf>
    <xf numFmtId="0" fontId="75" fillId="0" borderId="0" applyFont="0" applyFill="0" applyBorder="0" applyAlignment="0" applyProtection="0">
      <alignment horizontal="right"/>
    </xf>
    <xf numFmtId="0" fontId="89" fillId="0" borderId="0" applyNumberFormat="0" applyBorder="0" applyAlignment="0"/>
    <xf numFmtId="0" fontId="92" fillId="0" borderId="0" applyFont="0" applyFill="0" applyBorder="0" applyAlignment="0" applyProtection="0"/>
    <xf numFmtId="3" fontId="15" fillId="0" borderId="0"/>
    <xf numFmtId="0" fontId="10" fillId="0" borderId="0" applyBorder="0"/>
    <xf numFmtId="39" fontId="39" fillId="0" borderId="0" applyFont="0" applyFill="0" applyBorder="0" applyAlignment="0" applyProtection="0"/>
    <xf numFmtId="0" fontId="39" fillId="0" borderId="0" applyFont="0" applyFill="0" applyBorder="0" applyAlignment="0" applyProtection="0"/>
    <xf numFmtId="0" fontId="109" fillId="0" borderId="34">
      <alignment horizontal="right"/>
    </xf>
    <xf numFmtId="0" fontId="110" fillId="0" borderId="0" applyNumberFormat="0" applyFill="0" applyProtection="0"/>
    <xf numFmtId="0" fontId="111" fillId="0" borderId="0"/>
    <xf numFmtId="0" fontId="111" fillId="0" borderId="0"/>
    <xf numFmtId="173" fontId="109" fillId="0" borderId="34">
      <alignment horizontal="right"/>
    </xf>
    <xf numFmtId="173" fontId="109" fillId="0" borderId="34">
      <alignment horizontal="right"/>
    </xf>
    <xf numFmtId="0" fontId="112" fillId="0" borderId="0" applyNumberFormat="0" applyAlignment="0"/>
    <xf numFmtId="0" fontId="113" fillId="0" borderId="0" applyNumberFormat="0" applyAlignment="0"/>
    <xf numFmtId="0" fontId="114" fillId="0" borderId="0" applyNumberFormat="0" applyAlignment="0"/>
    <xf numFmtId="0" fontId="115" fillId="0" borderId="0" applyNumberFormat="0" applyAlignment="0"/>
    <xf numFmtId="0" fontId="47" fillId="0" borderId="0">
      <protection locked="0"/>
    </xf>
    <xf numFmtId="0" fontId="116" fillId="0" borderId="0" applyNumberFormat="0" applyFont="0" applyAlignment="0"/>
    <xf numFmtId="0" fontId="10" fillId="0" borderId="0"/>
    <xf numFmtId="0" fontId="117" fillId="0" borderId="0" applyNumberFormat="0" applyFill="0" applyBorder="0" applyProtection="0"/>
    <xf numFmtId="0" fontId="118" fillId="0" borderId="0" applyFill="0" applyBorder="0" applyAlignment="0" applyProtection="0">
      <protection locked="0"/>
    </xf>
    <xf numFmtId="38" fontId="16" fillId="0" borderId="0"/>
    <xf numFmtId="0" fontId="16" fillId="0" borderId="35" applyNumberFormat="0" applyFont="0" applyFill="0" applyAlignment="0" applyProtection="0"/>
    <xf numFmtId="0" fontId="119" fillId="0" borderId="20" applyNumberFormat="0" applyFill="0" applyAlignment="0" applyProtection="0">
      <alignment horizontal="center"/>
    </xf>
    <xf numFmtId="0" fontId="10" fillId="0" borderId="0" applyFont="0" applyFill="0" applyBorder="0" applyAlignment="0" applyProtection="0"/>
    <xf numFmtId="0" fontId="120" fillId="0" borderId="0"/>
    <xf numFmtId="0" fontId="10" fillId="0" borderId="0" applyFill="0" applyBorder="0" applyAlignment="0"/>
    <xf numFmtId="0" fontId="118" fillId="0" borderId="0" applyFont="0" applyFill="0" applyBorder="0" applyAlignment="0" applyProtection="0">
      <protection locked="0"/>
    </xf>
    <xf numFmtId="0" fontId="19" fillId="40" borderId="36" applyFont="0" applyFill="0" applyBorder="0"/>
    <xf numFmtId="0" fontId="16" fillId="0" borderId="14"/>
    <xf numFmtId="49" fontId="121" fillId="0" borderId="0">
      <alignment horizontal="right" vertical="center"/>
    </xf>
    <xf numFmtId="49" fontId="122" fillId="0" borderId="0">
      <alignment horizontal="right" vertical="center"/>
    </xf>
    <xf numFmtId="0" fontId="10" fillId="0" borderId="0" applyNumberFormat="0" applyFont="0" applyFill="0" applyBorder="0" applyAlignment="0" applyProtection="0"/>
    <xf numFmtId="0" fontId="12" fillId="0" borderId="0" applyNumberFormat="0" applyFont="0" applyFill="0" applyBorder="0" applyAlignment="0" applyProtection="0"/>
    <xf numFmtId="0" fontId="10" fillId="0" borderId="0">
      <alignment horizontal="center" wrapText="1"/>
      <protection hidden="1"/>
    </xf>
    <xf numFmtId="0" fontId="10" fillId="0" borderId="24" applyNumberFormat="0" applyFill="0" applyProtection="0">
      <alignment horizontal="right"/>
    </xf>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23" fillId="0" borderId="0"/>
    <xf numFmtId="0" fontId="118" fillId="0" borderId="0"/>
    <xf numFmtId="38" fontId="124" fillId="0" borderId="0">
      <alignment horizontal="center"/>
      <protection locked="0"/>
    </xf>
    <xf numFmtId="0" fontId="91" fillId="0" borderId="0" applyFont="0" applyFill="0" applyBorder="0" applyAlignment="0" applyProtection="0">
      <alignment horizontal="right"/>
    </xf>
    <xf numFmtId="0" fontId="125" fillId="0" borderId="0" applyFont="0" applyFill="0" applyBorder="0" applyAlignment="0" applyProtection="0"/>
    <xf numFmtId="0" fontId="66" fillId="0" borderId="0" applyFill="0" applyBorder="0" applyProtection="0"/>
    <xf numFmtId="0" fontId="91" fillId="0" borderId="0" applyFont="0" applyFill="0" applyBorder="0" applyAlignment="0" applyProtection="0">
      <alignment horizontal="right"/>
    </xf>
    <xf numFmtId="0" fontId="126" fillId="0" borderId="0" applyFont="0" applyFill="0" applyBorder="0">
      <alignment horizontal="right"/>
    </xf>
    <xf numFmtId="0" fontId="10" fillId="0" borderId="37" applyFill="0" applyBorder="0" applyProtection="0"/>
    <xf numFmtId="0" fontId="126" fillId="0" borderId="0" applyFont="0" applyFill="0" applyBorder="0" applyAlignment="0"/>
    <xf numFmtId="0" fontId="127" fillId="29" borderId="22" applyFont="0" applyFill="0" applyBorder="0" applyAlignment="0"/>
    <xf numFmtId="0" fontId="128" fillId="41" borderId="0">
      <alignment horizontal="center" vertical="center" wrapText="1"/>
    </xf>
    <xf numFmtId="0" fontId="10" fillId="0" borderId="0" applyNumberFormat="0" applyAlignment="0">
      <alignment horizontal="left"/>
    </xf>
    <xf numFmtId="0" fontId="129" fillId="0" borderId="0">
      <alignment horizontal="left"/>
    </xf>
    <xf numFmtId="0" fontId="130" fillId="0" borderId="0"/>
    <xf numFmtId="0" fontId="131" fillId="0" borderId="0">
      <alignment horizontal="left"/>
    </xf>
    <xf numFmtId="0" fontId="10" fillId="0" borderId="0" applyFill="0" applyBorder="0">
      <alignment horizontal="right"/>
      <protection locked="0"/>
    </xf>
    <xf numFmtId="0" fontId="23" fillId="0" borderId="0"/>
    <xf numFmtId="38" fontId="16" fillId="0" borderId="14" applyBorder="0"/>
    <xf numFmtId="6" fontId="23" fillId="0" borderId="0"/>
    <xf numFmtId="0" fontId="10" fillId="0" borderId="0"/>
    <xf numFmtId="0" fontId="132" fillId="0" borderId="0" applyFont="0" applyFill="0" applyBorder="0"/>
    <xf numFmtId="0" fontId="133" fillId="0" borderId="0" applyFont="0" applyFill="0" applyBorder="0" applyAlignment="0"/>
    <xf numFmtId="0" fontId="134" fillId="0" borderId="19" applyFont="0" applyFill="0" applyBorder="0" applyAlignment="0"/>
    <xf numFmtId="0" fontId="125" fillId="0" borderId="0" applyFill="0" applyBorder="0" applyProtection="0">
      <alignment vertical="center"/>
    </xf>
    <xf numFmtId="0" fontId="10" fillId="23" borderId="0" applyFont="0" applyBorder="0"/>
    <xf numFmtId="0" fontId="135" fillId="0" borderId="24" applyNumberFormat="0" applyFill="0" applyBorder="0" applyProtection="0"/>
    <xf numFmtId="3" fontId="10" fillId="0" borderId="0"/>
    <xf numFmtId="0" fontId="10" fillId="0" borderId="0"/>
    <xf numFmtId="4" fontId="10" fillId="0" borderId="0"/>
    <xf numFmtId="3" fontId="10" fillId="0" borderId="0"/>
    <xf numFmtId="0" fontId="10" fillId="0" borderId="0"/>
    <xf numFmtId="4" fontId="10" fillId="0" borderId="0"/>
    <xf numFmtId="38" fontId="20" fillId="26" borderId="34">
      <protection locked="0"/>
    </xf>
    <xf numFmtId="17" fontId="19" fillId="0" borderId="0" applyFill="0" applyBorder="0">
      <alignment horizontal="right"/>
    </xf>
    <xf numFmtId="17" fontId="25" fillId="0" borderId="23">
      <alignment horizontal="right"/>
    </xf>
    <xf numFmtId="0" fontId="91" fillId="0" borderId="0" applyFont="0" applyFill="0" applyBorder="0" applyAlignment="0" applyProtection="0"/>
    <xf numFmtId="14" fontId="23" fillId="0" borderId="0">
      <alignment horizontal="right"/>
    </xf>
    <xf numFmtId="14" fontId="10" fillId="0" borderId="0">
      <alignment horizontal="right"/>
    </xf>
    <xf numFmtId="0" fontId="136" fillId="0" borderId="0"/>
    <xf numFmtId="14" fontId="38" fillId="0" borderId="0"/>
    <xf numFmtId="14" fontId="137" fillId="0" borderId="0" applyFont="0" applyFill="0" applyBorder="0" applyAlignment="0" applyProtection="0">
      <alignment horizontal="center"/>
    </xf>
    <xf numFmtId="0" fontId="137" fillId="0" borderId="0" applyFont="0" applyFill="0" applyBorder="0" applyAlignment="0" applyProtection="0">
      <alignment horizontal="center"/>
    </xf>
    <xf numFmtId="0" fontId="138" fillId="29" borderId="0" applyFont="0" applyFill="0">
      <alignment horizontal="right"/>
    </xf>
    <xf numFmtId="1" fontId="91" fillId="0" borderId="0" applyFont="0" applyFill="0" applyBorder="0" applyAlignment="0" applyProtection="0">
      <alignment horizontal="right"/>
    </xf>
    <xf numFmtId="2" fontId="139" fillId="25" borderId="0">
      <alignment horizontal="left"/>
      <protection hidden="1"/>
    </xf>
    <xf numFmtId="0" fontId="118" fillId="0" borderId="0" applyFont="0" applyFill="0" applyBorder="0" applyAlignment="0" applyProtection="0"/>
    <xf numFmtId="0" fontId="91" fillId="0" borderId="38" applyNumberFormat="0" applyFont="0" applyFill="0" applyAlignment="0" applyProtection="0"/>
    <xf numFmtId="1" fontId="118" fillId="0" borderId="0"/>
    <xf numFmtId="0" fontId="134" fillId="0" borderId="19" applyFont="0" applyFill="0" applyBorder="0">
      <alignment horizontal="center"/>
    </xf>
    <xf numFmtId="0" fontId="134" fillId="0" borderId="19" applyFont="0" applyFill="0" applyBorder="0">
      <alignment horizontal="center"/>
    </xf>
    <xf numFmtId="211" fontId="134" fillId="0" borderId="19" applyFont="0" applyFill="0" applyBorder="0">
      <alignment horizontal="center"/>
    </xf>
    <xf numFmtId="0" fontId="10" fillId="0" borderId="0" applyNumberFormat="0" applyAlignment="0">
      <alignment horizontal="left"/>
    </xf>
    <xf numFmtId="9" fontId="140" fillId="0" borderId="21" applyNumberFormat="0" applyBorder="0" applyAlignment="0">
      <protection locked="0"/>
    </xf>
    <xf numFmtId="0" fontId="118" fillId="42" borderId="34" applyNumberFormat="0" applyFont="0" applyAlignment="0">
      <protection locked="0"/>
    </xf>
    <xf numFmtId="0" fontId="12" fillId="0" borderId="0" applyNumberFormat="0" applyFont="0" applyFill="0" applyBorder="0" applyAlignment="0" applyProtection="0"/>
    <xf numFmtId="38" fontId="10" fillId="0" borderId="24" applyBorder="0" applyAlignment="0" applyProtection="0"/>
    <xf numFmtId="0" fontId="118" fillId="0" borderId="0" applyFont="0" applyFill="0" applyBorder="0" applyAlignment="0" applyProtection="0">
      <alignment horizontal="right"/>
    </xf>
    <xf numFmtId="0" fontId="91" fillId="0" borderId="0" applyFont="0" applyFill="0" applyBorder="0" applyProtection="0">
      <alignment horizontal="left"/>
      <protection locked="0"/>
    </xf>
    <xf numFmtId="0" fontId="91" fillId="0" borderId="0" applyFont="0" applyFill="0" applyBorder="0" applyProtection="0">
      <alignment horizontal="left"/>
      <protection locked="0"/>
    </xf>
    <xf numFmtId="0" fontId="10" fillId="0" borderId="0" applyFont="0" applyFill="0" applyBorder="0" applyAlignment="0" applyProtection="0"/>
    <xf numFmtId="0" fontId="91" fillId="0" borderId="0" applyFont="0" applyFill="0" applyBorder="0" applyAlignment="0" applyProtection="0"/>
    <xf numFmtId="0" fontId="111" fillId="0" borderId="0">
      <alignment horizontal="right"/>
    </xf>
    <xf numFmtId="0" fontId="91" fillId="0" borderId="0" applyFont="0" applyFill="0" applyBorder="0" applyAlignment="0" applyProtection="0">
      <alignment horizontal="right"/>
    </xf>
    <xf numFmtId="49" fontId="121" fillId="0" borderId="0"/>
    <xf numFmtId="0" fontId="24" fillId="0" borderId="0" applyNumberFormat="0" applyFill="0" applyBorder="0" applyAlignment="0" applyProtection="0"/>
    <xf numFmtId="0" fontId="141" fillId="0" borderId="0">
      <alignment horizontal="left"/>
    </xf>
    <xf numFmtId="0" fontId="142" fillId="0" borderId="0">
      <alignment horizontal="left"/>
    </xf>
    <xf numFmtId="0" fontId="143" fillId="0" borderId="0" applyFill="0" applyBorder="0" applyProtection="0">
      <alignment horizontal="left"/>
    </xf>
    <xf numFmtId="0" fontId="143" fillId="0" borderId="0" applyNumberFormat="0" applyFill="0" applyBorder="0" applyProtection="0">
      <alignment horizontal="left"/>
    </xf>
    <xf numFmtId="0" fontId="143" fillId="0" borderId="0" applyFill="0" applyBorder="0" applyProtection="0">
      <alignment vertical="center"/>
    </xf>
    <xf numFmtId="38" fontId="144" fillId="0" borderId="0" applyBorder="0"/>
    <xf numFmtId="0" fontId="105" fillId="0" borderId="19" applyProtection="0">
      <alignment horizontal="center"/>
    </xf>
    <xf numFmtId="0" fontId="118" fillId="0" borderId="0" applyFill="0" applyBorder="0" applyAlignment="0" applyProtection="0">
      <protection locked="0"/>
    </xf>
    <xf numFmtId="38" fontId="16" fillId="23" borderId="0" applyNumberFormat="0" applyBorder="0" applyAlignment="0" applyProtection="0"/>
    <xf numFmtId="0" fontId="145" fillId="0" borderId="0" applyFill="0" applyBorder="0" applyAlignment="0" applyProtection="0"/>
    <xf numFmtId="0" fontId="146" fillId="0" borderId="0" applyAlignment="0">
      <alignment horizontal="left"/>
      <protection locked="0"/>
    </xf>
    <xf numFmtId="38" fontId="147" fillId="0" borderId="0" applyBorder="0" applyAlignment="0">
      <alignment horizontal="center"/>
    </xf>
    <xf numFmtId="0" fontId="19" fillId="43" borderId="21" applyNumberFormat="0" applyFont="0" applyAlignment="0"/>
    <xf numFmtId="0" fontId="91" fillId="0" borderId="0" applyFont="0" applyFill="0" applyBorder="0" applyAlignment="0" applyProtection="0">
      <alignment horizontal="right"/>
    </xf>
    <xf numFmtId="0" fontId="31" fillId="0" borderId="0" applyAlignment="0" applyProtection="0"/>
    <xf numFmtId="0" fontId="10" fillId="0" borderId="0" applyAlignment="0" applyProtection="0"/>
    <xf numFmtId="0" fontId="10" fillId="0" borderId="0" applyAlignment="0" applyProtection="0"/>
    <xf numFmtId="0" fontId="148" fillId="0" borderId="0">
      <alignment horizontal="left"/>
    </xf>
    <xf numFmtId="0" fontId="149" fillId="0" borderId="0">
      <alignment horizontal="right"/>
    </xf>
    <xf numFmtId="0" fontId="22" fillId="0" borderId="25" applyNumberFormat="0" applyAlignment="0" applyProtection="0">
      <alignment horizontal="left" vertical="center"/>
    </xf>
    <xf numFmtId="0" fontId="22" fillId="0" borderId="24">
      <alignment horizontal="left" vertical="center"/>
    </xf>
    <xf numFmtId="0" fontId="40" fillId="44" borderId="0" applyFont="0" applyAlignment="0"/>
    <xf numFmtId="0" fontId="10" fillId="0" borderId="0" applyNumberFormat="0" applyFill="0" applyBorder="0" applyAlignment="0" applyProtection="0"/>
    <xf numFmtId="4" fontId="56" fillId="45" borderId="39"/>
    <xf numFmtId="10" fontId="16" fillId="43" borderId="21" applyNumberFormat="0" applyBorder="0" applyAlignment="0" applyProtection="0"/>
    <xf numFmtId="0" fontId="150" fillId="0" borderId="0"/>
    <xf numFmtId="10" fontId="48" fillId="31" borderId="40" applyNumberFormat="0"/>
    <xf numFmtId="0" fontId="151" fillId="0" borderId="0" applyNumberFormat="0" applyBorder="0" applyAlignment="0" applyProtection="0"/>
    <xf numFmtId="0" fontId="10" fillId="0" borderId="0"/>
    <xf numFmtId="0" fontId="10" fillId="0" borderId="0"/>
    <xf numFmtId="1" fontId="91" fillId="0" borderId="0"/>
    <xf numFmtId="37" fontId="10" fillId="0" borderId="0"/>
    <xf numFmtId="4" fontId="17" fillId="0" borderId="0"/>
    <xf numFmtId="0" fontId="36" fillId="0" borderId="34">
      <alignment horizontal="right"/>
    </xf>
    <xf numFmtId="3" fontId="23" fillId="0" borderId="0"/>
    <xf numFmtId="38" fontId="92" fillId="0" borderId="14" applyBorder="0"/>
    <xf numFmtId="0" fontId="5" fillId="0" borderId="0"/>
    <xf numFmtId="0" fontId="66" fillId="0" borderId="0"/>
    <xf numFmtId="14" fontId="16" fillId="0" borderId="0" applyFont="0" applyFill="0" applyBorder="0" applyAlignment="0" applyProtection="0"/>
    <xf numFmtId="39" fontId="111" fillId="0" borderId="0"/>
    <xf numFmtId="0" fontId="152" fillId="0" borderId="0" applyFill="0" applyBorder="0">
      <alignment horizontal="right" vertical="center"/>
    </xf>
    <xf numFmtId="0" fontId="153" fillId="0" borderId="0">
      <alignment horizontal="right"/>
    </xf>
    <xf numFmtId="0" fontId="154" fillId="0" borderId="0" applyNumberFormat="0" applyFont="0" applyAlignment="0"/>
    <xf numFmtId="212" fontId="152" fillId="0" borderId="0" applyFill="0" applyBorder="0">
      <alignment horizontal="right" vertical="center"/>
    </xf>
    <xf numFmtId="0" fontId="136" fillId="0" borderId="0" applyFill="0" applyBorder="0" applyProtection="0">
      <alignment horizontal="right" vertical="center"/>
    </xf>
    <xf numFmtId="0" fontId="155" fillId="0" borderId="0"/>
    <xf numFmtId="1" fontId="156" fillId="0" borderId="0" applyProtection="0">
      <alignment horizontal="right" vertical="center"/>
    </xf>
    <xf numFmtId="0" fontId="16" fillId="46" borderId="0" applyNumberFormat="0" applyFont="0" applyBorder="0" applyAlignment="0" applyProtection="0"/>
    <xf numFmtId="0" fontId="10" fillId="0" borderId="0" applyFill="0"/>
    <xf numFmtId="0" fontId="10" fillId="0" borderId="0" applyFont="0" applyFill="0" applyBorder="0" applyAlignment="0" applyProtection="0"/>
    <xf numFmtId="10" fontId="10" fillId="0" borderId="0" applyFont="0" applyFill="0" applyBorder="0" applyAlignment="0" applyProtection="0"/>
    <xf numFmtId="38" fontId="92" fillId="0" borderId="14" applyBorder="0"/>
    <xf numFmtId="9" fontId="5" fillId="0" borderId="0" applyFont="0" applyFill="0" applyBorder="0" applyAlignment="0" applyProtection="0"/>
    <xf numFmtId="0" fontId="23" fillId="0" borderId="37" applyFill="0" applyBorder="0" applyProtection="0"/>
    <xf numFmtId="0" fontId="37" fillId="0" borderId="0"/>
    <xf numFmtId="0" fontId="91" fillId="0" borderId="0" applyFill="0" applyBorder="0" applyAlignment="0" applyProtection="0"/>
    <xf numFmtId="38" fontId="10" fillId="0" borderId="0" applyNumberFormat="0" applyBorder="0" applyAlignment="0" applyProtection="0"/>
    <xf numFmtId="14" fontId="92" fillId="0" borderId="0" applyNumberFormat="0" applyFill="0" applyBorder="0" applyAlignment="0" applyProtection="0">
      <alignment horizontal="left"/>
    </xf>
    <xf numFmtId="38" fontId="10" fillId="1" borderId="0">
      <alignment horizontal="right"/>
    </xf>
    <xf numFmtId="38" fontId="10" fillId="1" borderId="0">
      <alignment horizontal="right"/>
    </xf>
    <xf numFmtId="38" fontId="10" fillId="1" borderId="0">
      <alignment horizontal="right"/>
    </xf>
    <xf numFmtId="0" fontId="38" fillId="47" borderId="0" applyNumberFormat="0" applyFont="0" applyBorder="0" applyAlignment="0" applyProtection="0"/>
    <xf numFmtId="0" fontId="26" fillId="31" borderId="0"/>
    <xf numFmtId="0" fontId="26" fillId="30" borderId="0"/>
    <xf numFmtId="40" fontId="10" fillId="0" borderId="0" applyBorder="0">
      <alignment horizontal="right"/>
    </xf>
    <xf numFmtId="0" fontId="91" fillId="0" borderId="19" applyBorder="0" applyProtection="0">
      <alignment horizontal="right" vertical="center"/>
    </xf>
    <xf numFmtId="0" fontId="157" fillId="48" borderId="0" applyBorder="0" applyProtection="0">
      <alignment horizontal="centerContinuous" vertical="center"/>
    </xf>
    <xf numFmtId="0" fontId="157" fillId="28" borderId="19" applyBorder="0" applyProtection="0">
      <alignment horizontal="centerContinuous" vertical="center"/>
    </xf>
    <xf numFmtId="0" fontId="98" fillId="0" borderId="19" applyNumberFormat="0" applyFill="0" applyProtection="0"/>
    <xf numFmtId="0" fontId="158" fillId="0" borderId="0" applyNumberFormat="0" applyFont="0" applyFill="0" applyBorder="0" applyAlignment="0" applyProtection="0"/>
    <xf numFmtId="0" fontId="153" fillId="0" borderId="0" applyFill="0" applyBorder="0">
      <alignment vertical="center"/>
    </xf>
    <xf numFmtId="0" fontId="136" fillId="0" borderId="0">
      <alignment vertical="center"/>
    </xf>
    <xf numFmtId="0" fontId="23" fillId="0" borderId="0" applyNumberFormat="0" applyProtection="0"/>
    <xf numFmtId="0" fontId="159" fillId="0" borderId="19" applyAlignment="0"/>
    <xf numFmtId="0" fontId="136" fillId="0" borderId="26" applyAlignment="0"/>
    <xf numFmtId="3" fontId="160" fillId="0" borderId="0" applyFill="0" applyBorder="0" applyAlignment="0" applyProtection="0"/>
    <xf numFmtId="0" fontId="10" fillId="0" borderId="21">
      <protection locked="0"/>
    </xf>
    <xf numFmtId="0" fontId="10" fillId="0" borderId="21">
      <alignment horizontal="right"/>
      <protection locked="0"/>
    </xf>
    <xf numFmtId="4" fontId="161" fillId="26" borderId="41"/>
    <xf numFmtId="0" fontId="91" fillId="0" borderId="0" applyFont="0" applyFill="0" applyBorder="0" applyAlignment="0" applyProtection="0"/>
    <xf numFmtId="37" fontId="91" fillId="0" borderId="0" applyFont="0" applyFill="0" applyBorder="0" applyAlignment="0" applyProtection="0"/>
    <xf numFmtId="0" fontId="2" fillId="0" borderId="0"/>
    <xf numFmtId="0" fontId="162" fillId="0" borderId="0" applyNumberFormat="0" applyFill="0" applyBorder="0" applyAlignment="0" applyProtection="0"/>
    <xf numFmtId="0" fontId="163" fillId="0" borderId="0" applyNumberFormat="0" applyFill="0" applyBorder="0" applyAlignment="0" applyProtection="0"/>
    <xf numFmtId="0" fontId="15" fillId="0" borderId="0" applyFont="0"/>
    <xf numFmtId="0" fontId="5" fillId="0" borderId="0"/>
    <xf numFmtId="0" fontId="2" fillId="0" borderId="0"/>
    <xf numFmtId="9" fontId="5" fillId="0" borderId="0" applyFont="0" applyFill="0" applyBorder="0" applyAlignment="0" applyProtection="0"/>
    <xf numFmtId="0" fontId="164" fillId="0" borderId="0"/>
    <xf numFmtId="175" fontId="46" fillId="0" borderId="0" applyFont="0" applyFill="0" applyBorder="0" applyAlignment="0" applyProtection="0"/>
    <xf numFmtId="175" fontId="46" fillId="0" borderId="0" applyFont="0" applyFill="0" applyBorder="0" applyAlignment="0" applyProtection="0"/>
    <xf numFmtId="175" fontId="46" fillId="0" borderId="0" applyFont="0" applyFill="0" applyBorder="0" applyAlignment="0" applyProtection="0"/>
    <xf numFmtId="175" fontId="46" fillId="0" borderId="0" applyFont="0" applyFill="0" applyBorder="0" applyAlignment="0" applyProtection="0"/>
    <xf numFmtId="175" fontId="46" fillId="0" borderId="0" applyFont="0" applyFill="0" applyBorder="0" applyAlignment="0" applyProtection="0"/>
    <xf numFmtId="175" fontId="46" fillId="0" borderId="0" applyFont="0" applyFill="0" applyBorder="0" applyAlignment="0" applyProtection="0"/>
    <xf numFmtId="175" fontId="46" fillId="0" borderId="0" applyFont="0" applyFill="0" applyBorder="0" applyAlignment="0" applyProtection="0"/>
    <xf numFmtId="182" fontId="46" fillId="0" borderId="0" applyFont="0" applyFill="0" applyBorder="0" applyAlignment="0" applyProtection="0"/>
    <xf numFmtId="182" fontId="46" fillId="0" borderId="0" applyFont="0" applyFill="0" applyBorder="0" applyAlignment="0" applyProtection="0"/>
    <xf numFmtId="182" fontId="46" fillId="0" borderId="0" applyFont="0" applyFill="0" applyBorder="0" applyAlignment="0" applyProtection="0"/>
    <xf numFmtId="182" fontId="46" fillId="0" borderId="0" applyFont="0" applyFill="0" applyBorder="0" applyAlignment="0" applyProtection="0"/>
    <xf numFmtId="182" fontId="46" fillId="0" borderId="0" applyFont="0" applyFill="0" applyBorder="0" applyAlignment="0" applyProtection="0"/>
    <xf numFmtId="182" fontId="46" fillId="0" borderId="0" applyFont="0" applyFill="0" applyBorder="0" applyAlignment="0" applyProtection="0"/>
    <xf numFmtId="177" fontId="46" fillId="0" borderId="0" applyFont="0" applyFill="0" applyBorder="0" applyAlignment="0" applyProtection="0"/>
    <xf numFmtId="177" fontId="46" fillId="0" borderId="0" applyFont="0" applyFill="0" applyBorder="0" applyAlignment="0" applyProtection="0"/>
    <xf numFmtId="177" fontId="46" fillId="0" borderId="0" applyFont="0" applyFill="0" applyBorder="0" applyAlignment="0" applyProtection="0"/>
    <xf numFmtId="177" fontId="46" fillId="0" borderId="0" applyFont="0" applyFill="0" applyBorder="0" applyAlignment="0" applyProtection="0"/>
    <xf numFmtId="177" fontId="46" fillId="0" borderId="0" applyFont="0" applyFill="0" applyBorder="0" applyAlignment="0" applyProtection="0"/>
    <xf numFmtId="177" fontId="46" fillId="0" borderId="0" applyFont="0" applyFill="0" applyBorder="0" applyAlignment="0" applyProtection="0"/>
    <xf numFmtId="0" fontId="41" fillId="0" borderId="0" applyNumberFormat="0" applyFill="0" applyBorder="0" applyAlignment="0" applyProtection="0"/>
    <xf numFmtId="0" fontId="41" fillId="0" borderId="0" applyNumberFormat="0" applyFill="0" applyBorder="0" applyAlignment="0" applyProtection="0"/>
    <xf numFmtId="0" fontId="41" fillId="0" borderId="0" applyNumberFormat="0" applyFill="0" applyBorder="0" applyAlignment="0" applyProtection="0"/>
    <xf numFmtId="0" fontId="41" fillId="0" borderId="0" applyNumberFormat="0" applyFill="0" applyBorder="0" applyAlignment="0" applyProtection="0"/>
    <xf numFmtId="174" fontId="46" fillId="0" borderId="0" applyFont="0" applyFill="0" applyBorder="0" applyAlignment="0" applyProtection="0"/>
    <xf numFmtId="174" fontId="46" fillId="0" borderId="0" applyFont="0" applyFill="0" applyBorder="0" applyAlignment="0" applyProtection="0"/>
    <xf numFmtId="174" fontId="46" fillId="0" borderId="0" applyFont="0" applyFill="0" applyBorder="0" applyAlignment="0" applyProtection="0"/>
    <xf numFmtId="174" fontId="46" fillId="0" borderId="0" applyFont="0" applyFill="0" applyBorder="0" applyAlignment="0" applyProtection="0"/>
    <xf numFmtId="174" fontId="46" fillId="0" borderId="0" applyFont="0" applyFill="0" applyBorder="0" applyAlignment="0" applyProtection="0"/>
    <xf numFmtId="174" fontId="46" fillId="0" borderId="0" applyFont="0" applyFill="0" applyBorder="0" applyAlignment="0" applyProtection="0"/>
    <xf numFmtId="181" fontId="46" fillId="0" borderId="0" applyFont="0" applyFill="0" applyBorder="0" applyProtection="0">
      <alignment horizontal="right"/>
    </xf>
    <xf numFmtId="181" fontId="46" fillId="0" borderId="0" applyFont="0" applyFill="0" applyBorder="0" applyProtection="0">
      <alignment horizontal="right"/>
    </xf>
    <xf numFmtId="181" fontId="46" fillId="0" borderId="0" applyFont="0" applyFill="0" applyBorder="0" applyProtection="0">
      <alignment horizontal="right"/>
    </xf>
    <xf numFmtId="181" fontId="46" fillId="0" borderId="0" applyFont="0" applyFill="0" applyBorder="0" applyProtection="0">
      <alignment horizontal="right"/>
    </xf>
    <xf numFmtId="181" fontId="46" fillId="0" borderId="0" applyFont="0" applyFill="0" applyBorder="0" applyProtection="0">
      <alignment horizontal="right"/>
    </xf>
    <xf numFmtId="181" fontId="46" fillId="0" borderId="0" applyFont="0" applyFill="0" applyBorder="0" applyProtection="0">
      <alignment horizontal="right"/>
    </xf>
    <xf numFmtId="0" fontId="42" fillId="0" borderId="0" applyNumberFormat="0" applyFill="0" applyBorder="0" applyProtection="0">
      <alignment vertical="top"/>
    </xf>
    <xf numFmtId="0" fontId="42" fillId="0" borderId="0" applyNumberFormat="0" applyFill="0" applyBorder="0" applyProtection="0">
      <alignment vertical="top"/>
    </xf>
    <xf numFmtId="0" fontId="42" fillId="0" borderId="0" applyNumberFormat="0" applyFill="0" applyBorder="0" applyProtection="0">
      <alignment vertical="top"/>
    </xf>
    <xf numFmtId="0" fontId="42" fillId="0" borderId="0" applyNumberFormat="0" applyFill="0" applyBorder="0" applyProtection="0">
      <alignment vertical="top"/>
    </xf>
    <xf numFmtId="0" fontId="26" fillId="0" borderId="2" applyNumberFormat="0" applyFill="0" applyAlignment="0" applyProtection="0"/>
    <xf numFmtId="0" fontId="43" fillId="0" borderId="3" applyNumberFormat="0" applyFill="0" applyProtection="0">
      <alignment horizontal="center"/>
    </xf>
    <xf numFmtId="0" fontId="43" fillId="0" borderId="3" applyNumberFormat="0" applyFill="0" applyProtection="0">
      <alignment horizontal="center"/>
    </xf>
    <xf numFmtId="0" fontId="43" fillId="0" borderId="3" applyNumberFormat="0" applyFill="0" applyProtection="0">
      <alignment horizontal="center"/>
    </xf>
    <xf numFmtId="0" fontId="43" fillId="0" borderId="3" applyNumberFormat="0" applyFill="0" applyProtection="0">
      <alignment horizontal="center"/>
    </xf>
    <xf numFmtId="0" fontId="43" fillId="0" borderId="0" applyNumberFormat="0" applyFill="0" applyBorder="0" applyProtection="0">
      <alignment horizontal="left"/>
    </xf>
    <xf numFmtId="0" fontId="43" fillId="0" borderId="0" applyNumberFormat="0" applyFill="0" applyBorder="0" applyProtection="0">
      <alignment horizontal="left"/>
    </xf>
    <xf numFmtId="0" fontId="43" fillId="0" borderId="0" applyNumberFormat="0" applyFill="0" applyBorder="0" applyProtection="0">
      <alignment horizontal="left"/>
    </xf>
    <xf numFmtId="0" fontId="43" fillId="0" borderId="0" applyNumberFormat="0" applyFill="0" applyBorder="0" applyProtection="0">
      <alignment horizontal="left"/>
    </xf>
    <xf numFmtId="0" fontId="44" fillId="0" borderId="0" applyNumberFormat="0" applyFill="0" applyBorder="0" applyProtection="0">
      <alignment horizontal="centerContinuous"/>
    </xf>
    <xf numFmtId="0" fontId="44" fillId="0" borderId="0" applyNumberFormat="0" applyFill="0" applyBorder="0" applyProtection="0">
      <alignment horizontal="centerContinuous"/>
    </xf>
    <xf numFmtId="0" fontId="44" fillId="0" borderId="0" applyNumberFormat="0" applyFill="0" applyBorder="0" applyProtection="0">
      <alignment horizontal="centerContinuous"/>
    </xf>
    <xf numFmtId="0" fontId="44" fillId="0" borderId="0" applyNumberFormat="0" applyFill="0" applyBorder="0" applyProtection="0">
      <alignment horizontal="centerContinuous"/>
    </xf>
    <xf numFmtId="0" fontId="165" fillId="31" borderId="0" applyNumberFormat="0" applyBorder="0" applyAlignment="0" applyProtection="0"/>
    <xf numFmtId="0" fontId="166" fillId="49" borderId="0"/>
    <xf numFmtId="0" fontId="167" fillId="50" borderId="0"/>
    <xf numFmtId="0" fontId="168" fillId="30" borderId="0" applyNumberFormat="0" applyBorder="0" applyAlignment="0" applyProtection="0"/>
    <xf numFmtId="41" fontId="10" fillId="0" borderId="0" applyFont="0" applyFill="0" applyBorder="0" applyAlignment="0" applyProtection="0"/>
    <xf numFmtId="43" fontId="10" fillId="0" borderId="0" applyFont="0" applyFill="0" applyBorder="0" applyAlignment="0" applyProtection="0"/>
    <xf numFmtId="167" fontId="2" fillId="0" borderId="0" applyFont="0" applyFill="0" applyBorder="0" applyAlignment="0" applyProtection="0"/>
    <xf numFmtId="43" fontId="166" fillId="0" borderId="0"/>
    <xf numFmtId="167" fontId="2" fillId="0" borderId="0" applyFont="0" applyFill="0" applyBorder="0" applyAlignment="0" applyProtection="0"/>
    <xf numFmtId="167" fontId="2" fillId="0" borderId="0" applyFont="0" applyFill="0" applyBorder="0" applyAlignment="0" applyProtection="0"/>
    <xf numFmtId="167" fontId="2" fillId="0" borderId="0" applyFont="0" applyFill="0" applyBorder="0" applyAlignment="0" applyProtection="0"/>
    <xf numFmtId="167" fontId="2" fillId="0" borderId="0" applyFont="0" applyFill="0" applyBorder="0" applyAlignment="0" applyProtection="0"/>
    <xf numFmtId="167" fontId="2" fillId="0" borderId="0" applyFont="0" applyFill="0" applyBorder="0" applyAlignment="0" applyProtection="0"/>
    <xf numFmtId="167" fontId="2" fillId="0" borderId="0" applyFont="0" applyFill="0" applyBorder="0" applyAlignment="0" applyProtection="0"/>
    <xf numFmtId="42" fontId="10" fillId="0" borderId="0" applyFont="0" applyFill="0" applyBorder="0" applyAlignment="0" applyProtection="0"/>
    <xf numFmtId="44" fontId="10" fillId="0" borderId="0"/>
    <xf numFmtId="166" fontId="2" fillId="0" borderId="0" applyFont="0" applyFill="0" applyBorder="0" applyAlignment="0" applyProtection="0"/>
    <xf numFmtId="44" fontId="166" fillId="0" borderId="0"/>
    <xf numFmtId="166" fontId="2" fillId="0" borderId="0" applyFont="0" applyFill="0" applyBorder="0" applyAlignment="0" applyProtection="0"/>
    <xf numFmtId="166" fontId="2" fillId="0" borderId="0" applyFont="0" applyFill="0" applyBorder="0" applyAlignment="0" applyProtection="0"/>
    <xf numFmtId="166" fontId="2" fillId="0" borderId="0" applyFont="0" applyFill="0" applyBorder="0" applyAlignment="0" applyProtection="0"/>
    <xf numFmtId="166" fontId="2" fillId="0" borderId="0" applyFont="0" applyFill="0" applyBorder="0" applyAlignment="0" applyProtection="0"/>
    <xf numFmtId="166" fontId="2" fillId="0" borderId="0" applyFont="0" applyFill="0" applyBorder="0" applyAlignment="0" applyProtection="0"/>
    <xf numFmtId="166" fontId="2" fillId="0" borderId="0" applyFont="0" applyFill="0" applyBorder="0" applyAlignment="0" applyProtection="0"/>
    <xf numFmtId="0" fontId="6" fillId="51" borderId="0"/>
    <xf numFmtId="0" fontId="169" fillId="33" borderId="0"/>
    <xf numFmtId="0" fontId="170" fillId="27" borderId="0" applyNumberFormat="0" applyBorder="0" applyAlignment="0" applyProtection="0"/>
    <xf numFmtId="0" fontId="2" fillId="0" borderId="0"/>
    <xf numFmtId="0" fontId="2" fillId="0" borderId="0"/>
    <xf numFmtId="0" fontId="2" fillId="0" borderId="0"/>
    <xf numFmtId="0" fontId="2" fillId="0" borderId="0"/>
    <xf numFmtId="0" fontId="5" fillId="0" borderId="0"/>
    <xf numFmtId="0" fontId="5" fillId="0" borderId="0"/>
    <xf numFmtId="0" fontId="10" fillId="0" borderId="0"/>
    <xf numFmtId="0" fontId="2" fillId="0" borderId="0"/>
    <xf numFmtId="0" fontId="5" fillId="0" borderId="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5"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38" fontId="16" fillId="0" borderId="0" applyFill="0" applyBorder="0" applyAlignment="0" applyProtection="0">
      <alignment horizontal="right"/>
    </xf>
    <xf numFmtId="3" fontId="10" fillId="23" borderId="16" applyFont="0" applyFill="0" applyBorder="0" applyAlignment="0" applyProtection="0"/>
    <xf numFmtId="4" fontId="10" fillId="23" borderId="16" applyFont="0" applyFill="0" applyBorder="0" applyAlignment="0" applyProtection="0"/>
    <xf numFmtId="213" fontId="37" fillId="23" borderId="16" applyFont="0" applyFill="0" applyBorder="0" applyAlignment="0" applyProtection="0"/>
    <xf numFmtId="0" fontId="37" fillId="23" borderId="17" applyFont="0" applyFill="0" applyBorder="0" applyAlignment="0" applyProtection="0"/>
    <xf numFmtId="10" fontId="10" fillId="23" borderId="16" applyFont="0" applyFill="0" applyBorder="0" applyAlignment="0" applyProtection="0"/>
    <xf numFmtId="9" fontId="10" fillId="23" borderId="16" applyFont="0" applyFill="0" applyBorder="0" applyAlignment="0" applyProtection="0"/>
    <xf numFmtId="2" fontId="10" fillId="23" borderId="16" applyFont="0" applyFill="0" applyBorder="0" applyAlignment="0" applyProtection="0"/>
    <xf numFmtId="0" fontId="5" fillId="0" borderId="0"/>
    <xf numFmtId="9" fontId="5" fillId="0" borderId="0" applyFont="0" applyFill="0" applyBorder="0" applyAlignment="0" applyProtection="0"/>
    <xf numFmtId="0" fontId="5" fillId="0" borderId="0"/>
    <xf numFmtId="9" fontId="13" fillId="0" borderId="0" applyFont="0" applyFill="0" applyBorder="0" applyAlignment="0" applyProtection="0"/>
    <xf numFmtId="166" fontId="13" fillId="0" borderId="0" applyFont="0" applyFill="0" applyBorder="0" applyAlignment="0" applyProtection="0"/>
    <xf numFmtId="164" fontId="13" fillId="0" borderId="0" applyFont="0" applyFill="0" applyBorder="0" applyAlignment="0" applyProtection="0"/>
    <xf numFmtId="167" fontId="13" fillId="0" borderId="0" applyFont="0" applyFill="0" applyBorder="0" applyAlignment="0" applyProtection="0"/>
    <xf numFmtId="165" fontId="13" fillId="0" borderId="0" applyFont="0" applyFill="0" applyBorder="0" applyAlignment="0" applyProtection="0"/>
    <xf numFmtId="0" fontId="13" fillId="0" borderId="0"/>
    <xf numFmtId="0" fontId="5" fillId="0" borderId="0"/>
    <xf numFmtId="9" fontId="13" fillId="0" borderId="0" applyFont="0" applyFill="0" applyBorder="0" applyAlignment="0" applyProtection="0"/>
    <xf numFmtId="166" fontId="13" fillId="0" borderId="0" applyFont="0" applyFill="0" applyBorder="0" applyAlignment="0" applyProtection="0"/>
    <xf numFmtId="167" fontId="13" fillId="0" borderId="0" applyFont="0" applyFill="0" applyBorder="0" applyAlignment="0" applyProtection="0"/>
    <xf numFmtId="0" fontId="2" fillId="0" borderId="0"/>
    <xf numFmtId="0" fontId="2" fillId="0" borderId="0"/>
    <xf numFmtId="4" fontId="2" fillId="0" borderId="0" applyFont="0" applyFill="0" applyBorder="0" applyAlignment="0" applyProtection="0"/>
    <xf numFmtId="8" fontId="2" fillId="0" borderId="0" applyFont="0" applyFill="0" applyBorder="0" applyAlignment="0" applyProtection="0"/>
    <xf numFmtId="4" fontId="2" fillId="0" borderId="0" applyFont="0" applyFill="0" applyBorder="0" applyAlignment="0" applyProtection="0"/>
    <xf numFmtId="8" fontId="2" fillId="0" borderId="0" applyFont="0" applyFill="0" applyBorder="0" applyAlignment="0" applyProtection="0"/>
    <xf numFmtId="0" fontId="56" fillId="9" borderId="4" applyNumberFormat="0" applyAlignment="0" applyProtection="0"/>
    <xf numFmtId="0" fontId="60" fillId="0" borderId="0" applyNumberForma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0" fontId="60" fillId="0" borderId="0" applyNumberFormat="0" applyFill="0" applyBorder="0" applyAlignment="0" applyProtection="0"/>
    <xf numFmtId="0" fontId="35" fillId="0" borderId="42" applyNumberFormat="0" applyFill="0" applyProtection="0"/>
    <xf numFmtId="4" fontId="2" fillId="0" borderId="0" applyFont="0" applyFill="0" applyBorder="0" applyAlignment="0" applyProtection="0"/>
    <xf numFmtId="0" fontId="60" fillId="0" borderId="0" applyNumberFormat="0" applyFill="0" applyBorder="0" applyAlignment="0" applyProtection="0"/>
    <xf numFmtId="0" fontId="2" fillId="0" borderId="0"/>
    <xf numFmtId="0" fontId="56" fillId="9" borderId="4" applyNumberFormat="0" applyAlignment="0" applyProtection="0"/>
    <xf numFmtId="8" fontId="2" fillId="0" borderId="0" applyFont="0" applyFill="0" applyBorder="0" applyAlignment="0" applyProtection="0"/>
    <xf numFmtId="4" fontId="2" fillId="0" borderId="0" applyFont="0" applyFill="0" applyBorder="0" applyAlignment="0" applyProtection="0"/>
    <xf numFmtId="8" fontId="2" fillId="0" borderId="0" applyFont="0" applyFill="0" applyBorder="0" applyAlignment="0" applyProtection="0"/>
    <xf numFmtId="4" fontId="2" fillId="0" borderId="0" applyFont="0" applyFill="0" applyBorder="0" applyAlignment="0" applyProtection="0"/>
    <xf numFmtId="8" fontId="2" fillId="0" borderId="0" applyFont="0" applyFill="0" applyBorder="0" applyAlignment="0" applyProtection="0"/>
    <xf numFmtId="4" fontId="2" fillId="0" borderId="0" applyFont="0" applyFill="0" applyBorder="0" applyAlignment="0" applyProtection="0"/>
    <xf numFmtId="0" fontId="60" fillId="0" borderId="0" applyNumberFormat="0" applyFill="0" applyBorder="0" applyAlignment="0" applyProtection="0"/>
    <xf numFmtId="9" fontId="2" fillId="0" borderId="0" applyFont="0" applyFill="0" applyBorder="0" applyAlignment="0" applyProtection="0"/>
    <xf numFmtId="0" fontId="56" fillId="9" borderId="4" applyNumberFormat="0" applyAlignment="0" applyProtection="0"/>
    <xf numFmtId="0" fontId="60" fillId="0" borderId="0" applyNumberFormat="0" applyFill="0" applyBorder="0" applyAlignment="0" applyProtection="0"/>
    <xf numFmtId="9" fontId="2" fillId="0" borderId="0" applyFont="0" applyFill="0" applyBorder="0" applyAlignment="0" applyProtection="0"/>
    <xf numFmtId="0" fontId="60" fillId="0" borderId="0" applyNumberFormat="0" applyFill="0" applyBorder="0" applyAlignment="0" applyProtection="0"/>
    <xf numFmtId="0" fontId="56" fillId="9" borderId="4" applyNumberFormat="0" applyAlignment="0" applyProtection="0"/>
    <xf numFmtId="0" fontId="60" fillId="0" borderId="0" applyNumberFormat="0" applyFill="0" applyBorder="0" applyAlignment="0" applyProtection="0"/>
    <xf numFmtId="0" fontId="98" fillId="0" borderId="42" applyNumberFormat="0" applyFill="0" applyProtection="0"/>
    <xf numFmtId="0" fontId="2" fillId="0" borderId="0"/>
    <xf numFmtId="0" fontId="56" fillId="9" borderId="4" applyNumberFormat="0" applyAlignment="0" applyProtection="0"/>
    <xf numFmtId="0" fontId="2" fillId="0" borderId="0"/>
    <xf numFmtId="0" fontId="60" fillId="0" borderId="0" applyNumberFormat="0" applyFill="0" applyBorder="0" applyAlignment="0" applyProtection="0"/>
    <xf numFmtId="9" fontId="2" fillId="0" borderId="0" applyFont="0" applyFill="0" applyBorder="0" applyAlignment="0" applyProtection="0"/>
    <xf numFmtId="0" fontId="2" fillId="0" borderId="0"/>
    <xf numFmtId="0" fontId="56" fillId="9" borderId="4" applyNumberFormat="0" applyAlignment="0" applyProtection="0"/>
    <xf numFmtId="8"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0" fontId="60" fillId="0" borderId="0" applyNumberFormat="0" applyFill="0" applyBorder="0" applyAlignment="0" applyProtection="0"/>
    <xf numFmtId="8" fontId="2" fillId="0" borderId="0" applyFont="0" applyFill="0" applyBorder="0" applyAlignment="0" applyProtection="0"/>
    <xf numFmtId="4" fontId="2" fillId="0" borderId="0" applyFont="0" applyFill="0" applyBorder="0" applyAlignment="0" applyProtection="0"/>
    <xf numFmtId="9" fontId="2" fillId="0" borderId="0" applyFont="0" applyFill="0" applyBorder="0" applyAlignment="0" applyProtection="0"/>
    <xf numFmtId="0" fontId="56" fillId="9" borderId="4" applyNumberFormat="0" applyAlignment="0" applyProtection="0"/>
    <xf numFmtId="9" fontId="2" fillId="0" borderId="0" applyFont="0" applyFill="0" applyBorder="0" applyAlignment="0" applyProtection="0"/>
    <xf numFmtId="4" fontId="2" fillId="0" borderId="0" applyFont="0" applyFill="0" applyBorder="0" applyAlignment="0" applyProtection="0"/>
    <xf numFmtId="0" fontId="56" fillId="9" borderId="4" applyNumberFormat="0" applyAlignment="0" applyProtection="0"/>
    <xf numFmtId="0" fontId="56" fillId="9" borderId="4" applyNumberFormat="0" applyAlignment="0" applyProtection="0"/>
    <xf numFmtId="8" fontId="2" fillId="0" borderId="0" applyFont="0" applyFill="0" applyBorder="0" applyAlignment="0" applyProtection="0"/>
    <xf numFmtId="4" fontId="2" fillId="0" borderId="0" applyFont="0" applyFill="0" applyBorder="0" applyAlignment="0" applyProtection="0"/>
    <xf numFmtId="8" fontId="2" fillId="0" borderId="0" applyFont="0" applyFill="0" applyBorder="0" applyAlignment="0" applyProtection="0"/>
    <xf numFmtId="4" fontId="2" fillId="0" borderId="0" applyFont="0" applyFill="0" applyBorder="0" applyAlignment="0" applyProtection="0"/>
    <xf numFmtId="4" fontId="2" fillId="0" borderId="0" applyFont="0" applyFill="0" applyBorder="0" applyAlignment="0" applyProtection="0"/>
    <xf numFmtId="8" fontId="2" fillId="0" borderId="0" applyFont="0" applyFill="0" applyBorder="0" applyAlignment="0" applyProtection="0"/>
    <xf numFmtId="0" fontId="60" fillId="0" borderId="0" applyNumberFormat="0" applyFill="0" applyBorder="0" applyAlignment="0" applyProtection="0"/>
    <xf numFmtId="9" fontId="2" fillId="0" borderId="0" applyFont="0" applyFill="0" applyBorder="0" applyAlignment="0" applyProtection="0"/>
    <xf numFmtId="0" fontId="56" fillId="9" borderId="4" applyNumberFormat="0" applyAlignment="0" applyProtection="0"/>
    <xf numFmtId="0" fontId="56" fillId="9" borderId="4" applyNumberFormat="0" applyAlignment="0" applyProtection="0"/>
    <xf numFmtId="9" fontId="2" fillId="0" borderId="0" applyFont="0" applyFill="0" applyBorder="0" applyAlignment="0" applyProtection="0"/>
    <xf numFmtId="0" fontId="60" fillId="0" borderId="0" applyNumberFormat="0" applyFill="0" applyBorder="0" applyAlignment="0" applyProtection="0"/>
    <xf numFmtId="0" fontId="2" fillId="0" borderId="0"/>
    <xf numFmtId="0" fontId="60" fillId="0" borderId="0" applyNumberFormat="0" applyFill="0" applyBorder="0" applyAlignment="0" applyProtection="0"/>
    <xf numFmtId="0" fontId="56" fillId="9" borderId="4" applyNumberFormat="0" applyAlignment="0" applyProtection="0"/>
    <xf numFmtId="0" fontId="2" fillId="0" borderId="0"/>
    <xf numFmtId="0" fontId="134" fillId="0" borderId="42" applyFont="0" applyFill="0" applyBorder="0" applyAlignment="0"/>
    <xf numFmtId="9" fontId="2" fillId="0" borderId="0" applyFont="0" applyFill="0" applyBorder="0" applyAlignment="0" applyProtection="0"/>
    <xf numFmtId="0" fontId="134" fillId="0" borderId="42" applyFont="0" applyFill="0" applyBorder="0">
      <alignment horizontal="center"/>
    </xf>
    <xf numFmtId="0" fontId="134" fillId="0" borderId="42" applyFont="0" applyFill="0" applyBorder="0">
      <alignment horizontal="center"/>
    </xf>
    <xf numFmtId="211" fontId="134" fillId="0" borderId="42" applyFont="0" applyFill="0" applyBorder="0">
      <alignment horizontal="center"/>
    </xf>
    <xf numFmtId="8" fontId="2" fillId="0" borderId="0" applyFont="0" applyFill="0" applyBorder="0" applyAlignment="0" applyProtection="0"/>
    <xf numFmtId="0" fontId="105" fillId="0" borderId="42" applyProtection="0">
      <alignment horizontal="center"/>
    </xf>
    <xf numFmtId="0" fontId="2" fillId="0" borderId="0"/>
    <xf numFmtId="0" fontId="91" fillId="0" borderId="42" applyBorder="0" applyProtection="0">
      <alignment horizontal="right" vertical="center"/>
    </xf>
    <xf numFmtId="0" fontId="157" fillId="28" borderId="42" applyBorder="0" applyProtection="0">
      <alignment horizontal="centerContinuous" vertical="center"/>
    </xf>
    <xf numFmtId="4" fontId="2" fillId="0" borderId="0" applyFont="0" applyFill="0" applyBorder="0" applyAlignment="0" applyProtection="0"/>
    <xf numFmtId="0" fontId="159" fillId="0" borderId="42" applyAlignment="0"/>
    <xf numFmtId="0" fontId="2" fillId="0" borderId="0"/>
    <xf numFmtId="0" fontId="2" fillId="0" borderId="0"/>
    <xf numFmtId="0" fontId="60" fillId="0" borderId="0" applyNumberFormat="0" applyFill="0" applyBorder="0" applyAlignment="0" applyProtection="0"/>
    <xf numFmtId="8" fontId="2" fillId="0" borderId="0" applyFont="0" applyFill="0" applyBorder="0" applyAlignment="0" applyProtection="0"/>
    <xf numFmtId="9" fontId="2" fillId="0" borderId="0" applyFont="0" applyFill="0" applyBorder="0" applyAlignment="0" applyProtection="0"/>
    <xf numFmtId="0" fontId="2" fillId="0" borderId="0"/>
    <xf numFmtId="8" fontId="2" fillId="0" borderId="0" applyFont="0" applyFill="0" applyBorder="0" applyAlignment="0" applyProtection="0"/>
    <xf numFmtId="4" fontId="2" fillId="0" borderId="0" applyFont="0" applyFill="0" applyBorder="0" applyAlignment="0" applyProtection="0"/>
    <xf numFmtId="0" fontId="56" fillId="9" borderId="4" applyNumberFormat="0" applyAlignment="0" applyProtection="0"/>
    <xf numFmtId="0" fontId="2" fillId="0" borderId="0"/>
    <xf numFmtId="9" fontId="5" fillId="0" borderId="0" applyFont="0" applyFill="0" applyBorder="0" applyAlignment="0" applyProtection="0"/>
    <xf numFmtId="0" fontId="10" fillId="0" borderId="0"/>
    <xf numFmtId="0" fontId="2" fillId="0" borderId="0"/>
    <xf numFmtId="0" fontId="183" fillId="0" borderId="0"/>
    <xf numFmtId="0" fontId="60" fillId="0" borderId="0" applyNumberFormat="0" applyFill="0" applyBorder="0" applyAlignment="0" applyProtection="0"/>
    <xf numFmtId="9" fontId="2" fillId="0" borderId="0" applyFont="0" applyFill="0" applyBorder="0" applyAlignment="0" applyProtection="0"/>
    <xf numFmtId="0" fontId="56" fillId="9" borderId="4" applyNumberFormat="0" applyAlignment="0" applyProtection="0"/>
    <xf numFmtId="4" fontId="2" fillId="0" borderId="0" applyFont="0" applyFill="0" applyBorder="0" applyAlignment="0" applyProtection="0"/>
    <xf numFmtId="9" fontId="2" fillId="0" borderId="0" applyFont="0" applyFill="0" applyBorder="0" applyAlignment="0" applyProtection="0"/>
    <xf numFmtId="4" fontId="2" fillId="0" borderId="0" applyFont="0" applyFill="0" applyBorder="0" applyAlignment="0" applyProtection="0"/>
    <xf numFmtId="4" fontId="2" fillId="0" borderId="0" applyFont="0" applyFill="0" applyBorder="0" applyAlignment="0" applyProtection="0"/>
    <xf numFmtId="8" fontId="2" fillId="0" borderId="0" applyFont="0" applyFill="0" applyBorder="0" applyAlignment="0" applyProtection="0"/>
    <xf numFmtId="8" fontId="2" fillId="0" borderId="0" applyFont="0" applyFill="0" applyBorder="0" applyAlignment="0" applyProtection="0"/>
    <xf numFmtId="0" fontId="56" fillId="9" borderId="4" applyNumberFormat="0" applyAlignment="0" applyProtection="0"/>
    <xf numFmtId="9" fontId="2" fillId="0" borderId="0" applyFont="0" applyFill="0" applyBorder="0" applyAlignment="0" applyProtection="0"/>
    <xf numFmtId="8" fontId="2" fillId="0" borderId="0" applyFont="0" applyFill="0" applyBorder="0" applyAlignment="0" applyProtection="0"/>
    <xf numFmtId="8" fontId="2" fillId="0" borderId="0" applyFont="0" applyFill="0" applyBorder="0" applyAlignment="0" applyProtection="0"/>
    <xf numFmtId="0" fontId="60" fillId="0" borderId="0" applyNumberFormat="0" applyFill="0" applyBorder="0" applyAlignment="0" applyProtection="0"/>
    <xf numFmtId="0" fontId="60" fillId="0" borderId="0" applyNumberFormat="0" applyFill="0" applyBorder="0" applyAlignment="0" applyProtection="0"/>
    <xf numFmtId="0" fontId="2" fillId="0" borderId="0"/>
    <xf numFmtId="0" fontId="60" fillId="0" borderId="0" applyNumberFormat="0" applyFill="0" applyBorder="0" applyAlignment="0" applyProtection="0"/>
    <xf numFmtId="9" fontId="2" fillId="0" borderId="0" applyFont="0" applyFill="0" applyBorder="0" applyAlignment="0" applyProtection="0"/>
    <xf numFmtId="4" fontId="2" fillId="0" borderId="0" applyFont="0" applyFill="0" applyBorder="0" applyAlignment="0" applyProtection="0"/>
    <xf numFmtId="0" fontId="2" fillId="0" borderId="0"/>
    <xf numFmtId="0" fontId="60" fillId="0" borderId="0" applyNumberFormat="0" applyFill="0" applyBorder="0" applyAlignment="0" applyProtection="0"/>
    <xf numFmtId="4" fontId="2" fillId="0" borderId="0" applyFont="0" applyFill="0" applyBorder="0" applyAlignment="0" applyProtection="0"/>
    <xf numFmtId="9" fontId="2" fillId="0" borderId="0" applyFont="0" applyFill="0" applyBorder="0" applyAlignment="0" applyProtection="0"/>
    <xf numFmtId="4" fontId="2" fillId="0" borderId="0" applyFont="0" applyFill="0" applyBorder="0" applyAlignment="0" applyProtection="0"/>
    <xf numFmtId="9" fontId="2" fillId="0" borderId="0" applyFont="0" applyFill="0" applyBorder="0" applyAlignment="0" applyProtection="0"/>
    <xf numFmtId="0" fontId="60" fillId="0" borderId="0" applyNumberFormat="0" applyFill="0" applyBorder="0" applyAlignment="0" applyProtection="0"/>
    <xf numFmtId="0" fontId="2" fillId="0" borderId="0"/>
    <xf numFmtId="4" fontId="2" fillId="0" borderId="0" applyFont="0" applyFill="0" applyBorder="0" applyAlignment="0" applyProtection="0"/>
    <xf numFmtId="0" fontId="60" fillId="0" borderId="0" applyNumberFormat="0" applyFill="0" applyBorder="0" applyAlignment="0" applyProtection="0"/>
    <xf numFmtId="0" fontId="60" fillId="0" borderId="0" applyNumberFormat="0" applyFill="0" applyBorder="0" applyAlignment="0" applyProtection="0"/>
    <xf numFmtId="8" fontId="2" fillId="0" borderId="0" applyFont="0" applyFill="0" applyBorder="0" applyAlignment="0" applyProtection="0"/>
    <xf numFmtId="8" fontId="2" fillId="0" borderId="0" applyFont="0" applyFill="0" applyBorder="0" applyAlignment="0" applyProtection="0"/>
    <xf numFmtId="0" fontId="2" fillId="0" borderId="0"/>
    <xf numFmtId="0" fontId="56" fillId="9" borderId="4" applyNumberFormat="0" applyAlignment="0" applyProtection="0"/>
    <xf numFmtId="0" fontId="60" fillId="0" borderId="0" applyNumberFormat="0" applyFill="0" applyBorder="0" applyAlignment="0" applyProtection="0"/>
    <xf numFmtId="0" fontId="2" fillId="0" borderId="0"/>
    <xf numFmtId="0" fontId="2" fillId="0" borderId="0"/>
    <xf numFmtId="0" fontId="56" fillId="9" borderId="4" applyNumberFormat="0" applyAlignment="0" applyProtection="0"/>
    <xf numFmtId="8" fontId="2" fillId="0" borderId="0" applyFont="0" applyFill="0" applyBorder="0" applyAlignment="0" applyProtection="0"/>
    <xf numFmtId="0" fontId="2" fillId="0" borderId="0"/>
    <xf numFmtId="4" fontId="2" fillId="0" borderId="0" applyFont="0" applyFill="0" applyBorder="0" applyAlignment="0" applyProtection="0"/>
    <xf numFmtId="0" fontId="56" fillId="9" borderId="4" applyNumberFormat="0" applyAlignment="0" applyProtection="0"/>
    <xf numFmtId="9" fontId="2" fillId="0" borderId="0" applyFont="0" applyFill="0" applyBorder="0" applyAlignment="0" applyProtection="0"/>
    <xf numFmtId="4" fontId="2" fillId="0" borderId="0" applyFont="0" applyFill="0" applyBorder="0" applyAlignment="0" applyProtection="0"/>
    <xf numFmtId="9" fontId="2" fillId="0" borderId="0" applyFont="0" applyFill="0" applyBorder="0" applyAlignment="0" applyProtection="0"/>
    <xf numFmtId="8" fontId="2" fillId="0" borderId="0" applyFont="0" applyFill="0" applyBorder="0" applyAlignment="0" applyProtection="0"/>
    <xf numFmtId="0" fontId="56" fillId="9" borderId="4" applyNumberFormat="0" applyAlignment="0" applyProtection="0"/>
    <xf numFmtId="0" fontId="2" fillId="0" borderId="0"/>
    <xf numFmtId="9" fontId="2" fillId="0" borderId="0" applyFont="0" applyFill="0" applyBorder="0" applyAlignment="0" applyProtection="0"/>
    <xf numFmtId="0" fontId="56" fillId="9" borderId="4" applyNumberFormat="0" applyAlignment="0" applyProtection="0"/>
    <xf numFmtId="8" fontId="2" fillId="0" borderId="0" applyFont="0" applyFill="0" applyBorder="0" applyAlignment="0" applyProtection="0"/>
    <xf numFmtId="0" fontId="56" fillId="9" borderId="4" applyNumberFormat="0" applyAlignment="0" applyProtection="0"/>
    <xf numFmtId="4" fontId="2" fillId="0" borderId="0" applyFont="0" applyFill="0" applyBorder="0" applyAlignment="0" applyProtection="0"/>
    <xf numFmtId="8" fontId="2" fillId="0" borderId="0" applyFont="0" applyFill="0" applyBorder="0" applyAlignment="0" applyProtection="0"/>
    <xf numFmtId="0" fontId="56" fillId="9" borderId="4" applyNumberFormat="0" applyAlignment="0" applyProtection="0"/>
    <xf numFmtId="9" fontId="2" fillId="0" borderId="0" applyFont="0" applyFill="0" applyBorder="0" applyAlignment="0" applyProtection="0"/>
    <xf numFmtId="0" fontId="2" fillId="0" borderId="0"/>
    <xf numFmtId="0" fontId="60" fillId="0" borderId="0" applyNumberFormat="0" applyFill="0" applyBorder="0" applyAlignment="0" applyProtection="0"/>
    <xf numFmtId="0" fontId="56" fillId="9" borderId="4" applyNumberFormat="0" applyAlignment="0" applyProtection="0"/>
    <xf numFmtId="43" fontId="5" fillId="0" borderId="0" applyFont="0" applyFill="0" applyBorder="0" applyAlignment="0" applyProtection="0"/>
  </cellStyleXfs>
  <cellXfs count="463">
    <xf numFmtId="0" fontId="0" fillId="0" borderId="0" xfId="0"/>
    <xf numFmtId="0" fontId="9" fillId="2" borderId="0" xfId="0" quotePrefix="1" applyFont="1" applyFill="1" applyAlignment="1">
      <alignment vertical="center"/>
    </xf>
    <xf numFmtId="0" fontId="9" fillId="2" borderId="0" xfId="0" applyFont="1" applyFill="1" applyAlignment="1">
      <alignment vertical="center"/>
    </xf>
    <xf numFmtId="0" fontId="9" fillId="2" borderId="0" xfId="0" applyFont="1" applyFill="1" applyAlignment="1">
      <alignment horizontal="left" vertical="center"/>
    </xf>
    <xf numFmtId="0" fontId="9" fillId="2" borderId="0" xfId="1" applyFont="1" applyFill="1"/>
    <xf numFmtId="0" fontId="9" fillId="2" borderId="0" xfId="0" applyFont="1" applyFill="1"/>
    <xf numFmtId="0" fontId="13" fillId="0" borderId="0" xfId="0" applyFont="1"/>
    <xf numFmtId="0" fontId="14" fillId="0" borderId="0" xfId="0" applyFont="1"/>
    <xf numFmtId="0" fontId="13" fillId="2" borderId="0" xfId="0" applyFont="1" applyFill="1"/>
    <xf numFmtId="0" fontId="9" fillId="2" borderId="0" xfId="0" applyFont="1" applyFill="1" applyAlignment="1">
      <alignment horizontal="left"/>
    </xf>
    <xf numFmtId="0" fontId="13" fillId="2" borderId="0" xfId="0" applyFont="1" applyFill="1" applyAlignment="1">
      <alignment horizontal="right"/>
    </xf>
    <xf numFmtId="0" fontId="13" fillId="0" borderId="0" xfId="1317" applyFont="1" applyAlignment="1">
      <alignment vertical="center"/>
    </xf>
    <xf numFmtId="0" fontId="9" fillId="2" borderId="0" xfId="1317" applyFont="1" applyFill="1" applyAlignment="1">
      <alignment vertical="center"/>
    </xf>
    <xf numFmtId="0" fontId="179" fillId="2" borderId="0" xfId="1317" applyFont="1" applyFill="1" applyAlignment="1">
      <alignment vertical="center"/>
    </xf>
    <xf numFmtId="0" fontId="9" fillId="2" borderId="0" xfId="0" applyFont="1" applyFill="1" applyAlignment="1">
      <alignment horizontal="right" vertical="center"/>
    </xf>
    <xf numFmtId="0" fontId="13" fillId="0" borderId="0" xfId="0" applyFont="1" applyAlignment="1">
      <alignment vertical="center"/>
    </xf>
    <xf numFmtId="0" fontId="10" fillId="53" borderId="0" xfId="0" quotePrefix="1" applyFont="1" applyFill="1" applyAlignment="1">
      <alignment vertical="center"/>
    </xf>
    <xf numFmtId="0" fontId="10" fillId="53" borderId="0" xfId="0" applyFont="1" applyFill="1" applyAlignment="1">
      <alignment vertical="center"/>
    </xf>
    <xf numFmtId="3" fontId="176" fillId="53" borderId="0" xfId="0" applyNumberFormat="1" applyFont="1" applyFill="1" applyAlignment="1">
      <alignment horizontal="right" vertical="center"/>
    </xf>
    <xf numFmtId="3" fontId="10" fillId="53" borderId="0" xfId="82" applyNumberFormat="1" applyFont="1" applyFill="1" applyBorder="1" applyAlignment="1">
      <alignment horizontal="right" vertical="center"/>
    </xf>
    <xf numFmtId="3" fontId="172" fillId="53" borderId="0" xfId="82" applyNumberFormat="1" applyFont="1" applyFill="1" applyBorder="1" applyAlignment="1">
      <alignment horizontal="right" vertical="center"/>
    </xf>
    <xf numFmtId="3" fontId="10" fillId="53" borderId="0" xfId="0" applyNumberFormat="1" applyFont="1" applyFill="1" applyAlignment="1">
      <alignment horizontal="right" vertical="center"/>
    </xf>
    <xf numFmtId="3" fontId="172" fillId="53" borderId="0" xfId="0" applyNumberFormat="1" applyFont="1" applyFill="1" applyAlignment="1">
      <alignment horizontal="right" vertical="center"/>
    </xf>
    <xf numFmtId="0" fontId="12" fillId="53" borderId="0" xfId="0" applyFont="1" applyFill="1" applyAlignment="1">
      <alignment vertical="center"/>
    </xf>
    <xf numFmtId="0" fontId="180" fillId="0" borderId="0" xfId="0" applyFont="1"/>
    <xf numFmtId="0" fontId="14" fillId="53" borderId="0" xfId="0" applyFont="1" applyFill="1"/>
    <xf numFmtId="3" fontId="171" fillId="53" borderId="0" xfId="1" applyNumberFormat="1" applyFont="1" applyFill="1" applyAlignment="1">
      <alignment horizontal="right" vertical="center"/>
    </xf>
    <xf numFmtId="3" fontId="12" fillId="53" borderId="0" xfId="82" applyNumberFormat="1" applyFont="1" applyFill="1" applyBorder="1" applyAlignment="1">
      <alignment horizontal="right" vertical="center"/>
    </xf>
    <xf numFmtId="3" fontId="171" fillId="53" borderId="0" xfId="82" applyNumberFormat="1" applyFont="1" applyFill="1" applyBorder="1" applyAlignment="1">
      <alignment horizontal="right" vertical="center"/>
    </xf>
    <xf numFmtId="0" fontId="180" fillId="53" borderId="0" xfId="0" applyFont="1" applyFill="1"/>
    <xf numFmtId="170" fontId="173" fillId="53" borderId="0" xfId="1406" applyNumberFormat="1" applyFont="1" applyFill="1" applyBorder="1" applyAlignment="1">
      <alignment horizontal="right" vertical="center"/>
    </xf>
    <xf numFmtId="170" fontId="11" fillId="53" borderId="0" xfId="1406" applyNumberFormat="1" applyFont="1" applyFill="1" applyBorder="1" applyAlignment="1">
      <alignment horizontal="right" vertical="center"/>
    </xf>
    <xf numFmtId="0" fontId="13" fillId="53" borderId="0" xfId="0" applyFont="1" applyFill="1"/>
    <xf numFmtId="170" fontId="176" fillId="53" borderId="0" xfId="1406" applyNumberFormat="1" applyFont="1" applyFill="1" applyBorder="1" applyAlignment="1">
      <alignment horizontal="right" vertical="center"/>
    </xf>
    <xf numFmtId="170" fontId="10" fillId="53" borderId="0" xfId="1406" applyNumberFormat="1" applyFont="1" applyFill="1" applyBorder="1" applyAlignment="1">
      <alignment horizontal="right" vertical="center"/>
    </xf>
    <xf numFmtId="170" fontId="172" fillId="53" borderId="0" xfId="1406" applyNumberFormat="1" applyFont="1" applyFill="1" applyBorder="1" applyAlignment="1">
      <alignment horizontal="right" vertical="center"/>
    </xf>
    <xf numFmtId="10" fontId="10" fillId="53" borderId="0" xfId="1406" applyNumberFormat="1" applyFont="1" applyFill="1" applyBorder="1" applyAlignment="1">
      <alignment horizontal="right" vertical="center"/>
    </xf>
    <xf numFmtId="3" fontId="176" fillId="53" borderId="0" xfId="82" applyNumberFormat="1" applyFont="1" applyFill="1" applyBorder="1" applyAlignment="1">
      <alignment horizontal="right" vertical="center"/>
    </xf>
    <xf numFmtId="3" fontId="178" fillId="53" borderId="0" xfId="82" applyNumberFormat="1" applyFont="1" applyFill="1" applyBorder="1" applyAlignment="1">
      <alignment horizontal="right" vertical="center"/>
    </xf>
    <xf numFmtId="3" fontId="12" fillId="53" borderId="0" xfId="0" applyNumberFormat="1" applyFont="1" applyFill="1" applyAlignment="1">
      <alignment horizontal="right" vertical="center"/>
    </xf>
    <xf numFmtId="3" fontId="171" fillId="53" borderId="0" xfId="0" applyNumberFormat="1" applyFont="1" applyFill="1" applyAlignment="1">
      <alignment horizontal="right" vertical="center"/>
    </xf>
    <xf numFmtId="0" fontId="10" fillId="53" borderId="0" xfId="1" applyFont="1" applyFill="1"/>
    <xf numFmtId="3" fontId="172" fillId="53" borderId="0" xfId="1" applyNumberFormat="1" applyFont="1" applyFill="1" applyAlignment="1">
      <alignment horizontal="right" vertical="center"/>
    </xf>
    <xf numFmtId="3" fontId="10" fillId="53" borderId="0" xfId="82" applyNumberFormat="1" applyFont="1" applyFill="1" applyAlignment="1">
      <alignment horizontal="right" vertical="center"/>
    </xf>
    <xf numFmtId="3" fontId="172" fillId="53" borderId="0" xfId="82" applyNumberFormat="1" applyFont="1" applyFill="1" applyAlignment="1">
      <alignment horizontal="right" vertical="center"/>
    </xf>
    <xf numFmtId="169" fontId="172" fillId="53" borderId="0" xfId="82" applyNumberFormat="1" applyFont="1" applyFill="1" applyBorder="1" applyAlignment="1">
      <alignment horizontal="right" vertical="center"/>
    </xf>
    <xf numFmtId="169" fontId="10" fillId="53" borderId="0" xfId="82" applyNumberFormat="1" applyFont="1" applyFill="1" applyBorder="1" applyAlignment="1">
      <alignment horizontal="right" vertical="center"/>
    </xf>
    <xf numFmtId="169" fontId="10" fillId="53" borderId="0" xfId="1406" applyNumberFormat="1" applyFont="1" applyFill="1" applyBorder="1" applyAlignment="1">
      <alignment horizontal="right" vertical="center"/>
    </xf>
    <xf numFmtId="3" fontId="171" fillId="53" borderId="0" xfId="425" applyNumberFormat="1" applyFont="1" applyFill="1" applyBorder="1" applyAlignment="1">
      <alignment horizontal="right" vertical="center"/>
    </xf>
    <xf numFmtId="3" fontId="178" fillId="53" borderId="0" xfId="82" applyNumberFormat="1" applyFont="1" applyFill="1" applyAlignment="1">
      <alignment horizontal="right" vertical="center"/>
    </xf>
    <xf numFmtId="3" fontId="12" fillId="53" borderId="0" xfId="425" applyNumberFormat="1" applyFont="1" applyFill="1" applyBorder="1" applyAlignment="1">
      <alignment horizontal="right" vertical="center"/>
    </xf>
    <xf numFmtId="0" fontId="12" fillId="53" borderId="0" xfId="1" applyFont="1" applyFill="1"/>
    <xf numFmtId="0" fontId="12" fillId="53" borderId="0" xfId="1" applyFont="1" applyFill="1" applyAlignment="1">
      <alignment vertical="center"/>
    </xf>
    <xf numFmtId="0" fontId="10" fillId="53" borderId="0" xfId="1" applyFont="1" applyFill="1" applyAlignment="1">
      <alignment vertical="center"/>
    </xf>
    <xf numFmtId="0" fontId="172" fillId="53" borderId="0" xfId="1" applyFont="1" applyFill="1" applyAlignment="1">
      <alignment horizontal="right" vertical="center"/>
    </xf>
    <xf numFmtId="0" fontId="10" fillId="53" borderId="0" xfId="1" applyFont="1" applyFill="1" applyAlignment="1">
      <alignment horizontal="right" vertical="center"/>
    </xf>
    <xf numFmtId="3" fontId="12" fillId="53" borderId="0" xfId="82" applyNumberFormat="1" applyFont="1" applyFill="1" applyAlignment="1">
      <alignment horizontal="right" vertical="center"/>
    </xf>
    <xf numFmtId="3" fontId="171" fillId="53" borderId="0" xfId="82" applyNumberFormat="1" applyFont="1" applyFill="1" applyAlignment="1">
      <alignment horizontal="right" vertical="center"/>
    </xf>
    <xf numFmtId="0" fontId="12" fillId="53" borderId="0" xfId="0" applyFont="1" applyFill="1" applyAlignment="1">
      <alignment horizontal="right" vertical="center"/>
    </xf>
    <xf numFmtId="3" fontId="12" fillId="53" borderId="0" xfId="1" applyNumberFormat="1" applyFont="1" applyFill="1" applyAlignment="1">
      <alignment horizontal="right" vertical="center"/>
    </xf>
    <xf numFmtId="0" fontId="10" fillId="53" borderId="0" xfId="0" applyFont="1" applyFill="1" applyAlignment="1">
      <alignment horizontal="right" vertical="center"/>
    </xf>
    <xf numFmtId="3" fontId="12" fillId="53" borderId="0" xfId="0" quotePrefix="1" applyNumberFormat="1" applyFont="1" applyFill="1" applyAlignment="1">
      <alignment horizontal="left"/>
    </xf>
    <xf numFmtId="3" fontId="10" fillId="53" borderId="0" xfId="0" quotePrefix="1" applyNumberFormat="1" applyFont="1" applyFill="1" applyAlignment="1">
      <alignment horizontal="left"/>
    </xf>
    <xf numFmtId="0" fontId="10" fillId="53" borderId="0" xfId="0" quotePrefix="1" applyFont="1" applyFill="1" applyAlignment="1">
      <alignment horizontal="left"/>
    </xf>
    <xf numFmtId="0" fontId="12" fillId="53" borderId="0" xfId="0" quotePrefix="1" applyFont="1" applyFill="1" applyAlignment="1">
      <alignment horizontal="left"/>
    </xf>
    <xf numFmtId="1" fontId="171" fillId="53" borderId="0" xfId="1" applyNumberFormat="1" applyFont="1" applyFill="1" applyAlignment="1">
      <alignment horizontal="right" vertical="center"/>
    </xf>
    <xf numFmtId="1" fontId="12" fillId="53" borderId="0" xfId="1" applyNumberFormat="1" applyFont="1" applyFill="1" applyAlignment="1">
      <alignment horizontal="right" vertical="center"/>
    </xf>
    <xf numFmtId="1" fontId="171" fillId="53" borderId="0" xfId="82" applyNumberFormat="1" applyFont="1" applyFill="1" applyBorder="1" applyAlignment="1">
      <alignment horizontal="right" vertical="center"/>
    </xf>
    <xf numFmtId="1" fontId="12" fillId="53" borderId="0" xfId="82" applyNumberFormat="1" applyFont="1" applyFill="1" applyBorder="1" applyAlignment="1">
      <alignment horizontal="right" vertical="center"/>
    </xf>
    <xf numFmtId="3" fontId="10" fillId="53" borderId="0" xfId="1" applyNumberFormat="1" applyFont="1" applyFill="1" applyAlignment="1">
      <alignment horizontal="right" vertical="center"/>
    </xf>
    <xf numFmtId="3" fontId="12" fillId="53" borderId="0" xfId="0" applyNumberFormat="1" applyFont="1" applyFill="1"/>
    <xf numFmtId="0" fontId="10" fillId="53" borderId="0" xfId="0" applyFont="1" applyFill="1" applyAlignment="1">
      <alignment horizontal="left" indent="1"/>
    </xf>
    <xf numFmtId="0" fontId="12" fillId="53" borderId="0" xfId="0" applyFont="1" applyFill="1"/>
    <xf numFmtId="0" fontId="10" fillId="53" borderId="0" xfId="0" applyFont="1" applyFill="1"/>
    <xf numFmtId="169" fontId="178" fillId="53" borderId="0" xfId="0" applyNumberFormat="1" applyFont="1" applyFill="1" applyAlignment="1">
      <alignment horizontal="right" vertical="center"/>
    </xf>
    <xf numFmtId="169" fontId="12" fillId="53" borderId="0" xfId="0" applyNumberFormat="1" applyFont="1" applyFill="1" applyAlignment="1">
      <alignment horizontal="right" vertical="center"/>
    </xf>
    <xf numFmtId="169" fontId="176" fillId="53" borderId="0" xfId="0" applyNumberFormat="1" applyFont="1" applyFill="1" applyAlignment="1">
      <alignment horizontal="right" vertical="center"/>
    </xf>
    <xf numFmtId="169" fontId="10" fillId="53" borderId="0" xfId="0" applyNumberFormat="1" applyFont="1" applyFill="1" applyAlignment="1">
      <alignment horizontal="right" vertical="center"/>
    </xf>
    <xf numFmtId="169" fontId="172" fillId="53" borderId="0" xfId="0" applyNumberFormat="1" applyFont="1" applyFill="1" applyAlignment="1">
      <alignment horizontal="right" vertical="center"/>
    </xf>
    <xf numFmtId="169" fontId="171" fillId="53" borderId="0" xfId="0" applyNumberFormat="1" applyFont="1" applyFill="1" applyAlignment="1">
      <alignment horizontal="right" vertical="center"/>
    </xf>
    <xf numFmtId="3" fontId="178" fillId="53" borderId="0" xfId="0" applyNumberFormat="1" applyFont="1" applyFill="1" applyAlignment="1">
      <alignment horizontal="right" vertical="center"/>
    </xf>
    <xf numFmtId="3" fontId="13" fillId="53" borderId="0" xfId="0" applyNumberFormat="1" applyFont="1" applyFill="1"/>
    <xf numFmtId="170" fontId="13" fillId="53" borderId="0" xfId="1522" applyNumberFormat="1" applyFont="1" applyFill="1"/>
    <xf numFmtId="3" fontId="172" fillId="53" borderId="0" xfId="0" applyNumberFormat="1" applyFont="1" applyFill="1"/>
    <xf numFmtId="3" fontId="12" fillId="53" borderId="0" xfId="0" applyNumberFormat="1" applyFont="1" applyFill="1" applyAlignment="1">
      <alignment horizontal="left" vertical="center"/>
    </xf>
    <xf numFmtId="3" fontId="10" fillId="53" borderId="0" xfId="0" applyNumberFormat="1" applyFont="1" applyFill="1" applyAlignment="1">
      <alignment horizontal="left" vertical="center"/>
    </xf>
    <xf numFmtId="3" fontId="10" fillId="53" borderId="0" xfId="0" applyNumberFormat="1" applyFont="1" applyFill="1" applyAlignment="1">
      <alignment vertical="center"/>
    </xf>
    <xf numFmtId="3" fontId="12" fillId="53" borderId="0" xfId="0" applyNumberFormat="1" applyFont="1" applyFill="1" applyAlignment="1">
      <alignment vertical="center"/>
    </xf>
    <xf numFmtId="1" fontId="172" fillId="53" borderId="0" xfId="1541" applyNumberFormat="1" applyFont="1" applyFill="1" applyAlignment="1">
      <alignment horizontal="right" vertical="center"/>
    </xf>
    <xf numFmtId="1" fontId="10" fillId="53" borderId="0" xfId="1541" applyNumberFormat="1" applyFont="1" applyFill="1" applyAlignment="1">
      <alignment horizontal="right" vertical="center"/>
    </xf>
    <xf numFmtId="3" fontId="172" fillId="53" borderId="0" xfId="1582" applyNumberFormat="1" applyFont="1" applyFill="1" applyAlignment="1">
      <alignment horizontal="right" vertical="center"/>
    </xf>
    <xf numFmtId="3" fontId="10" fillId="53" borderId="0" xfId="1582" applyNumberFormat="1" applyFont="1" applyFill="1" applyAlignment="1">
      <alignment horizontal="right" vertical="center"/>
    </xf>
    <xf numFmtId="0" fontId="172" fillId="53" borderId="0" xfId="0" applyFont="1" applyFill="1"/>
    <xf numFmtId="9" fontId="13" fillId="53" borderId="0" xfId="1522" applyFont="1" applyFill="1"/>
    <xf numFmtId="170" fontId="176" fillId="53" borderId="0" xfId="0" applyNumberFormat="1" applyFont="1" applyFill="1" applyAlignment="1">
      <alignment horizontal="right" vertical="center"/>
    </xf>
    <xf numFmtId="170" fontId="10" fillId="53" borderId="0" xfId="0" applyNumberFormat="1" applyFont="1" applyFill="1" applyAlignment="1">
      <alignment horizontal="right" vertical="center"/>
    </xf>
    <xf numFmtId="169" fontId="10" fillId="53" borderId="0" xfId="82" applyNumberFormat="1" applyFont="1" applyFill="1" applyAlignment="1">
      <alignment horizontal="right" vertical="center"/>
    </xf>
    <xf numFmtId="0" fontId="179" fillId="2" borderId="0" xfId="0" applyFont="1" applyFill="1"/>
    <xf numFmtId="0" fontId="9" fillId="2" borderId="0" xfId="0" applyFont="1" applyFill="1" applyAlignment="1">
      <alignment horizontal="right"/>
    </xf>
    <xf numFmtId="170" fontId="171" fillId="53" borderId="0" xfId="1406" applyNumberFormat="1" applyFont="1" applyFill="1" applyAlignment="1">
      <alignment horizontal="right" vertical="center"/>
    </xf>
    <xf numFmtId="170" fontId="172" fillId="53" borderId="0" xfId="1406" applyNumberFormat="1" applyFont="1" applyFill="1" applyAlignment="1">
      <alignment horizontal="right" vertical="center"/>
    </xf>
    <xf numFmtId="10" fontId="172" fillId="53" borderId="0" xfId="0" applyNumberFormat="1" applyFont="1" applyFill="1" applyAlignment="1">
      <alignment horizontal="right" vertical="center"/>
    </xf>
    <xf numFmtId="170" fontId="13" fillId="53" borderId="0" xfId="0" applyNumberFormat="1" applyFont="1" applyFill="1"/>
    <xf numFmtId="170" fontId="172" fillId="53" borderId="0" xfId="0" applyNumberFormat="1" applyFont="1" applyFill="1"/>
    <xf numFmtId="0" fontId="172" fillId="53" borderId="0" xfId="0" applyFont="1" applyFill="1" applyAlignment="1">
      <alignment horizontal="right" vertical="center"/>
    </xf>
    <xf numFmtId="9" fontId="172" fillId="53" borderId="0" xfId="0" applyNumberFormat="1" applyFont="1" applyFill="1" applyAlignment="1">
      <alignment horizontal="right" vertical="center"/>
    </xf>
    <xf numFmtId="170" fontId="172" fillId="53" borderId="0" xfId="0" applyNumberFormat="1" applyFont="1" applyFill="1" applyAlignment="1">
      <alignment horizontal="right" vertical="center"/>
    </xf>
    <xf numFmtId="0" fontId="171" fillId="53" borderId="0" xfId="0" applyFont="1" applyFill="1" applyAlignment="1">
      <alignment horizontal="right" vertical="center"/>
    </xf>
    <xf numFmtId="170" fontId="172" fillId="53" borderId="0" xfId="1522" applyNumberFormat="1" applyFont="1" applyFill="1"/>
    <xf numFmtId="170" fontId="184" fillId="53" borderId="0" xfId="0" applyNumberFormat="1" applyFont="1" applyFill="1"/>
    <xf numFmtId="170" fontId="171" fillId="53" borderId="0" xfId="1522" applyNumberFormat="1" applyFont="1" applyFill="1"/>
    <xf numFmtId="170" fontId="182" fillId="53" borderId="0" xfId="0" applyNumberFormat="1" applyFont="1" applyFill="1" applyAlignment="1">
      <alignment horizontal="right" vertical="center"/>
    </xf>
    <xf numFmtId="0" fontId="182" fillId="53" borderId="0" xfId="0" applyFont="1" applyFill="1" applyAlignment="1">
      <alignment horizontal="right" vertical="center"/>
    </xf>
    <xf numFmtId="170" fontId="172" fillId="53" borderId="0" xfId="1522" applyNumberFormat="1" applyFont="1" applyFill="1" applyAlignment="1">
      <alignment horizontal="right" vertical="center"/>
    </xf>
    <xf numFmtId="0" fontId="177" fillId="0" borderId="0" xfId="0" applyFont="1"/>
    <xf numFmtId="3" fontId="13" fillId="0" borderId="0" xfId="0" applyNumberFormat="1" applyFont="1"/>
    <xf numFmtId="9" fontId="172" fillId="53" borderId="0" xfId="1522" applyFont="1" applyFill="1" applyAlignment="1">
      <alignment horizontal="right" vertical="center"/>
    </xf>
    <xf numFmtId="9" fontId="172" fillId="53" borderId="0" xfId="1522" applyFont="1" applyFill="1"/>
    <xf numFmtId="9" fontId="172" fillId="53" borderId="0" xfId="0" applyNumberFormat="1" applyFont="1" applyFill="1"/>
    <xf numFmtId="0" fontId="9" fillId="0" borderId="0" xfId="0" applyFont="1" applyAlignment="1">
      <alignment vertical="center"/>
    </xf>
    <xf numFmtId="170" fontId="10" fillId="53" borderId="0" xfId="1406" applyNumberFormat="1" applyFont="1" applyFill="1" applyAlignment="1">
      <alignment horizontal="right" vertical="center"/>
    </xf>
    <xf numFmtId="170" fontId="10" fillId="53" borderId="0" xfId="0" applyNumberFormat="1" applyFont="1" applyFill="1"/>
    <xf numFmtId="9" fontId="171" fillId="53" borderId="0" xfId="1522" applyFont="1" applyFill="1"/>
    <xf numFmtId="168" fontId="172" fillId="53" borderId="0" xfId="0" applyNumberFormat="1" applyFont="1" applyFill="1"/>
    <xf numFmtId="168" fontId="172" fillId="53" borderId="0" xfId="0" applyNumberFormat="1" applyFont="1" applyFill="1" applyAlignment="1">
      <alignment horizontal="right" vertical="center"/>
    </xf>
    <xf numFmtId="169" fontId="175" fillId="53" borderId="0" xfId="82" applyNumberFormat="1" applyFont="1" applyFill="1" applyAlignment="1">
      <alignment horizontal="right" vertical="center"/>
    </xf>
    <xf numFmtId="3" fontId="176" fillId="53" borderId="0" xfId="425" applyNumberFormat="1" applyFont="1" applyFill="1" applyBorder="1" applyAlignment="1">
      <alignment horizontal="right" vertical="center"/>
    </xf>
    <xf numFmtId="3" fontId="176" fillId="53" borderId="0" xfId="1552" applyNumberFormat="1" applyFont="1" applyFill="1" applyAlignment="1">
      <alignment horizontal="right" vertical="center"/>
    </xf>
    <xf numFmtId="3" fontId="10" fillId="53" borderId="0" xfId="1552" applyNumberFormat="1" applyFont="1" applyFill="1" applyAlignment="1">
      <alignment horizontal="right" vertical="center"/>
    </xf>
    <xf numFmtId="3" fontId="172" fillId="53" borderId="0" xfId="1552" applyNumberFormat="1" applyFont="1" applyFill="1" applyAlignment="1">
      <alignment horizontal="right" vertical="center"/>
    </xf>
    <xf numFmtId="3" fontId="172" fillId="53" borderId="0" xfId="1565" applyNumberFormat="1" applyFont="1" applyFill="1" applyAlignment="1">
      <alignment horizontal="right" vertical="center"/>
    </xf>
    <xf numFmtId="3" fontId="10" fillId="53" borderId="0" xfId="1565" applyNumberFormat="1" applyFont="1" applyFill="1" applyAlignment="1">
      <alignment horizontal="right" vertical="center"/>
    </xf>
    <xf numFmtId="0" fontId="13" fillId="52" borderId="0" xfId="377" applyFont="1" applyFill="1" applyAlignment="1">
      <alignment vertical="center"/>
    </xf>
    <xf numFmtId="3" fontId="13" fillId="52" borderId="0" xfId="377" applyNumberFormat="1" applyFont="1" applyFill="1" applyAlignment="1">
      <alignment vertical="center"/>
    </xf>
    <xf numFmtId="0" fontId="13" fillId="52" borderId="0" xfId="0" applyFont="1" applyFill="1" applyAlignment="1">
      <alignment vertical="center"/>
    </xf>
    <xf numFmtId="0" fontId="14" fillId="52" borderId="0" xfId="0" applyFont="1" applyFill="1" applyAlignment="1">
      <alignment vertical="center"/>
    </xf>
    <xf numFmtId="10" fontId="176" fillId="53" borderId="0" xfId="1406" applyNumberFormat="1" applyFont="1" applyFill="1" applyBorder="1" applyAlignment="1">
      <alignment horizontal="right" vertical="center"/>
    </xf>
    <xf numFmtId="10" fontId="172" fillId="53" borderId="0" xfId="1406" applyNumberFormat="1" applyFont="1" applyFill="1" applyBorder="1" applyAlignment="1">
      <alignment horizontal="right" vertical="center"/>
    </xf>
    <xf numFmtId="10" fontId="11" fillId="53" borderId="0" xfId="1406" applyNumberFormat="1" applyFont="1" applyFill="1" applyBorder="1" applyAlignment="1">
      <alignment horizontal="right" vertical="center"/>
    </xf>
    <xf numFmtId="10" fontId="174" fillId="53" borderId="0" xfId="1406" applyNumberFormat="1" applyFont="1" applyFill="1" applyBorder="1" applyAlignment="1">
      <alignment horizontal="right" vertical="center"/>
    </xf>
    <xf numFmtId="0" fontId="180" fillId="2" borderId="0" xfId="0" applyFont="1" applyFill="1"/>
    <xf numFmtId="0" fontId="185" fillId="53" borderId="0" xfId="0" applyFont="1" applyFill="1" applyAlignment="1">
      <alignment vertical="center"/>
    </xf>
    <xf numFmtId="0" fontId="14" fillId="54" borderId="24" xfId="0" applyFont="1" applyFill="1" applyBorder="1"/>
    <xf numFmtId="0" fontId="9" fillId="52" borderId="0" xfId="0" applyFont="1" applyFill="1" applyAlignment="1">
      <alignment horizontal="left"/>
    </xf>
    <xf numFmtId="0" fontId="13" fillId="52" borderId="0" xfId="0" applyFont="1" applyFill="1"/>
    <xf numFmtId="0" fontId="13" fillId="2" borderId="0" xfId="0" applyFont="1" applyFill="1" applyAlignment="1">
      <alignment vertical="center"/>
    </xf>
    <xf numFmtId="3" fontId="14" fillId="52" borderId="0" xfId="0" applyNumberFormat="1" applyFont="1" applyFill="1" applyAlignment="1">
      <alignment horizontal="right"/>
    </xf>
    <xf numFmtId="3" fontId="177" fillId="52" borderId="0" xfId="0" applyNumberFormat="1" applyFont="1" applyFill="1" applyAlignment="1">
      <alignment horizontal="right" vertical="center"/>
    </xf>
    <xf numFmtId="3" fontId="10" fillId="52" borderId="0" xfId="0" applyNumberFormat="1" applyFont="1" applyFill="1" applyAlignment="1">
      <alignment horizontal="right" vertical="center"/>
    </xf>
    <xf numFmtId="3" fontId="10" fillId="52" borderId="0" xfId="82" applyNumberFormat="1" applyFont="1" applyFill="1" applyBorder="1" applyAlignment="1">
      <alignment horizontal="right" vertical="center"/>
    </xf>
    <xf numFmtId="0" fontId="180" fillId="2" borderId="0" xfId="0" applyFont="1" applyFill="1" applyAlignment="1">
      <alignment horizontal="right"/>
    </xf>
    <xf numFmtId="10" fontId="10" fillId="52" borderId="0" xfId="1406" applyNumberFormat="1" applyFont="1" applyFill="1" applyBorder="1" applyAlignment="1">
      <alignment horizontal="right" vertical="center"/>
    </xf>
    <xf numFmtId="3" fontId="172" fillId="52" borderId="0" xfId="82" applyNumberFormat="1" applyFont="1" applyFill="1" applyBorder="1" applyAlignment="1">
      <alignment horizontal="right" vertical="center"/>
    </xf>
    <xf numFmtId="10" fontId="11" fillId="52" borderId="0" xfId="1406" applyNumberFormat="1" applyFont="1" applyFill="1" applyBorder="1" applyAlignment="1">
      <alignment horizontal="right" vertical="center"/>
    </xf>
    <xf numFmtId="3" fontId="181" fillId="52" borderId="0" xfId="0" applyNumberFormat="1" applyFont="1" applyFill="1" applyAlignment="1">
      <alignment horizontal="right" vertical="center"/>
    </xf>
    <xf numFmtId="3" fontId="12" fillId="52" borderId="0" xfId="0" applyNumberFormat="1" applyFont="1" applyFill="1" applyAlignment="1">
      <alignment horizontal="right" vertical="center"/>
    </xf>
    <xf numFmtId="169" fontId="177" fillId="52" borderId="0" xfId="0" applyNumberFormat="1" applyFont="1" applyFill="1" applyAlignment="1">
      <alignment horizontal="right" vertical="center"/>
    </xf>
    <xf numFmtId="169" fontId="176" fillId="52" borderId="0" xfId="0" applyNumberFormat="1" applyFont="1" applyFill="1" applyAlignment="1">
      <alignment horizontal="right" vertical="center"/>
    </xf>
    <xf numFmtId="170" fontId="10" fillId="52" borderId="0" xfId="0" applyNumberFormat="1" applyFont="1" applyFill="1" applyAlignment="1">
      <alignment horizontal="right" vertical="center"/>
    </xf>
    <xf numFmtId="169" fontId="10" fillId="52" borderId="0" xfId="82" applyNumberFormat="1" applyFont="1" applyFill="1" applyAlignment="1">
      <alignment horizontal="right" vertical="center"/>
    </xf>
    <xf numFmtId="170" fontId="177" fillId="52" borderId="0" xfId="0" applyNumberFormat="1" applyFont="1" applyFill="1" applyAlignment="1">
      <alignment horizontal="right" vertical="center"/>
    </xf>
    <xf numFmtId="169" fontId="181" fillId="52" borderId="0" xfId="0" applyNumberFormat="1" applyFont="1" applyFill="1" applyAlignment="1">
      <alignment horizontal="right" vertical="center"/>
    </xf>
    <xf numFmtId="169" fontId="12" fillId="52" borderId="0" xfId="0" applyNumberFormat="1" applyFont="1" applyFill="1" applyAlignment="1">
      <alignment horizontal="right" vertical="center"/>
    </xf>
    <xf numFmtId="3" fontId="176" fillId="52" borderId="0" xfId="0" applyNumberFormat="1" applyFont="1" applyFill="1" applyAlignment="1">
      <alignment horizontal="right" vertical="center"/>
    </xf>
    <xf numFmtId="0" fontId="13" fillId="2" borderId="0" xfId="1317" applyFont="1" applyFill="1" applyAlignment="1">
      <alignment vertical="center"/>
    </xf>
    <xf numFmtId="0" fontId="9" fillId="2" borderId="0" xfId="0" applyFont="1" applyFill="1" applyAlignment="1">
      <alignment horizontal="center" vertical="center"/>
    </xf>
    <xf numFmtId="170" fontId="13" fillId="52" borderId="0" xfId="1522" applyNumberFormat="1" applyFont="1" applyFill="1" applyAlignment="1">
      <alignment horizontal="right" vertical="center"/>
    </xf>
    <xf numFmtId="0" fontId="13" fillId="2" borderId="0" xfId="0" applyFont="1" applyFill="1" applyAlignment="1">
      <alignment horizontal="right" vertical="center"/>
    </xf>
    <xf numFmtId="0" fontId="13" fillId="0" borderId="0" xfId="0" applyFont="1" applyAlignment="1">
      <alignment horizontal="right" vertical="center"/>
    </xf>
    <xf numFmtId="169" fontId="10" fillId="52" borderId="0" xfId="0" applyNumberFormat="1" applyFont="1" applyFill="1" applyAlignment="1">
      <alignment horizontal="right" vertical="center"/>
    </xf>
    <xf numFmtId="0" fontId="186" fillId="0" borderId="0" xfId="0" applyFont="1"/>
    <xf numFmtId="9" fontId="13" fillId="52" borderId="0" xfId="1522" applyFont="1" applyFill="1" applyAlignment="1">
      <alignment horizontal="right" vertical="center"/>
    </xf>
    <xf numFmtId="9" fontId="10" fillId="53" borderId="0" xfId="1406" applyFont="1" applyFill="1"/>
    <xf numFmtId="0" fontId="187" fillId="2" borderId="0" xfId="0" applyFont="1" applyFill="1" applyAlignment="1">
      <alignment vertical="center"/>
    </xf>
    <xf numFmtId="0" fontId="14" fillId="54" borderId="0" xfId="0" applyFont="1" applyFill="1" applyAlignment="1">
      <alignment vertical="center"/>
    </xf>
    <xf numFmtId="216" fontId="9" fillId="2" borderId="0" xfId="1524" applyNumberFormat="1" applyFont="1" applyFill="1" applyAlignment="1">
      <alignment vertical="center"/>
    </xf>
    <xf numFmtId="0" fontId="14" fillId="54" borderId="0" xfId="377" applyFont="1" applyFill="1" applyAlignment="1">
      <alignment vertical="center"/>
    </xf>
    <xf numFmtId="168" fontId="14" fillId="54" borderId="0" xfId="0" applyNumberFormat="1" applyFont="1" applyFill="1" applyAlignment="1">
      <alignment horizontal="center" vertical="center"/>
    </xf>
    <xf numFmtId="43" fontId="13" fillId="53" borderId="0" xfId="1585" applyFont="1" applyFill="1"/>
    <xf numFmtId="3" fontId="172" fillId="52" borderId="0" xfId="0" applyNumberFormat="1" applyFont="1" applyFill="1" applyAlignment="1">
      <alignment horizontal="right" vertical="center"/>
    </xf>
    <xf numFmtId="170" fontId="177" fillId="52" borderId="0" xfId="1406" applyNumberFormat="1" applyFont="1" applyFill="1" applyBorder="1" applyAlignment="1">
      <alignment horizontal="right" vertical="center"/>
    </xf>
    <xf numFmtId="170" fontId="172" fillId="52" borderId="0" xfId="1406" applyNumberFormat="1" applyFont="1" applyFill="1" applyBorder="1" applyAlignment="1">
      <alignment horizontal="right" vertical="center"/>
    </xf>
    <xf numFmtId="170" fontId="10" fillId="52" borderId="0" xfId="1406" applyNumberFormat="1" applyFont="1" applyFill="1" applyBorder="1" applyAlignment="1">
      <alignment horizontal="right" vertical="center"/>
    </xf>
    <xf numFmtId="170" fontId="172" fillId="52" borderId="0" xfId="1406" applyNumberFormat="1" applyFont="1" applyFill="1" applyAlignment="1">
      <alignment horizontal="right" vertical="center"/>
    </xf>
    <xf numFmtId="0" fontId="172" fillId="52" borderId="0" xfId="0" applyFont="1" applyFill="1" applyAlignment="1">
      <alignment horizontal="right" vertical="center"/>
    </xf>
    <xf numFmtId="170" fontId="172" fillId="52" borderId="0" xfId="0" applyNumberFormat="1" applyFont="1" applyFill="1" applyAlignment="1">
      <alignment horizontal="right" vertical="center"/>
    </xf>
    <xf numFmtId="170" fontId="172" fillId="52" borderId="0" xfId="1522" applyNumberFormat="1" applyFont="1" applyFill="1" applyAlignment="1">
      <alignment horizontal="right" vertical="center"/>
    </xf>
    <xf numFmtId="3" fontId="12" fillId="52" borderId="0" xfId="82" applyNumberFormat="1" applyFont="1" applyFill="1" applyBorder="1" applyAlignment="1">
      <alignment horizontal="right" vertical="center"/>
    </xf>
    <xf numFmtId="3" fontId="171" fillId="52" borderId="0" xfId="0" applyNumberFormat="1" applyFont="1" applyFill="1" applyAlignment="1">
      <alignment horizontal="right" vertical="center"/>
    </xf>
    <xf numFmtId="169" fontId="178" fillId="52" borderId="0" xfId="0" applyNumberFormat="1" applyFont="1" applyFill="1" applyAlignment="1">
      <alignment horizontal="right" vertical="center"/>
    </xf>
    <xf numFmtId="170" fontId="176" fillId="52" borderId="0" xfId="0" applyNumberFormat="1" applyFont="1" applyFill="1" applyAlignment="1">
      <alignment horizontal="right" vertical="center"/>
    </xf>
    <xf numFmtId="170" fontId="177" fillId="53" borderId="0" xfId="1522" applyNumberFormat="1" applyFont="1" applyFill="1"/>
    <xf numFmtId="3" fontId="10" fillId="53" borderId="0" xfId="0" applyNumberFormat="1" applyFont="1" applyFill="1" applyAlignment="1">
      <alignment horizontal="left" vertical="center" indent="2"/>
    </xf>
    <xf numFmtId="9" fontId="13" fillId="0" borderId="0" xfId="1522" applyFont="1" applyAlignment="1">
      <alignment vertical="center"/>
    </xf>
    <xf numFmtId="170" fontId="13" fillId="0" borderId="0" xfId="1522" applyNumberFormat="1" applyFont="1" applyAlignment="1">
      <alignment vertical="center"/>
    </xf>
    <xf numFmtId="0" fontId="179" fillId="2" borderId="0" xfId="0" applyFont="1" applyFill="1" applyAlignment="1">
      <alignment vertical="center"/>
    </xf>
    <xf numFmtId="43" fontId="14" fillId="54" borderId="0" xfId="0" applyNumberFormat="1" applyFont="1" applyFill="1" applyAlignment="1">
      <alignment vertical="center"/>
    </xf>
    <xf numFmtId="0" fontId="12" fillId="54" borderId="0" xfId="0" applyFont="1" applyFill="1" applyAlignment="1">
      <alignment horizontal="right" vertical="center"/>
    </xf>
    <xf numFmtId="170" fontId="12" fillId="53" borderId="0" xfId="1522" applyNumberFormat="1" applyFont="1" applyFill="1" applyAlignment="1">
      <alignment horizontal="right" vertical="center"/>
    </xf>
    <xf numFmtId="0" fontId="13" fillId="53" borderId="0" xfId="0" applyFont="1" applyFill="1" applyAlignment="1">
      <alignment horizontal="right" vertical="center"/>
    </xf>
    <xf numFmtId="0" fontId="13" fillId="52" borderId="0" xfId="0" applyFont="1" applyFill="1" applyAlignment="1">
      <alignment horizontal="right" vertical="center"/>
    </xf>
    <xf numFmtId="3" fontId="13" fillId="53" borderId="0" xfId="0" applyNumberFormat="1" applyFont="1" applyFill="1" applyAlignment="1">
      <alignment horizontal="right" vertical="center"/>
    </xf>
    <xf numFmtId="3" fontId="14" fillId="54" borderId="24" xfId="0" applyNumberFormat="1" applyFont="1" applyFill="1" applyBorder="1" applyAlignment="1">
      <alignment horizontal="right" vertical="center"/>
    </xf>
    <xf numFmtId="169" fontId="13" fillId="52" borderId="0" xfId="0" applyNumberFormat="1" applyFont="1" applyFill="1" applyAlignment="1">
      <alignment horizontal="right" vertical="center"/>
    </xf>
    <xf numFmtId="3" fontId="13" fillId="52" borderId="0" xfId="0" applyNumberFormat="1" applyFont="1" applyFill="1" applyAlignment="1">
      <alignment horizontal="right" vertical="center"/>
    </xf>
    <xf numFmtId="169" fontId="14" fillId="54" borderId="24" xfId="0" applyNumberFormat="1" applyFont="1" applyFill="1" applyBorder="1" applyAlignment="1">
      <alignment horizontal="right" vertical="center"/>
    </xf>
    <xf numFmtId="3" fontId="185" fillId="53" borderId="0" xfId="0" applyNumberFormat="1" applyFont="1" applyFill="1" applyAlignment="1">
      <alignment horizontal="right" vertical="center"/>
    </xf>
    <xf numFmtId="3" fontId="185" fillId="52" borderId="0" xfId="0" applyNumberFormat="1" applyFont="1" applyFill="1" applyAlignment="1">
      <alignment horizontal="right" vertical="center"/>
    </xf>
    <xf numFmtId="169" fontId="13" fillId="53" borderId="0" xfId="0" applyNumberFormat="1" applyFont="1" applyFill="1" applyAlignment="1">
      <alignment horizontal="right" vertical="center"/>
    </xf>
    <xf numFmtId="170" fontId="180" fillId="53" borderId="0" xfId="1522" applyNumberFormat="1" applyFont="1" applyFill="1" applyAlignment="1">
      <alignment horizontal="right" vertical="center"/>
    </xf>
    <xf numFmtId="9" fontId="180" fillId="53" borderId="0" xfId="1522" applyFont="1" applyFill="1" applyAlignment="1">
      <alignment horizontal="right" vertical="center"/>
    </xf>
    <xf numFmtId="170" fontId="185" fillId="52" borderId="0" xfId="1522" applyNumberFormat="1" applyFont="1" applyFill="1" applyAlignment="1">
      <alignment horizontal="right" vertical="center"/>
    </xf>
    <xf numFmtId="170" fontId="180" fillId="52" borderId="0" xfId="1522" applyNumberFormat="1" applyFont="1" applyFill="1" applyAlignment="1">
      <alignment horizontal="right" vertical="center"/>
    </xf>
    <xf numFmtId="1" fontId="13" fillId="53" borderId="0" xfId="0" applyNumberFormat="1" applyFont="1" applyFill="1" applyAlignment="1">
      <alignment horizontal="right" vertical="center"/>
    </xf>
    <xf numFmtId="1" fontId="13" fillId="52" borderId="0" xfId="0" applyNumberFormat="1" applyFont="1" applyFill="1" applyAlignment="1">
      <alignment horizontal="right" vertical="center"/>
    </xf>
    <xf numFmtId="3" fontId="14" fillId="53" borderId="0" xfId="0" applyNumberFormat="1" applyFont="1" applyFill="1" applyAlignment="1">
      <alignment horizontal="right" vertical="center"/>
    </xf>
    <xf numFmtId="3" fontId="14" fillId="52" borderId="0" xfId="0" applyNumberFormat="1" applyFont="1" applyFill="1" applyAlignment="1">
      <alignment horizontal="right" vertical="center"/>
    </xf>
    <xf numFmtId="0" fontId="180" fillId="53" borderId="0" xfId="0" applyFont="1" applyFill="1" applyAlignment="1">
      <alignment horizontal="right" vertical="center"/>
    </xf>
    <xf numFmtId="169" fontId="180" fillId="53" borderId="0" xfId="1522" applyNumberFormat="1" applyFont="1" applyFill="1" applyAlignment="1">
      <alignment horizontal="right" vertical="center"/>
    </xf>
    <xf numFmtId="3" fontId="13" fillId="0" borderId="0" xfId="0" applyNumberFormat="1" applyFont="1" applyAlignment="1">
      <alignment horizontal="right" vertical="center"/>
    </xf>
    <xf numFmtId="3" fontId="172" fillId="55" borderId="0" xfId="0" applyNumberFormat="1" applyFont="1" applyFill="1" applyAlignment="1">
      <alignment horizontal="right" vertical="center"/>
    </xf>
    <xf numFmtId="169" fontId="171" fillId="54" borderId="24" xfId="0" applyNumberFormat="1" applyFont="1" applyFill="1" applyBorder="1" applyAlignment="1">
      <alignment horizontal="right" vertical="center"/>
    </xf>
    <xf numFmtId="0" fontId="0" fillId="0" borderId="0" xfId="0" applyAlignment="1">
      <alignment horizontal="right" vertical="center"/>
    </xf>
    <xf numFmtId="3" fontId="0" fillId="0" borderId="0" xfId="0" applyNumberFormat="1" applyAlignment="1">
      <alignment horizontal="right" vertical="center"/>
    </xf>
    <xf numFmtId="0" fontId="9" fillId="52" borderId="0" xfId="0" applyFont="1" applyFill="1" applyAlignment="1">
      <alignment horizontal="right" vertical="center"/>
    </xf>
    <xf numFmtId="0" fontId="180" fillId="52" borderId="0" xfId="0" applyFont="1" applyFill="1" applyAlignment="1">
      <alignment horizontal="right" vertical="center"/>
    </xf>
    <xf numFmtId="170" fontId="180" fillId="53" borderId="0" xfId="1522" applyNumberFormat="1" applyFont="1" applyFill="1" applyBorder="1" applyAlignment="1">
      <alignment horizontal="right" vertical="center"/>
    </xf>
    <xf numFmtId="170" fontId="180" fillId="52" borderId="0" xfId="1522" applyNumberFormat="1" applyFont="1" applyFill="1" applyBorder="1" applyAlignment="1">
      <alignment horizontal="right" vertical="center"/>
    </xf>
    <xf numFmtId="0" fontId="14" fillId="53" borderId="0" xfId="0" applyFont="1" applyFill="1" applyAlignment="1">
      <alignment horizontal="right" vertical="center"/>
    </xf>
    <xf numFmtId="0" fontId="14" fillId="52" borderId="0" xfId="0" applyFont="1" applyFill="1" applyAlignment="1">
      <alignment horizontal="right" vertical="center"/>
    </xf>
    <xf numFmtId="3" fontId="171" fillId="54" borderId="24" xfId="0" applyNumberFormat="1" applyFont="1" applyFill="1" applyBorder="1" applyAlignment="1">
      <alignment horizontal="right" vertical="center"/>
    </xf>
    <xf numFmtId="1" fontId="172" fillId="53" borderId="0" xfId="0" applyNumberFormat="1" applyFont="1" applyFill="1" applyAlignment="1">
      <alignment horizontal="right" vertical="center"/>
    </xf>
    <xf numFmtId="1" fontId="177" fillId="52" borderId="0" xfId="0" applyNumberFormat="1" applyFont="1" applyFill="1" applyAlignment="1">
      <alignment horizontal="right" vertical="center"/>
    </xf>
    <xf numFmtId="1" fontId="10" fillId="53" borderId="0" xfId="0" applyNumberFormat="1" applyFont="1" applyFill="1" applyAlignment="1">
      <alignment horizontal="right" vertical="center"/>
    </xf>
    <xf numFmtId="0" fontId="177" fillId="52" borderId="0" xfId="0" applyFont="1" applyFill="1" applyAlignment="1">
      <alignment horizontal="right" vertical="center"/>
    </xf>
    <xf numFmtId="3" fontId="177" fillId="53" borderId="0" xfId="0" applyNumberFormat="1" applyFont="1" applyFill="1" applyAlignment="1">
      <alignment horizontal="right" vertical="center"/>
    </xf>
    <xf numFmtId="4" fontId="14" fillId="54" borderId="24" xfId="0" applyNumberFormat="1" applyFont="1" applyFill="1" applyBorder="1" applyAlignment="1">
      <alignment horizontal="right" vertical="center"/>
    </xf>
    <xf numFmtId="1" fontId="14" fillId="53" borderId="0" xfId="0" applyNumberFormat="1" applyFont="1" applyFill="1" applyAlignment="1">
      <alignment horizontal="right" vertical="center"/>
    </xf>
    <xf numFmtId="1" fontId="14" fillId="52" borderId="0" xfId="0" applyNumberFormat="1" applyFont="1" applyFill="1" applyAlignment="1">
      <alignment horizontal="right" vertical="center"/>
    </xf>
    <xf numFmtId="1" fontId="12" fillId="52" borderId="0" xfId="0" applyNumberFormat="1" applyFont="1" applyFill="1" applyAlignment="1">
      <alignment horizontal="right" vertical="center"/>
    </xf>
    <xf numFmtId="0" fontId="171" fillId="52" borderId="0" xfId="0" applyFont="1" applyFill="1" applyAlignment="1">
      <alignment horizontal="right" vertical="center"/>
    </xf>
    <xf numFmtId="170" fontId="14" fillId="53" borderId="0" xfId="1522" applyNumberFormat="1" applyFont="1" applyFill="1" applyAlignment="1">
      <alignment horizontal="right" vertical="center"/>
    </xf>
    <xf numFmtId="170" fontId="181" fillId="52" borderId="0" xfId="1522" applyNumberFormat="1" applyFont="1" applyFill="1" applyAlignment="1">
      <alignment horizontal="right" vertical="center"/>
    </xf>
    <xf numFmtId="170" fontId="14" fillId="52" borderId="0" xfId="1522" applyNumberFormat="1" applyFont="1" applyFill="1" applyAlignment="1">
      <alignment horizontal="right" vertical="center"/>
    </xf>
    <xf numFmtId="170" fontId="13" fillId="53" borderId="0" xfId="1522" applyNumberFormat="1" applyFont="1" applyFill="1" applyAlignment="1">
      <alignment horizontal="right" vertical="center"/>
    </xf>
    <xf numFmtId="170" fontId="177" fillId="52" borderId="0" xfId="1522" applyNumberFormat="1" applyFont="1" applyFill="1" applyAlignment="1">
      <alignment horizontal="right" vertical="center"/>
    </xf>
    <xf numFmtId="2" fontId="172" fillId="53" borderId="0" xfId="0" applyNumberFormat="1" applyFont="1" applyFill="1" applyAlignment="1">
      <alignment horizontal="right" vertical="center"/>
    </xf>
    <xf numFmtId="2" fontId="10" fillId="52" borderId="0" xfId="0" applyNumberFormat="1" applyFont="1" applyFill="1" applyAlignment="1">
      <alignment horizontal="right" vertical="center"/>
    </xf>
    <xf numFmtId="2" fontId="172" fillId="52" borderId="0" xfId="0" applyNumberFormat="1" applyFont="1" applyFill="1" applyAlignment="1">
      <alignment horizontal="right" vertical="center"/>
    </xf>
    <xf numFmtId="2" fontId="10" fillId="53" borderId="0" xfId="0" applyNumberFormat="1" applyFont="1" applyFill="1" applyAlignment="1">
      <alignment horizontal="right" vertical="center"/>
    </xf>
    <xf numFmtId="9" fontId="13" fillId="53" borderId="0" xfId="1522" applyFont="1" applyFill="1" applyAlignment="1">
      <alignment horizontal="right" vertical="center"/>
    </xf>
    <xf numFmtId="0" fontId="179" fillId="2" borderId="0" xfId="0" applyFont="1" applyFill="1" applyAlignment="1">
      <alignment horizontal="right" vertical="center"/>
    </xf>
    <xf numFmtId="3" fontId="177" fillId="52" borderId="0" xfId="82" applyNumberFormat="1" applyFont="1" applyFill="1" applyBorder="1" applyAlignment="1">
      <alignment horizontal="right" vertical="center"/>
    </xf>
    <xf numFmtId="169" fontId="177" fillId="52" borderId="0" xfId="82" applyNumberFormat="1" applyFont="1" applyFill="1" applyBorder="1" applyAlignment="1">
      <alignment horizontal="right" vertical="center"/>
    </xf>
    <xf numFmtId="10" fontId="13" fillId="52" borderId="0" xfId="0" applyNumberFormat="1" applyFont="1" applyFill="1" applyAlignment="1">
      <alignment horizontal="right" vertical="center"/>
    </xf>
    <xf numFmtId="10" fontId="177" fillId="52" borderId="0" xfId="0" applyNumberFormat="1" applyFont="1" applyFill="1" applyAlignment="1">
      <alignment horizontal="right" vertical="center"/>
    </xf>
    <xf numFmtId="10" fontId="13" fillId="53" borderId="0" xfId="1522" applyNumberFormat="1" applyFont="1" applyFill="1" applyAlignment="1">
      <alignment horizontal="right" vertical="center"/>
    </xf>
    <xf numFmtId="10" fontId="13" fillId="52" borderId="0" xfId="1522" applyNumberFormat="1" applyFont="1" applyFill="1" applyAlignment="1">
      <alignment horizontal="right" vertical="center"/>
    </xf>
    <xf numFmtId="3" fontId="181" fillId="53" borderId="0" xfId="0" applyNumberFormat="1" applyFont="1" applyFill="1" applyAlignment="1">
      <alignment horizontal="right" vertical="center"/>
    </xf>
    <xf numFmtId="3" fontId="171" fillId="53" borderId="0" xfId="129" applyNumberFormat="1" applyFont="1" applyFill="1" applyBorder="1" applyAlignment="1">
      <alignment horizontal="right" vertical="center"/>
    </xf>
    <xf numFmtId="10" fontId="172" fillId="53" borderId="0" xfId="1" applyNumberFormat="1" applyFont="1" applyFill="1" applyAlignment="1">
      <alignment horizontal="right" vertical="center"/>
    </xf>
    <xf numFmtId="10" fontId="13" fillId="53" borderId="0" xfId="0" applyNumberFormat="1" applyFont="1" applyFill="1" applyAlignment="1">
      <alignment horizontal="right" vertical="center"/>
    </xf>
    <xf numFmtId="169" fontId="171" fillId="53" borderId="0" xfId="1" applyNumberFormat="1" applyFont="1" applyFill="1" applyAlignment="1">
      <alignment horizontal="right" vertical="center"/>
    </xf>
    <xf numFmtId="169" fontId="12" fillId="53" borderId="0" xfId="1" applyNumberFormat="1" applyFont="1" applyFill="1" applyAlignment="1">
      <alignment horizontal="right" vertical="center"/>
    </xf>
    <xf numFmtId="10" fontId="177" fillId="52" borderId="0" xfId="1522" applyNumberFormat="1" applyFont="1" applyFill="1" applyAlignment="1">
      <alignment horizontal="right" vertical="center"/>
    </xf>
    <xf numFmtId="0" fontId="172" fillId="53" borderId="0" xfId="1558" applyFont="1" applyFill="1" applyAlignment="1">
      <alignment horizontal="right" vertical="center"/>
    </xf>
    <xf numFmtId="2" fontId="13" fillId="53" borderId="0" xfId="0" applyNumberFormat="1" applyFont="1" applyFill="1" applyAlignment="1">
      <alignment horizontal="right" vertical="center"/>
    </xf>
    <xf numFmtId="2" fontId="13" fillId="52" borderId="0" xfId="0" applyNumberFormat="1" applyFont="1" applyFill="1" applyAlignment="1">
      <alignment horizontal="right" vertical="center"/>
    </xf>
    <xf numFmtId="3" fontId="12" fillId="53" borderId="0" xfId="129" applyNumberFormat="1" applyFont="1" applyFill="1" applyBorder="1" applyAlignment="1">
      <alignment horizontal="right" vertical="center"/>
    </xf>
    <xf numFmtId="1" fontId="171" fillId="53" borderId="0" xfId="0" applyNumberFormat="1" applyFont="1" applyFill="1" applyAlignment="1">
      <alignment horizontal="right" vertical="center"/>
    </xf>
    <xf numFmtId="169" fontId="14" fillId="53" borderId="0" xfId="0" applyNumberFormat="1" applyFont="1" applyFill="1" applyAlignment="1">
      <alignment horizontal="right" vertical="center"/>
    </xf>
    <xf numFmtId="1" fontId="176" fillId="53" borderId="0" xfId="1562" applyNumberFormat="1" applyFont="1" applyFill="1" applyAlignment="1">
      <alignment horizontal="right" vertical="center"/>
    </xf>
    <xf numFmtId="1" fontId="172" fillId="53" borderId="0" xfId="1562" applyNumberFormat="1" applyFont="1" applyFill="1" applyAlignment="1">
      <alignment horizontal="right" vertical="center"/>
    </xf>
    <xf numFmtId="1" fontId="176" fillId="53" borderId="0" xfId="1" applyNumberFormat="1" applyFont="1" applyFill="1" applyAlignment="1">
      <alignment horizontal="right" vertical="center"/>
    </xf>
    <xf numFmtId="170" fontId="13" fillId="52" borderId="0" xfId="1522" applyNumberFormat="1" applyFont="1" applyFill="1" applyBorder="1" applyAlignment="1">
      <alignment horizontal="right" vertical="center"/>
    </xf>
    <xf numFmtId="168" fontId="13" fillId="53" borderId="0" xfId="0" applyNumberFormat="1" applyFont="1" applyFill="1" applyAlignment="1">
      <alignment horizontal="right" vertical="center"/>
    </xf>
    <xf numFmtId="224" fontId="13" fillId="52" borderId="0" xfId="1585" applyNumberFormat="1" applyFont="1" applyFill="1" applyAlignment="1">
      <alignment horizontal="right" vertical="center"/>
    </xf>
    <xf numFmtId="170" fontId="13" fillId="52" borderId="0" xfId="0" applyNumberFormat="1" applyFont="1" applyFill="1" applyAlignment="1">
      <alignment horizontal="right" vertical="center"/>
    </xf>
    <xf numFmtId="0" fontId="171" fillId="53" borderId="0" xfId="1" applyFont="1" applyFill="1" applyAlignment="1">
      <alignment horizontal="right" vertical="center"/>
    </xf>
    <xf numFmtId="170" fontId="13" fillId="53" borderId="0" xfId="1522" applyNumberFormat="1" applyFont="1" applyFill="1" applyBorder="1" applyAlignment="1">
      <alignment horizontal="right" vertical="center"/>
    </xf>
    <xf numFmtId="0" fontId="181" fillId="52" borderId="0" xfId="0" applyFont="1" applyFill="1" applyAlignment="1">
      <alignment horizontal="right" vertical="center"/>
    </xf>
    <xf numFmtId="10" fontId="13" fillId="53" borderId="0" xfId="1522" applyNumberFormat="1" applyFont="1" applyFill="1" applyBorder="1" applyAlignment="1">
      <alignment horizontal="right" vertical="center"/>
    </xf>
    <xf numFmtId="10" fontId="13" fillId="52" borderId="0" xfId="1522" applyNumberFormat="1" applyFont="1" applyFill="1" applyBorder="1" applyAlignment="1">
      <alignment horizontal="right" vertical="center"/>
    </xf>
    <xf numFmtId="0" fontId="181" fillId="0" borderId="0" xfId="0" applyFont="1" applyAlignment="1">
      <alignment horizontal="right" vertical="center"/>
    </xf>
    <xf numFmtId="169" fontId="10" fillId="0" borderId="0" xfId="82" applyNumberFormat="1" applyFont="1" applyBorder="1" applyAlignment="1">
      <alignment horizontal="right" vertical="center"/>
    </xf>
    <xf numFmtId="169" fontId="10" fillId="0" borderId="0" xfId="82" applyNumberFormat="1" applyFont="1" applyFill="1" applyBorder="1" applyAlignment="1">
      <alignment horizontal="right" vertical="center"/>
    </xf>
    <xf numFmtId="0" fontId="14" fillId="2" borderId="0" xfId="0" applyFont="1" applyFill="1" applyAlignment="1">
      <alignment horizontal="right" vertical="center"/>
    </xf>
    <xf numFmtId="222" fontId="13" fillId="53" borderId="0" xfId="1585" applyNumberFormat="1" applyFont="1" applyFill="1" applyAlignment="1">
      <alignment horizontal="right" vertical="center"/>
    </xf>
    <xf numFmtId="222" fontId="13" fillId="52" borderId="0" xfId="1585" applyNumberFormat="1" applyFont="1" applyFill="1" applyAlignment="1">
      <alignment horizontal="right" vertical="center"/>
    </xf>
    <xf numFmtId="222" fontId="177" fillId="53" borderId="0" xfId="1585" applyNumberFormat="1" applyFont="1" applyFill="1" applyAlignment="1">
      <alignment horizontal="right" vertical="center"/>
    </xf>
    <xf numFmtId="222" fontId="177" fillId="52" borderId="0" xfId="1585" applyNumberFormat="1" applyFont="1" applyFill="1" applyAlignment="1">
      <alignment horizontal="right" vertical="center"/>
    </xf>
    <xf numFmtId="222" fontId="14" fillId="52" borderId="0" xfId="0" applyNumberFormat="1" applyFont="1" applyFill="1" applyAlignment="1">
      <alignment horizontal="right" vertical="center"/>
    </xf>
    <xf numFmtId="219" fontId="9" fillId="2" borderId="0" xfId="0" applyNumberFormat="1" applyFont="1" applyFill="1" applyAlignment="1">
      <alignment horizontal="right" vertical="center"/>
    </xf>
    <xf numFmtId="0" fontId="10" fillId="52" borderId="0" xfId="0" applyFont="1" applyFill="1" applyAlignment="1">
      <alignment horizontal="right" vertical="center"/>
    </xf>
    <xf numFmtId="170" fontId="10" fillId="52" borderId="0" xfId="1522" applyNumberFormat="1" applyFont="1" applyFill="1" applyAlignment="1">
      <alignment horizontal="right" vertical="center"/>
    </xf>
    <xf numFmtId="170" fontId="171" fillId="53" borderId="0" xfId="1522" applyNumberFormat="1" applyFont="1" applyFill="1" applyAlignment="1">
      <alignment horizontal="right" vertical="center"/>
    </xf>
    <xf numFmtId="170" fontId="12" fillId="52" borderId="0" xfId="1522" applyNumberFormat="1" applyFont="1" applyFill="1" applyAlignment="1">
      <alignment horizontal="right" vertical="center"/>
    </xf>
    <xf numFmtId="170" fontId="171" fillId="52" borderId="0" xfId="1522" applyNumberFormat="1" applyFont="1" applyFill="1" applyAlignment="1">
      <alignment horizontal="right" vertical="center"/>
    </xf>
    <xf numFmtId="0" fontId="172" fillId="0" borderId="0" xfId="0" applyFont="1" applyAlignment="1">
      <alignment horizontal="right" vertical="center"/>
    </xf>
    <xf numFmtId="170" fontId="13" fillId="53" borderId="0" xfId="0" applyNumberFormat="1" applyFont="1" applyFill="1" applyAlignment="1">
      <alignment horizontal="right" vertical="center"/>
    </xf>
    <xf numFmtId="170" fontId="177" fillId="53" borderId="0" xfId="1522" applyNumberFormat="1" applyFont="1" applyFill="1" applyAlignment="1">
      <alignment horizontal="right" vertical="center"/>
    </xf>
    <xf numFmtId="222" fontId="10" fillId="53" borderId="0" xfId="1585" applyNumberFormat="1" applyFont="1" applyFill="1" applyAlignment="1">
      <alignment horizontal="right" vertical="center"/>
    </xf>
    <xf numFmtId="222" fontId="10" fillId="52" borderId="0" xfId="1585" applyNumberFormat="1" applyFont="1" applyFill="1" applyAlignment="1">
      <alignment horizontal="right" vertical="center"/>
    </xf>
    <xf numFmtId="43" fontId="13" fillId="53" borderId="0" xfId="1585" applyFont="1" applyFill="1" applyAlignment="1">
      <alignment horizontal="right" vertical="center"/>
    </xf>
    <xf numFmtId="43" fontId="13" fillId="52" borderId="0" xfId="1585" applyFont="1" applyFill="1" applyAlignment="1">
      <alignment horizontal="right" vertical="center"/>
    </xf>
    <xf numFmtId="43" fontId="177" fillId="52" borderId="0" xfId="1585" applyFont="1" applyFill="1" applyAlignment="1">
      <alignment horizontal="right" vertical="center"/>
    </xf>
    <xf numFmtId="170" fontId="10" fillId="53" borderId="0" xfId="1522" applyNumberFormat="1" applyFont="1" applyFill="1" applyAlignment="1">
      <alignment horizontal="right" vertical="center"/>
    </xf>
    <xf numFmtId="170" fontId="14" fillId="53" borderId="0" xfId="0" applyNumberFormat="1" applyFont="1" applyFill="1" applyAlignment="1">
      <alignment horizontal="right" vertical="center"/>
    </xf>
    <xf numFmtId="170" fontId="14" fillId="52" borderId="0" xfId="0" applyNumberFormat="1" applyFont="1" applyFill="1" applyAlignment="1">
      <alignment horizontal="right" vertical="center"/>
    </xf>
    <xf numFmtId="222" fontId="171" fillId="53" borderId="0" xfId="1585" applyNumberFormat="1" applyFont="1" applyFill="1" applyAlignment="1">
      <alignment horizontal="right" vertical="center"/>
    </xf>
    <xf numFmtId="222" fontId="14" fillId="53" borderId="0" xfId="0" applyNumberFormat="1" applyFont="1" applyFill="1" applyAlignment="1">
      <alignment horizontal="right" vertical="center"/>
    </xf>
    <xf numFmtId="222" fontId="14" fillId="52" borderId="0" xfId="1585" applyNumberFormat="1" applyFont="1" applyFill="1" applyAlignment="1">
      <alignment horizontal="right" vertical="center"/>
    </xf>
    <xf numFmtId="222" fontId="181" fillId="52" borderId="0" xfId="1585" applyNumberFormat="1" applyFont="1" applyFill="1" applyAlignment="1">
      <alignment horizontal="right" vertical="center"/>
    </xf>
    <xf numFmtId="168" fontId="13" fillId="52" borderId="0" xfId="0" applyNumberFormat="1" applyFont="1" applyFill="1" applyAlignment="1">
      <alignment horizontal="right" vertical="center"/>
    </xf>
    <xf numFmtId="222" fontId="13" fillId="52" borderId="0" xfId="0" applyNumberFormat="1" applyFont="1" applyFill="1" applyAlignment="1">
      <alignment vertical="center"/>
    </xf>
    <xf numFmtId="222" fontId="14" fillId="52" borderId="0" xfId="0" applyNumberFormat="1" applyFont="1" applyFill="1" applyAlignment="1">
      <alignment vertical="center"/>
    </xf>
    <xf numFmtId="168" fontId="172" fillId="52" borderId="0" xfId="0" applyNumberFormat="1" applyFont="1" applyFill="1" applyAlignment="1">
      <alignment horizontal="right" vertical="center"/>
    </xf>
    <xf numFmtId="170" fontId="10" fillId="52" borderId="0" xfId="1406" applyNumberFormat="1" applyFont="1" applyFill="1" applyAlignment="1">
      <alignment horizontal="right" vertical="center"/>
    </xf>
    <xf numFmtId="221" fontId="171" fillId="52" borderId="0" xfId="0" applyNumberFormat="1" applyFont="1" applyFill="1" applyAlignment="1">
      <alignment horizontal="right" vertical="center"/>
    </xf>
    <xf numFmtId="168" fontId="14" fillId="52" borderId="0" xfId="0" applyNumberFormat="1" applyFont="1" applyFill="1" applyAlignment="1">
      <alignment horizontal="right" vertical="center"/>
    </xf>
    <xf numFmtId="0" fontId="0" fillId="53" borderId="0" xfId="0" applyFill="1"/>
    <xf numFmtId="0" fontId="0" fillId="53" borderId="0" xfId="0" applyFill="1" applyAlignment="1">
      <alignment horizontal="right" vertical="center"/>
    </xf>
    <xf numFmtId="0" fontId="0" fillId="52" borderId="0" xfId="0" applyFill="1" applyAlignment="1">
      <alignment horizontal="right" vertical="center"/>
    </xf>
    <xf numFmtId="0" fontId="13" fillId="56" borderId="0" xfId="1317" applyFont="1" applyFill="1" applyAlignment="1">
      <alignment vertical="center"/>
    </xf>
    <xf numFmtId="0" fontId="14" fillId="56" borderId="0" xfId="1317" applyFont="1" applyFill="1" applyAlignment="1">
      <alignment horizontal="left" vertical="center" indent="2"/>
    </xf>
    <xf numFmtId="214" fontId="172" fillId="56" borderId="0" xfId="1317" applyNumberFormat="1" applyFont="1" applyFill="1" applyAlignment="1">
      <alignment horizontal="left" vertical="center"/>
    </xf>
    <xf numFmtId="214" fontId="13" fillId="56" borderId="0" xfId="1317" applyNumberFormat="1" applyFont="1" applyFill="1" applyAlignment="1">
      <alignment horizontal="left" vertical="center"/>
    </xf>
    <xf numFmtId="0" fontId="172" fillId="56" borderId="0" xfId="1317" applyFont="1" applyFill="1" applyAlignment="1">
      <alignment horizontal="left" vertical="center"/>
    </xf>
    <xf numFmtId="168" fontId="13" fillId="56" borderId="0" xfId="1317" applyNumberFormat="1" applyFont="1" applyFill="1" applyAlignment="1">
      <alignment horizontal="left" vertical="center"/>
    </xf>
    <xf numFmtId="9" fontId="13" fillId="56" borderId="0" xfId="1406" applyFont="1" applyFill="1" applyAlignment="1">
      <alignment vertical="center"/>
    </xf>
    <xf numFmtId="0" fontId="14" fillId="56" borderId="0" xfId="1317" applyFont="1" applyFill="1" applyAlignment="1">
      <alignment horizontal="left" vertical="center" indent="1"/>
    </xf>
    <xf numFmtId="0" fontId="13" fillId="56" borderId="0" xfId="1317" applyFont="1" applyFill="1" applyAlignment="1">
      <alignment horizontal="left" vertical="center" indent="3"/>
    </xf>
    <xf numFmtId="0" fontId="13" fillId="56" borderId="0" xfId="0" applyFont="1" applyFill="1"/>
    <xf numFmtId="0" fontId="13" fillId="53" borderId="0" xfId="1317" applyFont="1" applyFill="1" applyAlignment="1">
      <alignment vertical="center"/>
    </xf>
    <xf numFmtId="0" fontId="177" fillId="53" borderId="0" xfId="0" applyFont="1" applyFill="1" applyAlignment="1">
      <alignment horizontal="right" vertical="center"/>
    </xf>
    <xf numFmtId="3" fontId="171" fillId="52" borderId="0" xfId="82" applyNumberFormat="1" applyFont="1" applyFill="1" applyBorder="1" applyAlignment="1">
      <alignment horizontal="right" vertical="center"/>
    </xf>
    <xf numFmtId="3" fontId="178" fillId="52" borderId="0" xfId="0" applyNumberFormat="1" applyFont="1" applyFill="1" applyAlignment="1">
      <alignment horizontal="right" vertical="center"/>
    </xf>
    <xf numFmtId="169" fontId="172" fillId="52" borderId="0" xfId="0" applyNumberFormat="1" applyFont="1" applyFill="1" applyAlignment="1">
      <alignment horizontal="right" vertical="center"/>
    </xf>
    <xf numFmtId="0" fontId="12" fillId="54" borderId="24" xfId="0" applyFont="1" applyFill="1" applyBorder="1" applyAlignment="1">
      <alignment vertical="center"/>
    </xf>
    <xf numFmtId="3" fontId="14" fillId="54" borderId="24" xfId="0" applyNumberFormat="1" applyFont="1" applyFill="1" applyBorder="1"/>
    <xf numFmtId="3" fontId="12" fillId="54" borderId="24" xfId="0" applyNumberFormat="1" applyFont="1" applyFill="1" applyBorder="1" applyAlignment="1">
      <alignment horizontal="right" vertical="center"/>
    </xf>
    <xf numFmtId="170" fontId="172" fillId="54" borderId="24" xfId="1522" applyNumberFormat="1" applyFont="1" applyFill="1" applyBorder="1"/>
    <xf numFmtId="9" fontId="13" fillId="54" borderId="24" xfId="1522" applyFont="1" applyFill="1" applyBorder="1"/>
    <xf numFmtId="170" fontId="13" fillId="54" borderId="24" xfId="1522" applyNumberFormat="1" applyFont="1" applyFill="1" applyBorder="1"/>
    <xf numFmtId="0" fontId="13" fillId="54" borderId="24" xfId="0" applyFont="1" applyFill="1" applyBorder="1"/>
    <xf numFmtId="170" fontId="14" fillId="54" borderId="24" xfId="1522" applyNumberFormat="1" applyFont="1" applyFill="1" applyBorder="1"/>
    <xf numFmtId="170" fontId="14" fillId="54" borderId="24" xfId="1522" applyNumberFormat="1" applyFont="1" applyFill="1" applyBorder="1" applyAlignment="1">
      <alignment horizontal="right" vertical="center"/>
    </xf>
    <xf numFmtId="0" fontId="10" fillId="54" borderId="24" xfId="0" applyFont="1" applyFill="1" applyBorder="1" applyAlignment="1">
      <alignment horizontal="right" vertical="center"/>
    </xf>
    <xf numFmtId="170" fontId="12" fillId="54" borderId="24" xfId="0" applyNumberFormat="1" applyFont="1" applyFill="1" applyBorder="1" applyAlignment="1">
      <alignment horizontal="right" vertical="center"/>
    </xf>
    <xf numFmtId="0" fontId="13" fillId="54" borderId="24" xfId="0" applyFont="1" applyFill="1" applyBorder="1" applyAlignment="1">
      <alignment horizontal="right" vertical="center"/>
    </xf>
    <xf numFmtId="0" fontId="179" fillId="52" borderId="0" xfId="0" applyFont="1" applyFill="1" applyAlignment="1">
      <alignment horizontal="right" vertical="center"/>
    </xf>
    <xf numFmtId="0" fontId="12" fillId="53" borderId="0" xfId="0" quotePrefix="1" applyFont="1" applyFill="1" applyAlignment="1">
      <alignment vertical="center"/>
    </xf>
    <xf numFmtId="169" fontId="181" fillId="52" borderId="0" xfId="82" applyNumberFormat="1" applyFont="1" applyFill="1" applyBorder="1" applyAlignment="1">
      <alignment horizontal="right" vertical="center"/>
    </xf>
    <xf numFmtId="3" fontId="178" fillId="53" borderId="0" xfId="425" applyNumberFormat="1" applyFont="1" applyFill="1" applyBorder="1" applyAlignment="1">
      <alignment horizontal="right" vertical="center"/>
    </xf>
    <xf numFmtId="3" fontId="12" fillId="53" borderId="0" xfId="1552" applyNumberFormat="1" applyFont="1" applyFill="1" applyAlignment="1">
      <alignment horizontal="right" vertical="center"/>
    </xf>
    <xf numFmtId="3" fontId="171" fillId="53" borderId="0" xfId="1552" applyNumberFormat="1" applyFont="1" applyFill="1" applyAlignment="1">
      <alignment horizontal="right" vertical="center"/>
    </xf>
    <xf numFmtId="3" fontId="171" fillId="53" borderId="0" xfId="1565" applyNumberFormat="1" applyFont="1" applyFill="1" applyAlignment="1">
      <alignment horizontal="right" vertical="center"/>
    </xf>
    <xf numFmtId="3" fontId="12" fillId="53" borderId="0" xfId="1565" applyNumberFormat="1" applyFont="1" applyFill="1" applyAlignment="1">
      <alignment horizontal="right" vertical="center"/>
    </xf>
    <xf numFmtId="3" fontId="181" fillId="52" borderId="0" xfId="82" applyNumberFormat="1" applyFont="1" applyFill="1" applyBorder="1" applyAlignment="1">
      <alignment horizontal="right" vertical="center"/>
    </xf>
    <xf numFmtId="3" fontId="10" fillId="53" borderId="0" xfId="425" applyNumberFormat="1" applyFont="1" applyFill="1" applyBorder="1" applyAlignment="1">
      <alignment horizontal="right" vertical="center"/>
    </xf>
    <xf numFmtId="170" fontId="172" fillId="55" borderId="0" xfId="1522" applyNumberFormat="1" applyFont="1" applyFill="1"/>
    <xf numFmtId="3" fontId="12" fillId="54" borderId="0" xfId="0" applyNumberFormat="1" applyFont="1" applyFill="1" applyAlignment="1">
      <alignment horizontal="right" vertical="center"/>
    </xf>
    <xf numFmtId="170" fontId="14" fillId="54" borderId="0" xfId="1522" applyNumberFormat="1" applyFont="1" applyFill="1" applyBorder="1" applyAlignment="1">
      <alignment horizontal="right" vertical="center"/>
    </xf>
    <xf numFmtId="0" fontId="187" fillId="0" borderId="0" xfId="0" applyFont="1" applyAlignment="1">
      <alignment vertical="center"/>
    </xf>
    <xf numFmtId="168" fontId="177" fillId="52" borderId="0" xfId="0" applyNumberFormat="1" applyFont="1" applyFill="1" applyAlignment="1">
      <alignment horizontal="center" vertical="center"/>
    </xf>
    <xf numFmtId="170" fontId="10" fillId="53" borderId="0" xfId="1522" applyNumberFormat="1" applyFont="1" applyFill="1" applyBorder="1" applyAlignment="1">
      <alignment horizontal="right" vertical="center"/>
    </xf>
    <xf numFmtId="170" fontId="10" fillId="52" borderId="0" xfId="1522" applyNumberFormat="1" applyFont="1" applyFill="1" applyBorder="1" applyAlignment="1">
      <alignment horizontal="right" vertical="center"/>
    </xf>
    <xf numFmtId="170" fontId="172" fillId="53" borderId="0" xfId="1522" applyNumberFormat="1" applyFont="1" applyFill="1" applyBorder="1" applyAlignment="1">
      <alignment horizontal="right" vertical="center"/>
    </xf>
    <xf numFmtId="10" fontId="172" fillId="53" borderId="0" xfId="1522" applyNumberFormat="1" applyFont="1" applyFill="1" applyAlignment="1">
      <alignment horizontal="right" vertical="center"/>
    </xf>
    <xf numFmtId="170" fontId="13" fillId="0" borderId="0" xfId="1522" applyNumberFormat="1" applyFont="1" applyFill="1" applyAlignment="1">
      <alignment horizontal="right" vertical="center"/>
    </xf>
    <xf numFmtId="170" fontId="172" fillId="53" borderId="0" xfId="1" applyNumberFormat="1" applyFont="1" applyFill="1" applyAlignment="1">
      <alignment horizontal="right" vertical="center"/>
    </xf>
    <xf numFmtId="170" fontId="10" fillId="53" borderId="0" xfId="1" applyNumberFormat="1" applyFont="1" applyFill="1" applyAlignment="1">
      <alignment horizontal="right" vertical="center"/>
    </xf>
    <xf numFmtId="10" fontId="176" fillId="53" borderId="0" xfId="1406" applyNumberFormat="1" applyFont="1" applyFill="1" applyAlignment="1">
      <alignment horizontal="right" vertical="center"/>
    </xf>
    <xf numFmtId="10" fontId="172" fillId="53" borderId="0" xfId="1406" applyNumberFormat="1" applyFont="1" applyFill="1" applyAlignment="1">
      <alignment horizontal="right" vertical="center"/>
    </xf>
    <xf numFmtId="10" fontId="10" fillId="53" borderId="0" xfId="1406" applyNumberFormat="1" applyFont="1" applyFill="1" applyAlignment="1">
      <alignment horizontal="right" vertical="center"/>
    </xf>
    <xf numFmtId="3" fontId="13" fillId="52" borderId="0" xfId="82" applyNumberFormat="1" applyFont="1" applyFill="1" applyBorder="1" applyAlignment="1">
      <alignment horizontal="right" vertical="center"/>
    </xf>
    <xf numFmtId="0" fontId="188" fillId="2" borderId="0" xfId="0" applyFont="1" applyFill="1" applyAlignment="1">
      <alignment horizontal="left" vertical="center"/>
    </xf>
    <xf numFmtId="0" fontId="188" fillId="2" borderId="0" xfId="0" applyFont="1" applyFill="1" applyAlignment="1">
      <alignment horizontal="center" vertical="center"/>
    </xf>
    <xf numFmtId="0" fontId="189" fillId="0" borderId="0" xfId="0" applyFont="1" applyAlignment="1">
      <alignment vertical="center"/>
    </xf>
    <xf numFmtId="0" fontId="190" fillId="54" borderId="0" xfId="0" applyFont="1" applyFill="1" applyAlignment="1">
      <alignment vertical="center"/>
    </xf>
    <xf numFmtId="0" fontId="190" fillId="54" borderId="0" xfId="0" applyFont="1" applyFill="1" applyAlignment="1">
      <alignment horizontal="center" vertical="center"/>
    </xf>
    <xf numFmtId="0" fontId="190" fillId="54" borderId="0" xfId="0" applyFont="1" applyFill="1" applyAlignment="1">
      <alignment horizontal="right" vertical="center"/>
    </xf>
    <xf numFmtId="0" fontId="16" fillId="52" borderId="0" xfId="0" applyFont="1" applyFill="1" applyAlignment="1">
      <alignment vertical="center"/>
    </xf>
    <xf numFmtId="9" fontId="19" fillId="52" borderId="0" xfId="0" applyNumberFormat="1" applyFont="1" applyFill="1" applyAlignment="1">
      <alignment horizontal="center" vertical="center"/>
    </xf>
    <xf numFmtId="3" fontId="189" fillId="52" borderId="0" xfId="0" applyNumberFormat="1" applyFont="1" applyFill="1" applyAlignment="1">
      <alignment horizontal="right" vertical="center" wrapText="1"/>
    </xf>
    <xf numFmtId="0" fontId="16" fillId="52" borderId="0" xfId="0" applyFont="1" applyFill="1" applyAlignment="1">
      <alignment horizontal="center" vertical="center"/>
    </xf>
    <xf numFmtId="0" fontId="19" fillId="52" borderId="0" xfId="0" applyFont="1" applyFill="1" applyAlignment="1">
      <alignment vertical="center"/>
    </xf>
    <xf numFmtId="0" fontId="19" fillId="52" borderId="0" xfId="0" applyFont="1" applyFill="1" applyAlignment="1">
      <alignment horizontal="center" vertical="center"/>
    </xf>
    <xf numFmtId="3" fontId="190" fillId="52" borderId="0" xfId="0" applyNumberFormat="1" applyFont="1" applyFill="1" applyAlignment="1">
      <alignment horizontal="right" vertical="center" wrapText="1"/>
    </xf>
    <xf numFmtId="0" fontId="189" fillId="52" borderId="0" xfId="0" applyFont="1" applyFill="1" applyAlignment="1">
      <alignment horizontal="center" vertical="center"/>
    </xf>
    <xf numFmtId="221" fontId="19" fillId="52" borderId="0" xfId="0" applyNumberFormat="1" applyFont="1" applyFill="1" applyAlignment="1">
      <alignment horizontal="right" vertical="center"/>
    </xf>
    <xf numFmtId="3" fontId="189" fillId="52" borderId="0" xfId="0" applyNumberFormat="1" applyFont="1" applyFill="1" applyAlignment="1">
      <alignment vertical="center"/>
    </xf>
    <xf numFmtId="9" fontId="190" fillId="52" borderId="0" xfId="0" applyNumberFormat="1" applyFont="1" applyFill="1" applyAlignment="1">
      <alignment horizontal="center" vertical="center"/>
    </xf>
    <xf numFmtId="2" fontId="189" fillId="52" borderId="0" xfId="0" applyNumberFormat="1" applyFont="1" applyFill="1" applyAlignment="1">
      <alignment horizontal="right" vertical="center"/>
    </xf>
    <xf numFmtId="168" fontId="189" fillId="52" borderId="0" xfId="0" applyNumberFormat="1" applyFont="1" applyFill="1" applyAlignment="1">
      <alignment horizontal="right" vertical="center"/>
    </xf>
    <xf numFmtId="3" fontId="190" fillId="52" borderId="0" xfId="0" applyNumberFormat="1" applyFont="1" applyFill="1" applyAlignment="1">
      <alignment vertical="center"/>
    </xf>
    <xf numFmtId="0" fontId="190" fillId="52" borderId="0" xfId="0" applyFont="1" applyFill="1" applyAlignment="1">
      <alignment horizontal="center" vertical="center"/>
    </xf>
    <xf numFmtId="3" fontId="188" fillId="2" borderId="0" xfId="0" applyNumberFormat="1" applyFont="1" applyFill="1" applyAlignment="1">
      <alignment vertical="center"/>
    </xf>
    <xf numFmtId="0" fontId="188" fillId="2" borderId="0" xfId="0" applyFont="1" applyFill="1" applyAlignment="1">
      <alignment vertical="center"/>
    </xf>
    <xf numFmtId="221" fontId="188" fillId="2" borderId="0" xfId="0" applyNumberFormat="1" applyFont="1" applyFill="1" applyAlignment="1">
      <alignment horizontal="right" vertical="center"/>
    </xf>
    <xf numFmtId="0" fontId="190" fillId="52" borderId="0" xfId="0" applyFont="1" applyFill="1" applyAlignment="1">
      <alignment vertical="center"/>
    </xf>
    <xf numFmtId="170" fontId="189" fillId="52" borderId="0" xfId="1522" applyNumberFormat="1" applyFont="1" applyFill="1" applyAlignment="1">
      <alignment horizontal="right" vertical="center"/>
    </xf>
    <xf numFmtId="0" fontId="191" fillId="2" borderId="0" xfId="0" applyFont="1" applyFill="1" applyAlignment="1">
      <alignment horizontal="left" vertical="center"/>
    </xf>
    <xf numFmtId="0" fontId="191" fillId="2" borderId="0" xfId="0" applyFont="1" applyFill="1" applyAlignment="1">
      <alignment horizontal="right" vertical="center"/>
    </xf>
    <xf numFmtId="0" fontId="192" fillId="52" borderId="0" xfId="377" applyFont="1" applyFill="1" applyAlignment="1">
      <alignment vertical="center"/>
    </xf>
    <xf numFmtId="0" fontId="192" fillId="52" borderId="0" xfId="377" applyFont="1" applyFill="1" applyAlignment="1">
      <alignment horizontal="right" vertical="center"/>
    </xf>
    <xf numFmtId="0" fontId="193" fillId="57" borderId="0" xfId="377" applyFont="1" applyFill="1" applyAlignment="1">
      <alignment vertical="center"/>
    </xf>
    <xf numFmtId="0" fontId="193" fillId="57" borderId="0" xfId="377" applyFont="1" applyFill="1" applyAlignment="1">
      <alignment horizontal="right" vertical="center"/>
    </xf>
    <xf numFmtId="223" fontId="194" fillId="57" borderId="0" xfId="0" applyNumberFormat="1" applyFont="1" applyFill="1" applyAlignment="1">
      <alignment horizontal="right" vertical="center"/>
    </xf>
    <xf numFmtId="0" fontId="192" fillId="57" borderId="0" xfId="377" applyFont="1" applyFill="1" applyAlignment="1">
      <alignment horizontal="right" vertical="center"/>
    </xf>
    <xf numFmtId="0" fontId="192" fillId="57" borderId="0" xfId="377" applyFont="1" applyFill="1" applyAlignment="1">
      <alignment vertical="center"/>
    </xf>
    <xf numFmtId="217" fontId="192" fillId="57" borderId="0" xfId="377" applyNumberFormat="1" applyFont="1" applyFill="1" applyAlignment="1">
      <alignment horizontal="left" vertical="center"/>
    </xf>
    <xf numFmtId="223" fontId="195" fillId="57" borderId="0" xfId="0" applyNumberFormat="1" applyFont="1" applyFill="1" applyAlignment="1">
      <alignment horizontal="right" vertical="center"/>
    </xf>
    <xf numFmtId="170" fontId="194" fillId="57" borderId="0" xfId="1522" applyNumberFormat="1" applyFont="1" applyFill="1" applyAlignment="1">
      <alignment horizontal="right" vertical="center"/>
    </xf>
    <xf numFmtId="0" fontId="193" fillId="52" borderId="0" xfId="377" applyFont="1" applyFill="1" applyAlignment="1">
      <alignment vertical="center"/>
    </xf>
    <xf numFmtId="0" fontId="193" fillId="52" borderId="0" xfId="377" applyFont="1" applyFill="1" applyAlignment="1">
      <alignment horizontal="right" vertical="center"/>
    </xf>
    <xf numFmtId="217" fontId="192" fillId="52" borderId="0" xfId="377" applyNumberFormat="1" applyFont="1" applyFill="1" applyAlignment="1">
      <alignment horizontal="left" vertical="center"/>
    </xf>
    <xf numFmtId="215" fontId="191" fillId="2" borderId="0" xfId="377" applyNumberFormat="1" applyFont="1" applyFill="1" applyAlignment="1">
      <alignment horizontal="left" vertical="center"/>
    </xf>
    <xf numFmtId="215" fontId="191" fillId="2" borderId="0" xfId="377" applyNumberFormat="1" applyFont="1" applyFill="1" applyAlignment="1">
      <alignment horizontal="right" vertical="center"/>
    </xf>
    <xf numFmtId="0" fontId="192" fillId="0" borderId="0" xfId="377" applyFont="1" applyAlignment="1">
      <alignment vertical="center"/>
    </xf>
    <xf numFmtId="3" fontId="192" fillId="52" borderId="0" xfId="377" applyNumberFormat="1" applyFont="1" applyFill="1" applyAlignment="1">
      <alignment horizontal="right" vertical="center"/>
    </xf>
    <xf numFmtId="0" fontId="192" fillId="52" borderId="0" xfId="377" applyFont="1" applyFill="1" applyAlignment="1">
      <alignment horizontal="left" vertical="center" indent="1"/>
    </xf>
    <xf numFmtId="0" fontId="192" fillId="52" borderId="0" xfId="377" applyFont="1" applyFill="1" applyAlignment="1">
      <alignment horizontal="left" vertical="center"/>
    </xf>
    <xf numFmtId="0" fontId="193" fillId="52" borderId="0" xfId="377" applyFont="1" applyFill="1" applyAlignment="1">
      <alignment horizontal="left" vertical="center"/>
    </xf>
    <xf numFmtId="3" fontId="193" fillId="52" borderId="0" xfId="377" applyNumberFormat="1" applyFont="1" applyFill="1" applyAlignment="1">
      <alignment horizontal="right" vertical="center"/>
    </xf>
    <xf numFmtId="0" fontId="193" fillId="52" borderId="0" xfId="0" applyFont="1" applyFill="1" applyAlignment="1">
      <alignment vertical="center"/>
    </xf>
    <xf numFmtId="0" fontId="192" fillId="52" borderId="0" xfId="0" applyFont="1" applyFill="1" applyAlignment="1">
      <alignment vertical="center"/>
    </xf>
    <xf numFmtId="173" fontId="192" fillId="52" borderId="0" xfId="1524" applyNumberFormat="1" applyFont="1" applyFill="1" applyAlignment="1">
      <alignment horizontal="left" vertical="center"/>
    </xf>
    <xf numFmtId="173" fontId="193" fillId="52" borderId="0" xfId="1524" applyNumberFormat="1" applyFont="1" applyFill="1" applyAlignment="1">
      <alignment horizontal="left" vertical="center"/>
    </xf>
    <xf numFmtId="216" fontId="193" fillId="52" borderId="0" xfId="1524" applyNumberFormat="1" applyFont="1" applyFill="1" applyAlignment="1">
      <alignment horizontal="left" vertical="center"/>
    </xf>
    <xf numFmtId="218" fontId="196" fillId="52" borderId="0" xfId="0" applyNumberFormat="1" applyFont="1" applyFill="1" applyAlignment="1">
      <alignment horizontal="left" vertical="center"/>
    </xf>
    <xf numFmtId="4" fontId="193" fillId="52" borderId="0" xfId="377" applyNumberFormat="1" applyFont="1" applyFill="1" applyAlignment="1">
      <alignment horizontal="right" vertical="center"/>
    </xf>
    <xf numFmtId="4" fontId="192" fillId="52" borderId="0" xfId="377" applyNumberFormat="1" applyFont="1" applyFill="1" applyAlignment="1">
      <alignment horizontal="right" vertical="center"/>
    </xf>
    <xf numFmtId="0" fontId="192" fillId="52" borderId="0" xfId="0" applyFont="1" applyFill="1" applyAlignment="1">
      <alignment horizontal="right" vertical="center"/>
    </xf>
    <xf numFmtId="0" fontId="196" fillId="52" borderId="0" xfId="0" applyFont="1" applyFill="1" applyAlignment="1">
      <alignment vertical="center"/>
    </xf>
    <xf numFmtId="170" fontId="192" fillId="52" borderId="0" xfId="1522" applyNumberFormat="1" applyFont="1" applyFill="1" applyAlignment="1">
      <alignment horizontal="right" vertical="center"/>
    </xf>
    <xf numFmtId="3" fontId="192" fillId="52" borderId="0" xfId="377" applyNumberFormat="1" applyFont="1" applyFill="1" applyAlignment="1">
      <alignment vertical="center"/>
    </xf>
    <xf numFmtId="216" fontId="192" fillId="52" borderId="0" xfId="1524" applyNumberFormat="1" applyFont="1" applyFill="1" applyAlignment="1">
      <alignment vertical="center"/>
    </xf>
    <xf numFmtId="0" fontId="192" fillId="0" borderId="0" xfId="0" applyFont="1" applyAlignment="1">
      <alignment vertical="center"/>
    </xf>
    <xf numFmtId="216" fontId="193" fillId="52" borderId="0" xfId="1524" applyNumberFormat="1" applyFont="1" applyFill="1" applyAlignment="1">
      <alignment vertical="center"/>
    </xf>
    <xf numFmtId="3" fontId="193" fillId="52" borderId="0" xfId="377" applyNumberFormat="1" applyFont="1" applyFill="1" applyAlignment="1">
      <alignment vertical="center"/>
    </xf>
    <xf numFmtId="170" fontId="192" fillId="52" borderId="0" xfId="1522" applyNumberFormat="1" applyFont="1" applyFill="1"/>
    <xf numFmtId="220" fontId="192" fillId="52" borderId="0" xfId="1522" applyNumberFormat="1" applyFont="1" applyFill="1" applyAlignment="1">
      <alignment horizontal="right" vertical="center"/>
    </xf>
    <xf numFmtId="3" fontId="193" fillId="52" borderId="0" xfId="1406" applyNumberFormat="1" applyFont="1" applyFill="1" applyBorder="1" applyAlignment="1">
      <alignment vertical="center"/>
    </xf>
    <xf numFmtId="173" fontId="192" fillId="52" borderId="0" xfId="1524" applyNumberFormat="1" applyFont="1" applyFill="1" applyAlignment="1">
      <alignment vertical="center"/>
    </xf>
    <xf numFmtId="170" fontId="192" fillId="52" borderId="0" xfId="1522" applyNumberFormat="1" applyFont="1" applyFill="1" applyBorder="1" applyAlignment="1">
      <alignment horizontal="right" vertical="center"/>
    </xf>
    <xf numFmtId="9" fontId="192" fillId="52" borderId="0" xfId="1522" applyFont="1" applyFill="1" applyAlignment="1">
      <alignment horizontal="right" vertical="center"/>
    </xf>
    <xf numFmtId="170" fontId="193" fillId="52" borderId="0" xfId="1522" applyNumberFormat="1" applyFont="1" applyFill="1" applyBorder="1" applyAlignment="1">
      <alignment horizontal="right" vertical="center"/>
    </xf>
    <xf numFmtId="0" fontId="192" fillId="52" borderId="22" xfId="377" applyFont="1" applyFill="1" applyBorder="1" applyAlignment="1">
      <alignment horizontal="right" vertical="center"/>
    </xf>
    <xf numFmtId="0" fontId="192" fillId="52" borderId="22" xfId="377" applyFont="1" applyFill="1" applyBorder="1" applyAlignment="1">
      <alignment vertical="center"/>
    </xf>
    <xf numFmtId="170" fontId="197" fillId="57" borderId="0" xfId="1522" applyNumberFormat="1" applyFont="1" applyFill="1" applyAlignment="1">
      <alignment horizontal="right" vertical="center"/>
    </xf>
    <xf numFmtId="0" fontId="198" fillId="0" borderId="0" xfId="0" applyFont="1"/>
    <xf numFmtId="0" fontId="199" fillId="0" borderId="0" xfId="0" applyFont="1"/>
    <xf numFmtId="220" fontId="198" fillId="0" borderId="0" xfId="0" applyNumberFormat="1" applyFont="1"/>
    <xf numFmtId="170" fontId="198" fillId="0" borderId="0" xfId="1522" applyNumberFormat="1" applyFont="1"/>
    <xf numFmtId="0" fontId="200" fillId="52" borderId="0" xfId="377" applyFont="1" applyFill="1" applyAlignment="1">
      <alignment vertical="center"/>
    </xf>
    <xf numFmtId="0" fontId="201" fillId="52" borderId="0" xfId="377" applyFont="1" applyFill="1" applyAlignment="1">
      <alignment horizontal="right" vertical="center"/>
    </xf>
    <xf numFmtId="0" fontId="201" fillId="52" borderId="0" xfId="377" applyFont="1" applyFill="1" applyAlignment="1">
      <alignment vertical="center"/>
    </xf>
    <xf numFmtId="0" fontId="202" fillId="0" borderId="0" xfId="0" applyFont="1"/>
    <xf numFmtId="0" fontId="200" fillId="52" borderId="22" xfId="377" applyFont="1" applyFill="1" applyBorder="1" applyAlignment="1">
      <alignment vertical="center"/>
    </xf>
    <xf numFmtId="10" fontId="192" fillId="52" borderId="0" xfId="1522" applyNumberFormat="1" applyFont="1" applyFill="1" applyAlignment="1">
      <alignment horizontal="right" vertical="center"/>
    </xf>
    <xf numFmtId="0" fontId="12" fillId="53" borderId="0" xfId="1523" quotePrefix="1" applyFont="1" applyFill="1" applyAlignment="1">
      <alignment horizontal="left" vertical="center"/>
    </xf>
    <xf numFmtId="168" fontId="13" fillId="52" borderId="0" xfId="0" applyNumberFormat="1" applyFont="1" applyFill="1" applyAlignment="1">
      <alignment horizontal="center" vertical="center"/>
    </xf>
  </cellXfs>
  <cellStyles count="1586">
    <cellStyle name="—" xfId="429" xr:uid="{BC22BC7B-D8C0-4918-B243-57837EFCF65A}"/>
    <cellStyle name="$" xfId="430" xr:uid="{0A52C53C-7B0B-4129-BD3B-D752DE5A152B}"/>
    <cellStyle name="$_CASH FLOW" xfId="431" xr:uid="{39E8055D-9154-4B02-906C-E020BF5E499C}"/>
    <cellStyle name="$_NPAT&amp;EPS" xfId="432" xr:uid="{43275D1C-5B4D-48FF-9751-DEA8E34084B0}"/>
    <cellStyle name="$3places" xfId="433" xr:uid="{E5C2E960-6827-403D-BE8E-4DA237611B9A}"/>
    <cellStyle name="%" xfId="434" xr:uid="{3BB6B011-76F9-46C9-A35E-06FB1624463D}"/>
    <cellStyle name="% 0" xfId="435" xr:uid="{C3F270D8-3BD9-4E08-B75D-0FB51C4891FB}"/>
    <cellStyle name="% 1" xfId="436" xr:uid="{1D829F69-5EFE-480B-8487-56863CFDD09D}"/>
    <cellStyle name="% 2" xfId="437" xr:uid="{E6B7F6A2-55C8-41D8-82CF-A81C8D45AF5E}"/>
    <cellStyle name="% Data 0" xfId="438" xr:uid="{FF89885F-6A20-4D12-97C8-3032C48EE463}"/>
    <cellStyle name="% Data 0 est" xfId="439" xr:uid="{88B621FD-3E99-4A77-87C6-7941CED3B6B0}"/>
    <cellStyle name="% Data 0_Abridged" xfId="440" xr:uid="{D01669E0-B0A8-4834-8AEB-34CA4B91AC7F}"/>
    <cellStyle name="% Data 1" xfId="441" xr:uid="{6B3388AC-3D8B-4FB3-A166-08C1DE9DAA84}"/>
    <cellStyle name="% Data 1 est" xfId="442" xr:uid="{558AB522-C1B4-4DC0-A81C-66B5002DDEA2}"/>
    <cellStyle name="% Data 1_Abridged" xfId="443" xr:uid="{2E2B7BDE-DD09-4114-A672-7C61EEAAD80B}"/>
    <cellStyle name="% Data 2" xfId="444" xr:uid="{2B7256B5-8215-4CD8-8AF8-275E345A6A5E}"/>
    <cellStyle name="% Data 2 est" xfId="445" xr:uid="{19795C3B-A036-4708-A847-638002E0D267}"/>
    <cellStyle name="% Data 2_Abridged" xfId="446" xr:uid="{7219CFDF-E443-466E-B8B0-1F3828884364}"/>
    <cellStyle name="%_CASH FLOW" xfId="447" xr:uid="{F831826F-85BA-4494-9B35-ECE31B8E3C23}"/>
    <cellStyle name="%_CMLS" xfId="448" xr:uid="{B067EC16-7A4C-4590-AE66-54EF1F334218}"/>
    <cellStyle name="%_CMLS_CASH FLOW" xfId="449" xr:uid="{99CE6B9B-9B7C-41FC-98F2-11513C33DCC7}"/>
    <cellStyle name="%_CMLS_NPAT&amp;EPS" xfId="450" xr:uid="{F9C0CC9B-4A1A-4C6A-B14B-5B5923479CEB}"/>
    <cellStyle name="%_ERTS (2)" xfId="451" xr:uid="{004B4792-BBF1-465E-B89C-5DADA4AC5E08}"/>
    <cellStyle name="%_ERTS (2)_CASH FLOW" xfId="452" xr:uid="{422FDC99-5BCA-436C-9732-ABFC647E8808}"/>
    <cellStyle name="%_ERTS (2)_NPAT&amp;EPS" xfId="453" xr:uid="{D0912C7A-F512-42E0-A31F-F31E559F12EA}"/>
    <cellStyle name="%_NPAT&amp;EPS" xfId="454" xr:uid="{82833EF8-B5FF-4840-82C0-A276A72A42E8}"/>
    <cellStyle name="(1,000)" xfId="455" xr:uid="{28F902CC-DCB8-4F36-BE9E-BA36AA89F19F}"/>
    <cellStyle name="(1,000)x" xfId="456" xr:uid="{99589342-3888-4EFA-AAF6-888859980086}"/>
    <cellStyle name="******************************************" xfId="457" xr:uid="{E91542FB-8E55-4EE4-9D04-9D356B55A367}"/>
    <cellStyle name="****************************************** 2" xfId="458" xr:uid="{9CDE4D5F-B5CF-42FE-8A1E-3B519A7576E3}"/>
    <cellStyle name="_%(SignOnly)" xfId="2" xr:uid="{777BBAFF-05EF-4911-A981-DFC0175C978F}"/>
    <cellStyle name="_%(SignOnly)_CASH FLOW" xfId="459" xr:uid="{B8EFD9EC-B8FC-4806-A5A8-B27D0B7734CF}"/>
    <cellStyle name="_%(SignOnly)_FON" xfId="460" xr:uid="{278BB0B0-5F28-4FDC-99A2-5086D7590240}"/>
    <cellStyle name="_%(SignOnly)_FRP" xfId="461" xr:uid="{9DFB3A20-2F4A-4E3E-BB31-9880ED8942E0}"/>
    <cellStyle name="_%(SignOnly)_FRP_CASH FLOW" xfId="462" xr:uid="{6D0716E3-5F47-4E0E-A182-79A25FA6FE04}"/>
    <cellStyle name="_%(SignOnly)_FRP_NPAT&amp;EPS" xfId="463" xr:uid="{64B8A494-66DD-43CF-BA82-83EC0D73C295}"/>
    <cellStyle name="_%(SignOnly)_NPAT&amp;EPS" xfId="464" xr:uid="{9F468ED5-91E0-4589-8D57-F965DA4B5550}"/>
    <cellStyle name="_%(SignSpaceOnly)" xfId="3" xr:uid="{C2BE97CB-2AFA-4B41-BB48-42ADAE0B4FB0}"/>
    <cellStyle name="_%(SignSpaceOnly)_CASH FLOW" xfId="465" xr:uid="{04C7BC26-1795-46D8-B6FC-BD2FF1013AC9}"/>
    <cellStyle name="_%(SignSpaceOnly)_FON" xfId="466" xr:uid="{00836458-632B-4070-9DA8-5710D905A998}"/>
    <cellStyle name="_%(SignSpaceOnly)_FRP" xfId="467" xr:uid="{2C954BB1-C426-4DE6-8E90-B7CB76730425}"/>
    <cellStyle name="_%(SignSpaceOnly)_FRP_CASH FLOW" xfId="468" xr:uid="{1D84F2E2-307C-4103-81ED-889021839A81}"/>
    <cellStyle name="_%(SignSpaceOnly)_FRP_NPAT&amp;EPS" xfId="469" xr:uid="{FB0B4F78-5F08-4944-A68A-176F71FA03CC}"/>
    <cellStyle name="_%(SignSpaceOnly)_NPAT&amp;EPS" xfId="470" xr:uid="{F261C078-B24F-43C6-BF43-784E15DBB1F7}"/>
    <cellStyle name="_~0034700" xfId="471" xr:uid="{AAF62425-0569-4F8D-B11F-CB49690B169D}"/>
    <cellStyle name="_Comma" xfId="4" xr:uid="{6FBF858D-3A3E-4D89-B90C-E2CB6C7A35FC}"/>
    <cellStyle name="_Comma_01 adj for merger plan" xfId="131" xr:uid="{CD199700-538B-46A2-92C7-FC6474EE79C9}"/>
    <cellStyle name="_Comma_09-08-04 Comp Sheet" xfId="472" xr:uid="{007E347F-F726-4C51-98BB-FDD213BD6C4D}"/>
    <cellStyle name="_Comma_09-08-04 Comp Sheet_AT" xfId="473" xr:uid="{7D1EE86E-D76A-423B-97C3-3AC142AE8ADB}"/>
    <cellStyle name="_Comma_09-08-04 Comp Sheet_AT_CASH FLOW" xfId="474" xr:uid="{9CC42B81-4735-40D0-812D-1FBB442D96F4}"/>
    <cellStyle name="_Comma_09-08-04 Comp Sheet_AT_NPAT&amp;EPS" xfId="475" xr:uid="{6F85EEA6-841D-4C40-ABFD-3BEA240D89EE}"/>
    <cellStyle name="_Comma_12-30-05 Telecom Serv Comp Sheet" xfId="476" xr:uid="{5140BAF1-F675-471C-8AE5-E1811679F7A2}"/>
    <cellStyle name="_Comma_12-30-05 Telecom Serv Comp Sheet_CASH FLOW" xfId="477" xr:uid="{D590EDE8-3C01-443E-BA01-BE8B32EED90E}"/>
    <cellStyle name="_Comma_12-30-05 Telecom Serv Comp Sheet_NPAT&amp;EPS" xfId="478" xr:uid="{C38DCA2C-9585-4CB6-8E31-7CB0A54B33F2}"/>
    <cellStyle name="_Comma_Ability to Pay Analysis" xfId="132" xr:uid="{957D770B-6AAE-438F-A1ED-49732C87825D}"/>
    <cellStyle name="_Comma_AFL" xfId="133" xr:uid="{AB6E432E-742D-4B49-80B6-4843222CA9DB}"/>
    <cellStyle name="_Comma_AFL 2" xfId="1318" xr:uid="{909ABE67-93BC-411E-8E31-8670A5C13F57}"/>
    <cellStyle name="_Comma_Airports Dealcomp" xfId="5" xr:uid="{A9A10A5A-9EC0-40C8-BB34-718E4256A616}"/>
    <cellStyle name="_Comma_AIZ" xfId="134" xr:uid="{297E3DA4-D2F4-40D5-A162-FA91710778ED}"/>
    <cellStyle name="_Comma_AIZ 2" xfId="1319" xr:uid="{7D76AB77-077C-4271-BFD3-52BDC3C951B2}"/>
    <cellStyle name="_Comma_AIZ04-Quantum2" xfId="135" xr:uid="{EBDCC45B-A382-4D40-AA43-9B27717FAF10}"/>
    <cellStyle name="_Comma_AIZ04-Quantum2 2" xfId="1320" xr:uid="{DC5CF490-F315-4E18-9C0C-FCA9DFBDB0E0}"/>
    <cellStyle name="_Comma_AMP" xfId="136" xr:uid="{0EB29B50-A32A-40D4-A659-8E21FCC18BC9}"/>
    <cellStyle name="_Comma_bls roic" xfId="479" xr:uid="{C9756458-7658-4B42-9DEE-3017B2737C82}"/>
    <cellStyle name="_Comma_bls roic_CASH FLOW" xfId="480" xr:uid="{26D97302-3E34-4862-AE38-927875DC6DA0}"/>
    <cellStyle name="_Comma_bls roic_FON" xfId="481" xr:uid="{682506A3-B62C-418F-9550-1FD64DD7E4C2}"/>
    <cellStyle name="_Comma_bls roic_FRP" xfId="482" xr:uid="{15FEF6ED-A174-4285-9CB7-6F273C472AF9}"/>
    <cellStyle name="_Comma_bls roic_FRP_CASH FLOW" xfId="483" xr:uid="{AF65F76A-846F-4772-9BB3-687C35F02D5E}"/>
    <cellStyle name="_Comma_bls roic_FRP_NPAT&amp;EPS" xfId="484" xr:uid="{D670EB5B-FD34-49D4-B116-208B9F31A2E9}"/>
    <cellStyle name="_Comma_bls roic_NPAT&amp;EPS" xfId="485" xr:uid="{16F182F7-7A49-4449-804E-2A195C77D8ED}"/>
    <cellStyle name="_Comma_Book1" xfId="137" xr:uid="{549EDD3F-4259-4473-932D-E21B8B22A58C}"/>
    <cellStyle name="_Comma_Book3" xfId="138" xr:uid="{9A2096D4-E620-412E-9C10-25E9450D0EC4}"/>
    <cellStyle name="_Comma_capital expenditures 6-18-02" xfId="486" xr:uid="{AD729796-AF6D-4A2A-9EFE-D411AFF6755A}"/>
    <cellStyle name="_Comma_capital expenditures 6-18-02_CASH FLOW" xfId="487" xr:uid="{F4A6626B-3674-4A77-86BB-B4043022DC3C}"/>
    <cellStyle name="_Comma_capital expenditures 6-18-02_FON" xfId="488" xr:uid="{22AF4ABD-C81A-45F9-871E-160781C27D6C}"/>
    <cellStyle name="_Comma_capital expenditures 6-18-02_FRP" xfId="489" xr:uid="{166A9BD3-1D38-48CE-BDF8-D23D24968069}"/>
    <cellStyle name="_Comma_capital expenditures 6-18-02_FRP_CASH FLOW" xfId="490" xr:uid="{A3557D25-1F37-49EA-AA41-3FA0CC2AD220}"/>
    <cellStyle name="_Comma_capital expenditures 6-18-02_FRP_NPAT&amp;EPS" xfId="491" xr:uid="{3FC09B0B-125D-470A-8A1D-578730EB9D91}"/>
    <cellStyle name="_Comma_capital expenditures 6-18-02_NPAT&amp;EPS" xfId="492" xr:uid="{CD9C1B1E-9257-4FE7-A9A9-6274BA3A13FD}"/>
    <cellStyle name="_Comma_CASH FLOW" xfId="493" xr:uid="{3B27F07C-A705-4CDC-BA14-A42CDA69F51D}"/>
    <cellStyle name="_Comma_CNO" xfId="139" xr:uid="{AA56376B-EE4B-469D-A2BD-3E50CEAA07B8}"/>
    <cellStyle name="_Comma_CNO04" xfId="140" xr:uid="{F0773339-193A-47FF-9EAD-2504F2207BF6}"/>
    <cellStyle name="_Comma_DCF Alexander Forbes" xfId="141" xr:uid="{FA17211E-388B-43B8-A9FE-3AE52F20BAB3}"/>
    <cellStyle name="_Comma_dcf_1" xfId="494" xr:uid="{3E294DE8-EF6E-4907-A8A8-C84F13E8BB9A}"/>
    <cellStyle name="_Comma_dcf_1_CASH FLOW" xfId="495" xr:uid="{F1C4F725-21C5-41B2-B9B1-4E336B647127}"/>
    <cellStyle name="_Comma_dcf_1_NPAT&amp;EPS" xfId="496" xr:uid="{8CE1B2B5-64A4-46D8-A463-457FA50EDB98}"/>
    <cellStyle name="_Comma_DUK" xfId="497" xr:uid="{856404CE-CD35-4D4D-8B1A-450659CF7C47}"/>
    <cellStyle name="_Comma_DUK_CASH FLOW" xfId="498" xr:uid="{3068ED24-7643-46CA-9754-70FA4F65284D}"/>
    <cellStyle name="_Comma_DUK_NPAT&amp;EPS" xfId="499" xr:uid="{C6E90823-43C2-4445-BE59-581B93ED7C5C}"/>
    <cellStyle name="_Comma_ED 2005.08.01" xfId="500" xr:uid="{DE21D861-236D-476C-B781-6200A56FABB6}"/>
    <cellStyle name="_Comma_ED 2005.08.01_CASH FLOW" xfId="501" xr:uid="{B05387BB-4ED7-4A68-B019-90CB8F36A2D9}"/>
    <cellStyle name="_Comma_ED 2005.08.01_NPAT&amp;EPS" xfId="502" xr:uid="{75BF5B77-314B-46A3-9118-D9BE4E9C9F16}"/>
    <cellStyle name="_Comma_FCF yield comparison_1.3.06" xfId="503" xr:uid="{7755AE49-F3E0-43B9-80E3-E81751B683D8}"/>
    <cellStyle name="_Comma_FCF yield comparison_1.3.06_CASH FLOW" xfId="504" xr:uid="{C4019905-9022-4EBC-96AC-C9B9D8460F96}"/>
    <cellStyle name="_Comma_FCF yield comparison_1.3.06_NPAT&amp;EPS" xfId="505" xr:uid="{5A995F11-277A-40D3-88AC-1C9A5C60F41C}"/>
    <cellStyle name="_Comma_fmbi counties" xfId="142" xr:uid="{9EA20836-5839-4C70-B241-52A00DA411C5}"/>
    <cellStyle name="_Comma_FMBI MBHI Graphs" xfId="143" xr:uid="{C258FEA3-BF50-464C-A11A-4A2E3E06DDB2}"/>
    <cellStyle name="_Comma_FMBI MBHI Graphs 07102001" xfId="144" xr:uid="{C8ECCCEC-FCED-4829-AE0D-C162675EA1F2}"/>
    <cellStyle name="_Comma_FMBI MBHI Graphs_7601" xfId="145" xr:uid="{4EAE62F9-DA13-42D9-A553-7A68330C0B5B}"/>
    <cellStyle name="_Comma_FON" xfId="506" xr:uid="{B2AE836B-67A1-4F42-B0AA-879F3E8EEB1A}"/>
    <cellStyle name="_Comma_FRP" xfId="507" xr:uid="{436C0679-8380-44C9-BCEE-F670B9B28F75}"/>
    <cellStyle name="_Comma_FRP_CASH FLOW" xfId="508" xr:uid="{4A706D95-6A12-43FC-9DC2-E267082188CA}"/>
    <cellStyle name="_Comma_FRP_NPAT&amp;EPS" xfId="509" xr:uid="{EFEBE532-ACB9-4DAD-83F7-637EF6D0D3E1}"/>
    <cellStyle name="_Comma_genworth model" xfId="146" xr:uid="{29DD5285-E26A-47A6-9DB1-AC516EC116E1}"/>
    <cellStyle name="_Comma_genworth model 2" xfId="1321" xr:uid="{09BF95AD-D998-4D58-A8F9-86F1168707CF}"/>
    <cellStyle name="_Comma_Insurance Brokerage CSC_1Q2002" xfId="147" xr:uid="{FC383900-E111-45BD-9C48-D384D6F39F57}"/>
    <cellStyle name="_Comma_JP_LNC_spread_monitor (2)" xfId="148" xr:uid="{84AE0E7F-5A63-44B1-A6DD-B7FF59638CD7}"/>
    <cellStyle name="_Comma_MCI" xfId="510" xr:uid="{C07AA91F-EF87-4388-887A-255644A33B4B}"/>
    <cellStyle name="_Comma_MCI_AT" xfId="511" xr:uid="{CC3CBF6D-4D58-440C-8C62-772D1FF62FB2}"/>
    <cellStyle name="_Comma_MCI_AT_CASH FLOW" xfId="512" xr:uid="{F2F75624-73D7-46AD-ACB4-60311FD65C74}"/>
    <cellStyle name="_Comma_MCI_AT_NPAT&amp;EPS" xfId="513" xr:uid="{3D7163DC-748E-445A-80F6-9824DCC2A592}"/>
    <cellStyle name="_Comma_NFP" xfId="149" xr:uid="{0175649C-C3E7-4004-AC8A-BEC43AEEC0B5}"/>
    <cellStyle name="_Comma_NFS" xfId="150" xr:uid="{5A902BCA-FF7A-4DDB-8D70-754B27162AEB}"/>
    <cellStyle name="_Comma_NFS 2" xfId="1322" xr:uid="{A4BCD601-6B3E-415D-A3AD-92313C965F73}"/>
    <cellStyle name="_Comma_NPAT&amp;EPS" xfId="514" xr:uid="{D2968FEE-D01A-4CDD-A5FC-79B2E3791392}"/>
    <cellStyle name="_Comma_NRG 2005.07.22" xfId="515" xr:uid="{64186252-0D2F-4D6E-9E52-87A376634EF8}"/>
    <cellStyle name="_Comma_NRG 2005.07.22_CASH FLOW" xfId="516" xr:uid="{A4D96310-ED12-4A92-871B-A192B55B7366}"/>
    <cellStyle name="_Comma_NRG 2005.07.22_NPAT&amp;EPS" xfId="517" xr:uid="{5F2493A5-4B0A-4483-B89F-01DBD3591CA8}"/>
    <cellStyle name="_Comma_Overview3" xfId="151" xr:uid="{471E1199-A538-4365-952B-D262C3F85262}"/>
    <cellStyle name="_Comma_phil data" xfId="152" xr:uid="{D42B2501-332A-4D44-9FAD-6B698321D4FD}"/>
    <cellStyle name="_Comma_Price Performance Charts" xfId="153" xr:uid="{54486BC0-D06B-4C2F-A86C-51DFE8CD99B1}"/>
    <cellStyle name="_Comma_Price Performance Charts 2" xfId="1323" xr:uid="{F93CB71B-B35A-4438-A84A-7F62827921B3}"/>
    <cellStyle name="_Comma_Quarterly Review by Company" xfId="154" xr:uid="{8B803EDA-74D9-4D00-8DC0-F1A66321003B}"/>
    <cellStyle name="_Comma_RBOC historicals" xfId="518" xr:uid="{AB4C8084-4353-4B3C-88B5-140177DCF817}"/>
    <cellStyle name="_Comma_RBOC historicals_CASH FLOW" xfId="519" xr:uid="{9849CD24-724A-4455-A523-7405D187E8E2}"/>
    <cellStyle name="_Comma_RBOC historicals_FON" xfId="520" xr:uid="{7B5EED37-D227-46ED-A886-8ADD233A3426}"/>
    <cellStyle name="_Comma_RBOC historicals_FRP" xfId="521" xr:uid="{56F91688-9EE5-4DBD-83F5-E32E4919C3B5}"/>
    <cellStyle name="_Comma_RBOC historicals_FRP_CASH FLOW" xfId="522" xr:uid="{7AF1212D-FE14-4AF8-BA11-56FD00D4DEB0}"/>
    <cellStyle name="_Comma_RBOC historicals_FRP_NPAT&amp;EPS" xfId="523" xr:uid="{F9D4C8E2-4384-4F21-85B9-7682391F7D01}"/>
    <cellStyle name="_Comma_RBOC historicals_NPAT&amp;EPS" xfId="524" xr:uid="{FA787F2A-3DA2-4E07-BF74-F046A8214F90}"/>
    <cellStyle name="_Comma_SFG Data File" xfId="155" xr:uid="{87F65652-A8FD-477C-A039-A40797F6FF78}"/>
    <cellStyle name="_Comma_Sheet1" xfId="156" xr:uid="{C656005D-429A-4C8E-9109-202DD0F1C391}"/>
    <cellStyle name="_Comma_SRE" xfId="525" xr:uid="{B8A996EC-ABF2-4BD6-A498-BE54086E327F}"/>
    <cellStyle name="_Comma_SRE Working" xfId="526" xr:uid="{D9AF1094-5869-417E-9962-C04EE2A4A890}"/>
    <cellStyle name="_Comma_SRE Working_CASH FLOW" xfId="527" xr:uid="{BFD00215-A0CF-466E-B643-6F07D38554F9}"/>
    <cellStyle name="_Comma_SRE Working_NPAT&amp;EPS" xfId="528" xr:uid="{D063F66B-97B6-4EB8-BD76-D02F425E0050}"/>
    <cellStyle name="_Comma_SRE_CASH FLOW" xfId="529" xr:uid="{F8BA98C8-3EED-497F-A5C6-AEE2F0A2708A}"/>
    <cellStyle name="_Comma_SRE_NPAT&amp;EPS" xfId="530" xr:uid="{9BC449BC-E0E9-4F12-A4E4-CF87872CE24D}"/>
    <cellStyle name="_Comma_Stock-QTR1 FDS" xfId="157" xr:uid="{0F01B324-1817-4CDA-B914-13C7AC279BED}"/>
    <cellStyle name="_Comma_Stock-QTR1 FDS 2" xfId="1324" xr:uid="{7EE31B8B-A33C-4378-98B0-83DBF4B1B4AC}"/>
    <cellStyle name="_Comma_T" xfId="531" xr:uid="{F426D4DD-1C63-449D-A6AE-C3868953E9D4}"/>
    <cellStyle name="_Comma_T - new" xfId="532" xr:uid="{FC52CD54-9BBF-42F8-A8F6-799336F94300}"/>
    <cellStyle name="_Comma_T - new_CASH FLOW" xfId="533" xr:uid="{38FB7A98-3C04-410F-8178-BDF2676A5B73}"/>
    <cellStyle name="_Comma_T - new_FON" xfId="534" xr:uid="{F455A2AB-8582-46DE-B68D-884BE41E767B}"/>
    <cellStyle name="_Comma_T - new_FRP" xfId="535" xr:uid="{5A63447C-2590-442F-A98F-08B5FF74215F}"/>
    <cellStyle name="_Comma_T - new_FRP_CASH FLOW" xfId="536" xr:uid="{A1166377-5919-498D-9DB3-15493F830A1F}"/>
    <cellStyle name="_Comma_T - new_FRP_NPAT&amp;EPS" xfId="537" xr:uid="{79F638E6-1115-4340-BA73-D5EA21FFE38A}"/>
    <cellStyle name="_Comma_T - new_NPAT&amp;EPS" xfId="538" xr:uid="{303145AA-E92C-468C-8D1C-865D405B3511}"/>
    <cellStyle name="_Comma_T_AT" xfId="539" xr:uid="{9820124C-6C01-4846-9600-C3881CC6ED95}"/>
    <cellStyle name="_Comma_T_AT_CASH FLOW" xfId="540" xr:uid="{B6B873F4-F7A4-4B79-BCFE-21733053EEF3}"/>
    <cellStyle name="_Comma_T_AT_NPAT&amp;EPS" xfId="541" xr:uid="{C8665FF5-D77F-4ED7-9206-9EDC1AA854D0}"/>
    <cellStyle name="_Comma_Telco Scenario analysis1" xfId="542" xr:uid="{58A06EC4-1A43-46BE-B829-6CBD77086375}"/>
    <cellStyle name="_Comma_Telco Scenario analysis1_AT" xfId="543" xr:uid="{5A654EB4-51FC-4707-91D6-BC9EEC2E52F8}"/>
    <cellStyle name="_Comma_Telco Scenario analysis1_AT_CASH FLOW" xfId="544" xr:uid="{6DF2C155-E925-44C0-B068-F242904CB541}"/>
    <cellStyle name="_Comma_Telco Scenario analysis1_AT_NPAT&amp;EPS" xfId="545" xr:uid="{29CA4A53-5813-4C40-9664-F2B371061715}"/>
    <cellStyle name="_Comma_Updated Valuation Changes" xfId="158" xr:uid="{88E3ED48-CB29-41A5-A807-13E36D7218B7}"/>
    <cellStyle name="_Comma_Valuation Graphs" xfId="159" xr:uid="{05EA742A-BADC-4913-AF0A-D629549139E2}"/>
    <cellStyle name="_Comma_xratio - historical mkt val" xfId="160" xr:uid="{09400A71-322D-46DC-B4BE-996E3E05910E}"/>
    <cellStyle name="_Currency" xfId="6" xr:uid="{7695B35E-FCED-43BA-8323-BA21DFF27EBC}"/>
    <cellStyle name="_Currency_01 adj for merger plan" xfId="161" xr:uid="{7E2643CD-F7AB-43D2-8CAC-40201A6D2500}"/>
    <cellStyle name="_Currency_01 Dairy Farmers Deal Comp" xfId="7" xr:uid="{0E3EC6F4-58AA-4ED4-9F01-43E7F27434BA}"/>
    <cellStyle name="_Currency_09-08-04 Comp Sheet" xfId="546" xr:uid="{70E3FFCB-EEDB-48C1-9924-1FCB03A2AB98}"/>
    <cellStyle name="_Currency_09-08-04 Comp Sheet_AT" xfId="547" xr:uid="{3038FB85-CE4B-4FD9-8E2D-223EC5601629}"/>
    <cellStyle name="_Currency_09-08-04 Comp Sheet_AT_CASH FLOW" xfId="548" xr:uid="{3031B3AC-B5A5-4C86-A518-DB941A78F2FE}"/>
    <cellStyle name="_Currency_09-08-04 Comp Sheet_AT_NPAT&amp;EPS" xfId="549" xr:uid="{D95BB875-74BD-4DEC-8C6D-FCA6C03778D4}"/>
    <cellStyle name="_Currency_12-30-05 Telecom Serv Comp Sheet" xfId="550" xr:uid="{F92DEE01-0866-485E-A863-7EDF7F74E2C5}"/>
    <cellStyle name="_Currency_12-30-05 Telecom Serv Comp Sheet_CASH FLOW" xfId="551" xr:uid="{1CD01C20-50DC-482F-ACE3-06CEDEA3F9F6}"/>
    <cellStyle name="_Currency_12-30-05 Telecom Serv Comp Sheet_NPAT&amp;EPS" xfId="552" xr:uid="{4B37C690-8F86-4427-9EA9-7063E7EDF90E}"/>
    <cellStyle name="_Currency_15 Furniture CSC (06-Dec-2005)" xfId="8" xr:uid="{36FC27C1-61BA-497A-B974-89CD4112ABD5}"/>
    <cellStyle name="_Currency_Ability to Pay Analysis" xfId="162" xr:uid="{2E0D46CF-033E-47E3-82FE-4A2358FD5E0E}"/>
    <cellStyle name="_Currency_AFL" xfId="163" xr:uid="{6B0C09DC-0F59-4109-B9BF-2362988E1903}"/>
    <cellStyle name="_Currency_Airports Dealcomp" xfId="9" xr:uid="{697C5E20-397E-41A3-A255-42BFB4B70456}"/>
    <cellStyle name="_Currency_AIZ" xfId="164" xr:uid="{ED86247C-4F0F-4D08-B191-47067808F411}"/>
    <cellStyle name="_Currency_AMP" xfId="165" xr:uid="{4566EC21-8C54-4BBD-916C-2B4A7C9CFBE4}"/>
    <cellStyle name="_Currency_AT" xfId="553" xr:uid="{DA81BBD1-FA18-4AFA-B0FF-0A79A6703A3A}"/>
    <cellStyle name="_Currency_AT_CASH FLOW" xfId="554" xr:uid="{1678B0D4-3AEC-4282-B8D7-8CF0CFD988D8}"/>
    <cellStyle name="_Currency_AT_FON" xfId="555" xr:uid="{42F8422B-B848-43AA-BC3C-D517B09CB04D}"/>
    <cellStyle name="_Currency_AT_FRP" xfId="556" xr:uid="{3370B891-0881-40FF-BFDE-5C40DF32D0CE}"/>
    <cellStyle name="_Currency_AT_FRP_CASH FLOW" xfId="557" xr:uid="{B5D25CB6-CB2E-45AC-8297-250A79DEA36F}"/>
    <cellStyle name="_Currency_AT_FRP_NPAT&amp;EPS" xfId="558" xr:uid="{56A58603-EF73-43F4-ABC7-8E8AB5B16266}"/>
    <cellStyle name="_Currency_AT_NPAT&amp;EPS" xfId="559" xr:uid="{FFC42EE8-AF51-4BE0-8016-00D485C3BC79}"/>
    <cellStyle name="_Currency_AWE" xfId="560" xr:uid="{94A5250C-DF24-4793-B869-13390A66CDBB}"/>
    <cellStyle name="_Currency_AWE 9-16-03" xfId="561" xr:uid="{B4554861-ECAA-4E28-99EB-A832C604D38C}"/>
    <cellStyle name="_Currency_AWE 9-16-03_CASH FLOW" xfId="562" xr:uid="{0BAE0E0C-9E3D-4207-B545-D8E6DBE18A5A}"/>
    <cellStyle name="_Currency_AWE 9-16-03_NPAT&amp;EPS" xfId="563" xr:uid="{7CEF74C6-1483-43A6-A928-5EAB586708AD}"/>
    <cellStyle name="_Currency_AWE_CASH FLOW" xfId="564" xr:uid="{213EC5A0-318F-4C3E-BA66-95FBAEC0F49C}"/>
    <cellStyle name="_Currency_AWE_FON" xfId="565" xr:uid="{F9FEE2EF-D47B-466F-9E42-5B20CC323BD7}"/>
    <cellStyle name="_Currency_AWE_FRP" xfId="566" xr:uid="{F82D1628-6732-44FE-99F4-2374967098BD}"/>
    <cellStyle name="_Currency_AWE_FRP_CASH FLOW" xfId="567" xr:uid="{1454906A-9D70-4251-BB33-13AE9D756CF8}"/>
    <cellStyle name="_Currency_AWE_FRP_NPAT&amp;EPS" xfId="568" xr:uid="{EA738EFF-791C-4D09-BADF-6B97C38C6E54}"/>
    <cellStyle name="_Currency_AWE_NPAT&amp;EPS" xfId="569" xr:uid="{F2F7C12F-122A-47FE-8C91-6493D1E844BC}"/>
    <cellStyle name="_Currency_Balance Sheet" xfId="166" xr:uid="{07C1B885-F087-467D-A845-FE9F3900D84A}"/>
    <cellStyle name="_Currency_BLS" xfId="570" xr:uid="{B7DEA8AB-3B15-4C55-8BDD-BFD188BD7DE0}"/>
    <cellStyle name="_Currency_bls roic" xfId="571" xr:uid="{8F590E64-A11D-4244-A08A-FD65875D6109}"/>
    <cellStyle name="_Currency_bls roic_CASH FLOW" xfId="572" xr:uid="{654CD19C-249C-4796-817C-092B6EA4D066}"/>
    <cellStyle name="_Currency_bls roic_FON" xfId="573" xr:uid="{11501518-90DB-496C-BD31-ED614288F520}"/>
    <cellStyle name="_Currency_bls roic_FRP" xfId="574" xr:uid="{F8814643-B5F9-4F1E-9AA1-57C8C3BF07FB}"/>
    <cellStyle name="_Currency_bls roic_FRP_CASH FLOW" xfId="575" xr:uid="{D1A76D3C-0C9C-4256-A580-84A126694A6C}"/>
    <cellStyle name="_Currency_bls roic_FRP_NPAT&amp;EPS" xfId="576" xr:uid="{3FE384DC-6604-4539-9E60-E21E96C5BA86}"/>
    <cellStyle name="_Currency_bls roic_NPAT&amp;EPS" xfId="577" xr:uid="{A0AA9902-9834-4B52-907C-7C7EB804322C}"/>
    <cellStyle name="_Currency_BLS_CASH FLOW" xfId="578" xr:uid="{ADBED547-44EE-41EC-A88B-38D79C2787C6}"/>
    <cellStyle name="_Currency_BLS_FON" xfId="579" xr:uid="{5F927C47-0395-466C-ABD0-6AF9E70B9E92}"/>
    <cellStyle name="_Currency_BLS_FRP" xfId="580" xr:uid="{B4F3A269-410D-4C12-8413-4C63E634FC51}"/>
    <cellStyle name="_Currency_BLS_FRP_CASH FLOW" xfId="581" xr:uid="{2C18594B-AEFA-4862-B8D9-CF518A1544C0}"/>
    <cellStyle name="_Currency_BLS_FRP_NPAT&amp;EPS" xfId="582" xr:uid="{1B73A793-37CE-4B81-A2B6-73793CA15D49}"/>
    <cellStyle name="_Currency_BLS_NPAT&amp;EPS" xfId="583" xr:uid="{B181EF71-930F-4EB5-B520-4AE35C13CD4D}"/>
    <cellStyle name="_Currency_Book1" xfId="167" xr:uid="{9E99DD4F-8722-40D4-A852-93528A39F8DB}"/>
    <cellStyle name="_Currency_Book2" xfId="584" xr:uid="{A39AF76D-6323-433E-A470-943FEDF4FD43}"/>
    <cellStyle name="_Currency_Book2_CASH FLOW" xfId="585" xr:uid="{DE8A3BBE-FD7C-4B70-88CB-2B2323716590}"/>
    <cellStyle name="_Currency_Book2_FON" xfId="586" xr:uid="{C3E40406-5000-4BB2-9672-09E85B31D222}"/>
    <cellStyle name="_Currency_Book2_FRP" xfId="587" xr:uid="{212C1F40-4E00-4EAF-AADE-18AD6234D34B}"/>
    <cellStyle name="_Currency_Book2_FRP_CASH FLOW" xfId="588" xr:uid="{2DD9A16B-9D78-4C4D-B2D6-91F0B6D3EE79}"/>
    <cellStyle name="_Currency_Book2_FRP_NPAT&amp;EPS" xfId="589" xr:uid="{F98720C5-EC84-48CF-A40D-D467E20652A1}"/>
    <cellStyle name="_Currency_Book2_NPAT&amp;EPS" xfId="590" xr:uid="{9C46ADD6-7975-4405-90A9-CE6F0E62E2AA}"/>
    <cellStyle name="_Currency_Book29" xfId="168" xr:uid="{6F51844B-EBA5-475F-B123-85C1710B0B95}"/>
    <cellStyle name="_Currency_Book3" xfId="169" xr:uid="{3A377406-0A19-40DE-B785-2DEE51910793}"/>
    <cellStyle name="_Currency_Book3_1" xfId="170" xr:uid="{CB1746B6-9C8A-491D-BF46-FC0787585454}"/>
    <cellStyle name="_Currency_Book32" xfId="591" xr:uid="{2BF2ACE9-E05C-4A34-B363-D7C818137802}"/>
    <cellStyle name="_Currency_Book32_CASH FLOW" xfId="592" xr:uid="{BAA8DA3C-6435-474D-B958-C32DA3253201}"/>
    <cellStyle name="_Currency_Book32_FON" xfId="593" xr:uid="{F0DC3770-D0DE-49BA-ABE0-8EFB322B2A05}"/>
    <cellStyle name="_Currency_Book32_FRP" xfId="594" xr:uid="{5ED7AE6B-5CB4-44A9-B65B-15A635EB0F5B}"/>
    <cellStyle name="_Currency_Book32_FRP_CASH FLOW" xfId="595" xr:uid="{86444182-CE75-411D-A4FA-8F6978EB77A2}"/>
    <cellStyle name="_Currency_Book32_FRP_NPAT&amp;EPS" xfId="596" xr:uid="{4D08829E-6574-402E-B9CC-FA21FE9C4FAC}"/>
    <cellStyle name="_Currency_Book32_NPAT&amp;EPS" xfId="597" xr:uid="{125ED741-0D1F-44EC-ABF6-EA82F08EB225}"/>
    <cellStyle name="_Currency_capital expenditures 6-18-02" xfId="598" xr:uid="{94DA57F0-20B8-41D4-A6C2-C21CDC048F6D}"/>
    <cellStyle name="_Currency_capital expenditures 6-18-02_CASH FLOW" xfId="599" xr:uid="{2E3F1385-F3E6-4F83-81FA-6D40810FB030}"/>
    <cellStyle name="_Currency_capital expenditures 6-18-02_FON" xfId="600" xr:uid="{82C258B8-FC06-4D74-BDA2-8DABDA3A40F7}"/>
    <cellStyle name="_Currency_capital expenditures 6-18-02_FRP" xfId="601" xr:uid="{AC0D5779-2329-4CEF-8C9B-F2AF0B4E2255}"/>
    <cellStyle name="_Currency_capital expenditures 6-18-02_FRP_CASH FLOW" xfId="602" xr:uid="{D1A67EF9-B655-4E87-B4FB-4BF4BF5AB333}"/>
    <cellStyle name="_Currency_capital expenditures 6-18-02_FRP_NPAT&amp;EPS" xfId="603" xr:uid="{78E2EE18-1562-4573-A769-64F04C5B25A3}"/>
    <cellStyle name="_Currency_capital expenditures 6-18-02_NPAT&amp;EPS" xfId="604" xr:uid="{BF2BD27F-F987-4523-AF92-B5FC4B09C929}"/>
    <cellStyle name="_Currency_CASH FLOW" xfId="605" xr:uid="{6A9D5D81-14F6-408A-8AD1-792198CEC310}"/>
    <cellStyle name="_Currency_Cingular" xfId="606" xr:uid="{13B9710B-ACD4-4C16-A554-B4FE37399590}"/>
    <cellStyle name="_Currency_Cingular_CASH FLOW" xfId="607" xr:uid="{BF627AB6-D617-40F7-9F22-5A3B473D21D0}"/>
    <cellStyle name="_Currency_Cingular_FON" xfId="608" xr:uid="{B851B0C6-D600-4B9C-A82A-91819122BF83}"/>
    <cellStyle name="_Currency_Cingular_FRP" xfId="609" xr:uid="{48FAB168-8626-4576-8B0C-CB8EBB917E0A}"/>
    <cellStyle name="_Currency_Cingular_FRP_CASH FLOW" xfId="610" xr:uid="{00D34550-D724-4112-80ED-0E2D9230A3B4}"/>
    <cellStyle name="_Currency_Cingular_FRP_NPAT&amp;EPS" xfId="611" xr:uid="{DEE7F51E-300A-4C3D-8FFF-B690D918DFC9}"/>
    <cellStyle name="_Currency_Cingular_NPAT&amp;EPS" xfId="612" xr:uid="{8E5BD029-5D9F-4028-AEF9-994B1DC2A4D7}"/>
    <cellStyle name="_Currency_CNO" xfId="171" xr:uid="{C6DD21D9-C189-4124-B0E0-B381220E67A7}"/>
    <cellStyle name="_Currency_DCF Alexander Forbes" xfId="172" xr:uid="{64F273F5-152F-4B0F-BF40-4FA27ABD11EC}"/>
    <cellStyle name="_Currency_dcf_1" xfId="613" xr:uid="{CC0D4572-93AB-45E7-92CD-21AC2F1F6F19}"/>
    <cellStyle name="_Currency_dcf_1_CASH FLOW" xfId="614" xr:uid="{FB54C1EF-097C-431F-B180-59C0E51F9E1F}"/>
    <cellStyle name="_Currency_dcf_1_NPAT&amp;EPS" xfId="615" xr:uid="{CF98C72B-50EC-4249-AF77-C0A71B424070}"/>
    <cellStyle name="_Currency_DUK" xfId="616" xr:uid="{2F8BE487-2164-4D74-9B98-AD5879D539CA}"/>
    <cellStyle name="_Currency_DUK_CASH FLOW" xfId="617" xr:uid="{996FDF41-7FBD-44C0-B642-01C83C66929C}"/>
    <cellStyle name="_Currency_DUK_NPAT&amp;EPS" xfId="618" xr:uid="{8F991357-F4AF-4E55-8BFF-2C7D28F2C40F}"/>
    <cellStyle name="_Currency_ED 2005.08.01" xfId="619" xr:uid="{D26BC8F5-C60E-40ED-B984-491B01199216}"/>
    <cellStyle name="_Currency_ED 2005.08.01_CASH FLOW" xfId="620" xr:uid="{D8C83A1D-0A98-4C6C-9420-3C2FF545EFF7}"/>
    <cellStyle name="_Currency_ED 2005.08.01_NPAT&amp;EPS" xfId="621" xr:uid="{AAD00480-EE86-4D94-96BD-D8D5C66C6D2F}"/>
    <cellStyle name="_Currency_FCF yield comparison_1.3.06" xfId="622" xr:uid="{15B2EB13-3D1B-4AC3-B12C-BD68DF6B140C}"/>
    <cellStyle name="_Currency_FCF yield comparison_1.3.06_CASH FLOW" xfId="623" xr:uid="{6F6776B9-E909-4906-95DA-08B7D5D785E5}"/>
    <cellStyle name="_Currency_FCF yield comparison_1.3.06_NPAT&amp;EPS" xfId="624" xr:uid="{412A7D26-0BD1-4DE9-9A68-B15709C6BC3D}"/>
    <cellStyle name="_Currency_fmbi counties" xfId="173" xr:uid="{43D94B7E-0245-4A1F-8A3C-3806B54D92B1}"/>
    <cellStyle name="_Currency_FMBI MBHI Graphs" xfId="174" xr:uid="{7374D47A-014B-4CBA-952C-DA532A3DD578}"/>
    <cellStyle name="_Currency_FMBI MBHI Graphs 07102001" xfId="175" xr:uid="{2073457D-7D08-4D1A-962D-2FB839A4BECE}"/>
    <cellStyle name="_Currency_FMBI MBHI Graphs_7601" xfId="176" xr:uid="{5710A619-42E6-4A8A-AD7E-A4D9DC607B4C}"/>
    <cellStyle name="_Currency_FON" xfId="625" xr:uid="{E649EF2D-1BC3-421E-A41B-88E74B7A5D1B}"/>
    <cellStyle name="_Currency_FON_1" xfId="626" xr:uid="{870BAB51-8DE4-4E29-8AD7-444E2D4CB9A2}"/>
    <cellStyle name="_Currency_FON_CASH FLOW" xfId="627" xr:uid="{D0549EAB-846E-41B4-82CB-1C08A1299B5C}"/>
    <cellStyle name="_Currency_FON_FON" xfId="628" xr:uid="{C3E45FEB-C399-4C21-BCB2-2ECC02F6056C}"/>
    <cellStyle name="_Currency_FON_FRP" xfId="629" xr:uid="{51D8F301-B52B-41C2-A724-28AF79053904}"/>
    <cellStyle name="_Currency_FON_FRP_CASH FLOW" xfId="630" xr:uid="{EEDC64D4-3B54-4E4B-AA5A-07797CE92308}"/>
    <cellStyle name="_Currency_FON_FRP_NPAT&amp;EPS" xfId="631" xr:uid="{7F1CE3B7-0424-4376-9675-30285B88180D}"/>
    <cellStyle name="_Currency_FON_NPAT&amp;EPS" xfId="632" xr:uid="{A4AC79F8-A7BE-4520-9F0C-752EF4AFA397}"/>
    <cellStyle name="_Currency_FRP" xfId="633" xr:uid="{4A7A61E6-0E8D-4D70-8106-A18E8D99FDCF}"/>
    <cellStyle name="_Currency_FRP_CASH FLOW" xfId="634" xr:uid="{10EAE597-CE9A-4E97-9031-22F421B38D60}"/>
    <cellStyle name="_Currency_FRP_NPAT&amp;EPS" xfId="635" xr:uid="{F808E778-A747-4EE0-8D70-2627D4F1C692}"/>
    <cellStyle name="_Currency_GNW" xfId="177" xr:uid="{18B817BB-7375-4614-9359-82AEAA7F7313}"/>
    <cellStyle name="_Currency_Insurance Brokerage CSC_1Q2002" xfId="178" xr:uid="{7A592183-F944-4C07-BA46-D2FB43BF409A}"/>
    <cellStyle name="_Currency_JP" xfId="179" xr:uid="{0BCB1E86-1234-46DC-B17E-1A7B75BB2B87}"/>
    <cellStyle name="_Currency_LNC" xfId="180" xr:uid="{E3E4E431-8C93-4077-9648-9B2BDA8F30F0}"/>
    <cellStyle name="_Currency_MCI" xfId="636" xr:uid="{486E3B1E-0804-4774-A7DB-459AC92EC7EE}"/>
    <cellStyle name="_Currency_MCI_AT" xfId="637" xr:uid="{52ED5FEC-8857-40DA-9339-E3E721EB611E}"/>
    <cellStyle name="_Currency_MCI_AT_CASH FLOW" xfId="638" xr:uid="{E9F7C462-0F88-4692-B868-E1250B6CB135}"/>
    <cellStyle name="_Currency_MCI_AT_NPAT&amp;EPS" xfId="639" xr:uid="{2E663827-C5DF-4DE8-BC9A-D189B93EE2FE}"/>
    <cellStyle name="_Currency_MET" xfId="181" xr:uid="{FCDF6A4B-F0D2-4833-914A-37E317F207B9}"/>
    <cellStyle name="_Currency_MET04" xfId="182" xr:uid="{C17D245A-7258-45B4-A5A8-1D3F465038D6}"/>
    <cellStyle name="_Currency_MET04 2" xfId="1325" xr:uid="{470D511B-34D0-4B74-AD0E-5B55139131B5}"/>
    <cellStyle name="_Currency_NFS" xfId="183" xr:uid="{6A0258CA-A259-40EC-84E3-68B23C481A05}"/>
    <cellStyle name="_Currency_NPAT&amp;EPS" xfId="640" xr:uid="{2D032E35-FDD3-440B-8A41-C0D4829A836F}"/>
    <cellStyle name="_Currency_NRG 2005.07.22" xfId="641" xr:uid="{F2CFA2E0-460A-46D2-B34B-3D09DD3AD527}"/>
    <cellStyle name="_Currency_NRG 2005.07.22_CASH FLOW" xfId="642" xr:uid="{1D7FC251-7F59-447C-8F56-E2471C161884}"/>
    <cellStyle name="_Currency_NRG 2005.07.22_NPAT&amp;EPS" xfId="643" xr:uid="{8AE6421A-5671-4A1D-B01A-C61FC7F0EEC7}"/>
    <cellStyle name="_Currency_NXTL" xfId="644" xr:uid="{E74170F7-E979-45EF-A1FE-15E17453072C}"/>
    <cellStyle name="_Currency_NXTL_CASH FLOW" xfId="645" xr:uid="{070F3C98-ED78-476B-8975-60C2E0CDD512}"/>
    <cellStyle name="_Currency_NXTL_FON" xfId="646" xr:uid="{27213B65-0535-41D4-B46F-37366D706146}"/>
    <cellStyle name="_Currency_NXTL_FRP" xfId="647" xr:uid="{C60F3306-B7A2-40FD-855F-2D4356EE489B}"/>
    <cellStyle name="_Currency_NXTL_FRP_CASH FLOW" xfId="648" xr:uid="{D98D71B3-FD12-4453-9830-169D89658C11}"/>
    <cellStyle name="_Currency_NXTL_FRP_NPAT&amp;EPS" xfId="649" xr:uid="{81DE6C58-9A5D-473C-96CE-38C392DF3276}"/>
    <cellStyle name="_Currency_NXTL_NPAT&amp;EPS" xfId="650" xr:uid="{0829A6FC-F70A-4D41-8528-10414743F26E}"/>
    <cellStyle name="_Currency_Overview3" xfId="184" xr:uid="{590BB29E-BDEB-4C4A-91AC-096BBC2362F4}"/>
    <cellStyle name="_Currency_PCS" xfId="651" xr:uid="{78F0F915-FB90-42D4-BC52-7FB22067A3DD}"/>
    <cellStyle name="_Currency_PCS_CASH FLOW" xfId="652" xr:uid="{217B698F-CC4F-4057-9591-BEE2CB8BDCA5}"/>
    <cellStyle name="_Currency_PCS_FON" xfId="653" xr:uid="{F0ACD34B-B5C4-4C77-88D3-E2E14EF92ACD}"/>
    <cellStyle name="_Currency_PCS_FRP" xfId="654" xr:uid="{9ECACB37-E01B-468A-9BA2-86C3F6042096}"/>
    <cellStyle name="_Currency_PCS_FRP_CASH FLOW" xfId="655" xr:uid="{DE3EBDE4-9186-4230-AD37-F9CAAA1E4854}"/>
    <cellStyle name="_Currency_PCS_FRP_NPAT&amp;EPS" xfId="656" xr:uid="{6FD9F8C6-6F5A-439A-A917-36AD135972BA}"/>
    <cellStyle name="_Currency_PCS_NPAT&amp;EPS" xfId="657" xr:uid="{8F1B219C-8C33-41F4-ACF0-B4DC7402300D}"/>
    <cellStyle name="_Currency_phil data" xfId="185" xr:uid="{3FCE4DF8-0CC9-4F28-A7B2-30380798580A}"/>
    <cellStyle name="_Currency_Price Performance Charts" xfId="186" xr:uid="{91F51320-F3E2-445E-ADA9-6E5B67941D93}"/>
    <cellStyle name="_Currency_Price Performance Charts 2" xfId="1326" xr:uid="{85FB2091-80D4-4C95-9688-336871DCB170}"/>
    <cellStyle name="_Currency_PRU" xfId="187" xr:uid="{197A74C0-D38D-4803-9CD1-7F72CE9C6348}"/>
    <cellStyle name="_Currency_PRU 2" xfId="1327" xr:uid="{02E962C3-082B-4153-A7E0-3868B70CFF9C}"/>
    <cellStyle name="_Currency_PRU04" xfId="188" xr:uid="{62C4439F-0639-46F8-9881-5BE308BD9F3B}"/>
    <cellStyle name="_Currency_PRU04 2" xfId="1328" xr:uid="{FC0D01A1-E2DA-442B-9CDC-7FAAAA3FA95F}"/>
    <cellStyle name="_Currency_RBOC historicals" xfId="658" xr:uid="{A1225092-6587-42AE-8FBC-972FB7E08772}"/>
    <cellStyle name="_Currency_RBOC historicals_CASH FLOW" xfId="659" xr:uid="{C60EF8D9-4CC7-4418-B067-1F9099EA6968}"/>
    <cellStyle name="_Currency_RBOC historicals_FON" xfId="660" xr:uid="{30FEDF17-24A6-4A1D-85CA-DCB794FAAA99}"/>
    <cellStyle name="_Currency_RBOC historicals_FRP" xfId="661" xr:uid="{C63807F1-CD0F-4BF6-AF67-E94DFFC6C56C}"/>
    <cellStyle name="_Currency_RBOC historicals_FRP_CASH FLOW" xfId="662" xr:uid="{72AF58A3-F03D-4B60-A261-6FA04BDC9E19}"/>
    <cellStyle name="_Currency_RBOC historicals_FRP_NPAT&amp;EPS" xfId="663" xr:uid="{9DA5E7B2-1E9D-4644-B8B2-691E100B9691}"/>
    <cellStyle name="_Currency_RBOC historicals_NPAT&amp;EPS" xfId="664" xr:uid="{C8AC8B53-1CF1-4F6A-A306-5633D316287B}"/>
    <cellStyle name="_Currency_RiskReward" xfId="189" xr:uid="{9EB41B3D-D969-42D9-BA56-AFE0B553162F}"/>
    <cellStyle name="_Currency_SFG" xfId="190" xr:uid="{3BB1D99C-E404-4F7A-827F-590FFD63A290}"/>
    <cellStyle name="_Currency_SFG 2" xfId="1329" xr:uid="{4B37B68F-8081-4D77-9E75-D7FC8E36D27C}"/>
    <cellStyle name="_Currency_Sheet1" xfId="191" xr:uid="{01FBAEB8-A12B-4849-92A6-CCF095D7981E}"/>
    <cellStyle name="_Currency_SRE" xfId="665" xr:uid="{0B253D46-3B77-4827-A2B3-8962369F3D6A}"/>
    <cellStyle name="_Currency_SRE Working" xfId="666" xr:uid="{AC4F53B9-9D20-404A-9B67-B368DBE72235}"/>
    <cellStyle name="_Currency_SRE Working_CASH FLOW" xfId="667" xr:uid="{4CBC741E-9BB1-4DFF-BF67-6B194519951F}"/>
    <cellStyle name="_Currency_SRE Working_NPAT&amp;EPS" xfId="668" xr:uid="{0AA44529-8549-4C0D-BB32-9376E804A27C}"/>
    <cellStyle name="_Currency_SRE_CASH FLOW" xfId="669" xr:uid="{DA570824-8988-4A5F-8D75-2976522212CF}"/>
    <cellStyle name="_Currency_SRE_NPAT&amp;EPS" xfId="670" xr:uid="{2F2AAE50-AF12-47D6-BF6E-29DC822E0E28}"/>
    <cellStyle name="_Currency_Stock-QTR1 FDS" xfId="192" xr:uid="{6514AB13-81FC-45CD-9972-8B56CE6E9240}"/>
    <cellStyle name="_Currency_Stock-QTR1 FDS 2" xfId="1330" xr:uid="{D24130CB-AAB7-4EEC-B4AF-0313495BA997}"/>
    <cellStyle name="_Currency_T" xfId="671" xr:uid="{5FA0D333-8D5A-40CD-8B79-FDB15BA1BC52}"/>
    <cellStyle name="_Currency_T - new" xfId="672" xr:uid="{BDAF7200-E20B-4EE5-BE39-F9A21B93A961}"/>
    <cellStyle name="_Currency_T - new_CASH FLOW" xfId="673" xr:uid="{D65B4D3D-F6B2-4B6A-8922-7CAA77D42DC3}"/>
    <cellStyle name="_Currency_T - new_FON" xfId="674" xr:uid="{2492F7EE-CD19-4D96-BA06-25DF3B5726D7}"/>
    <cellStyle name="_Currency_T - new_FRP" xfId="675" xr:uid="{784D724C-5EC0-429F-AE68-242ACDCCE982}"/>
    <cellStyle name="_Currency_T - new_FRP_CASH FLOW" xfId="676" xr:uid="{92B29D24-6B7A-4815-986E-8D73435E713D}"/>
    <cellStyle name="_Currency_T - new_FRP_NPAT&amp;EPS" xfId="677" xr:uid="{AF2F793D-0E73-4350-85FA-D651B42D9664}"/>
    <cellStyle name="_Currency_T - new_NPAT&amp;EPS" xfId="678" xr:uid="{A606368A-1AB9-401C-AAFF-D875996E16BB}"/>
    <cellStyle name="_Currency_T_AT" xfId="679" xr:uid="{A7AEC32E-0FDD-4CC2-B922-72FB5587A0A4}"/>
    <cellStyle name="_Currency_T_AT_CASH FLOW" xfId="680" xr:uid="{C7DA7CF3-8A3E-4217-8343-F140C862EA2E}"/>
    <cellStyle name="_Currency_T_AT_NPAT&amp;EPS" xfId="681" xr:uid="{980E6769-BC0F-4FC4-A7DC-9354834C1970}"/>
    <cellStyle name="_Currency_Telco Scenario analysis1" xfId="682" xr:uid="{4F1BC98E-DE71-4BAB-BB30-1AA2CC316326}"/>
    <cellStyle name="_Currency_Telco Scenario analysis1_AT" xfId="683" xr:uid="{361EA75A-858E-4F23-977C-607D59737D21}"/>
    <cellStyle name="_Currency_Telco Scenario analysis1_AT_CASH FLOW" xfId="684" xr:uid="{82E516F7-C2FE-4A45-8CEC-0D32C5E66F81}"/>
    <cellStyle name="_Currency_Telco Scenario analysis1_AT_NPAT&amp;EPS" xfId="685" xr:uid="{C5DDDAA3-8F66-46DA-A24F-A4B3B7E6A384}"/>
    <cellStyle name="_Currency_TMK" xfId="193" xr:uid="{5D12D783-1185-48A1-90D1-39D345C42648}"/>
    <cellStyle name="_Currency_Updated CSC Template" xfId="10" xr:uid="{E8AE93EC-A10D-4899-9B52-706AA7E21772}"/>
    <cellStyle name="_Currency_Updated Valuation Changes" xfId="194" xr:uid="{38740C67-E95E-4F13-BC8E-8F155B373B07}"/>
    <cellStyle name="_Currency_Valuation Graphs" xfId="195" xr:uid="{4FD95513-2181-4C3E-961C-05BC208D4571}"/>
    <cellStyle name="_Currency_VZ" xfId="686" xr:uid="{9F876DD5-D7FD-4A9F-929B-EBBC6B32C63A}"/>
    <cellStyle name="_Currency_VZ_CASH FLOW" xfId="687" xr:uid="{DC2EA61E-A00E-41FA-ACE5-FE8D8A9CCFD0}"/>
    <cellStyle name="_Currency_VZ_FON" xfId="688" xr:uid="{EE3E5CD2-744C-4779-BF60-2F2A707AF40F}"/>
    <cellStyle name="_Currency_VZ_FRP" xfId="689" xr:uid="{90306763-D3D9-4B12-B329-B3ECA8695A09}"/>
    <cellStyle name="_Currency_VZ_FRP_CASH FLOW" xfId="690" xr:uid="{746AE127-9BA2-452B-A728-506093C106AE}"/>
    <cellStyle name="_Currency_VZ_FRP_NPAT&amp;EPS" xfId="691" xr:uid="{CB94AB3F-F7D5-497A-B1A6-774B708C7124}"/>
    <cellStyle name="_Currency_VZ_NPAT&amp;EPS" xfId="692" xr:uid="{14187F28-C438-4D92-9B7E-040D2F01724C}"/>
    <cellStyle name="_Currency_VZW" xfId="693" xr:uid="{F03F651B-B563-4BD9-9A81-F76630188B5D}"/>
    <cellStyle name="_Currency_VZW_CASH FLOW" xfId="694" xr:uid="{3F529FBF-76AE-4879-AD45-3DD15DF0E544}"/>
    <cellStyle name="_Currency_VZW_FON" xfId="695" xr:uid="{0FFF49AB-BFE6-499C-A332-02CD47A4EE1F}"/>
    <cellStyle name="_Currency_VZW_FRP" xfId="696" xr:uid="{BFDBB760-A572-4907-AE5C-3F2646A9E5F4}"/>
    <cellStyle name="_Currency_VZW_FRP_CASH FLOW" xfId="697" xr:uid="{5CF2A2FD-3CC3-4BA7-9B93-ACA7F18676C1}"/>
    <cellStyle name="_Currency_VZW_FRP_NPAT&amp;EPS" xfId="698" xr:uid="{1E560AB8-F803-49E9-8537-367F19E19B20}"/>
    <cellStyle name="_Currency_VZW_NPAT&amp;EPS" xfId="699" xr:uid="{BFF3C912-062B-4918-9549-0A7DFAED3446}"/>
    <cellStyle name="_Currency_WWCA" xfId="700" xr:uid="{6F2CDFD0-41B4-4471-9F32-FC88682174B8}"/>
    <cellStyle name="_Currency_WWCA_CASH FLOW" xfId="701" xr:uid="{FB2DC770-A6BF-4DA8-9C34-4D3ACD55ECA2}"/>
    <cellStyle name="_Currency_WWCA_NPAT&amp;EPS" xfId="702" xr:uid="{43206649-E5FC-4279-8F88-37E5DEB65636}"/>
    <cellStyle name="_Currency_xratio - historical mkt val" xfId="196" xr:uid="{0B852629-5ED5-4361-AE4A-687FCE257838}"/>
    <cellStyle name="_CurrencySpace" xfId="11" xr:uid="{8C0B7253-776D-4852-BF82-810ADE47991A}"/>
    <cellStyle name="_CurrencySpace_01 adj for merger plan" xfId="197" xr:uid="{6BA9CAC7-ACAD-45E5-8DE4-7B4BD288A6EB}"/>
    <cellStyle name="_CurrencySpace_09-08-04 Comp Sheet" xfId="703" xr:uid="{1B140F7E-0432-4962-A777-988537711F2C}"/>
    <cellStyle name="_CurrencySpace_09-08-04 Comp Sheet_AT" xfId="704" xr:uid="{EA30DA49-A2A5-4298-B120-6944F202911C}"/>
    <cellStyle name="_CurrencySpace_09-08-04 Comp Sheet_AT_CASH FLOW" xfId="705" xr:uid="{D4691BEE-A542-461D-8ABB-C536ADA06590}"/>
    <cellStyle name="_CurrencySpace_09-08-04 Comp Sheet_AT_NPAT&amp;EPS" xfId="706" xr:uid="{43AAED79-0935-4296-B215-1EC57CF40639}"/>
    <cellStyle name="_CurrencySpace_12-30-05 Telecom Serv Comp Sheet" xfId="707" xr:uid="{F049D14F-4E29-4CCA-A4E2-C3636A81CCE6}"/>
    <cellStyle name="_CurrencySpace_12-30-05 Telecom Serv Comp Sheet_CASH FLOW" xfId="708" xr:uid="{1D88AD97-8598-403C-B400-4AA275E1BF93}"/>
    <cellStyle name="_CurrencySpace_12-30-05 Telecom Serv Comp Sheet_NPAT&amp;EPS" xfId="709" xr:uid="{0B65FABC-8788-4C89-A7BE-0FD1B24F82A5}"/>
    <cellStyle name="_CurrencySpace_Ability to Pay Analysis" xfId="198" xr:uid="{C3F00991-28AC-4C9A-A7A0-53CA60172603}"/>
    <cellStyle name="_CurrencySpace_AFL" xfId="199" xr:uid="{DDC2BFEC-4E6A-41F5-A714-018B2325A7BD}"/>
    <cellStyle name="_CurrencySpace_Airports Dealcomp" xfId="12" xr:uid="{730121E3-E5F8-4E8F-8AE5-0491AF48561A}"/>
    <cellStyle name="_CurrencySpace_AIZ" xfId="200" xr:uid="{E9ABBEF7-A67D-4583-9076-995FC798C888}"/>
    <cellStyle name="_CurrencySpace_AMP" xfId="201" xr:uid="{A27987C9-F984-4C41-8E64-0846B00E82C2}"/>
    <cellStyle name="_CurrencySpace_Balance Sheet" xfId="202" xr:uid="{15C1209B-49FC-4001-81E7-9ED9FF6B3288}"/>
    <cellStyle name="_CurrencySpace_bls roic" xfId="710" xr:uid="{5B902CF7-B679-4550-8DD4-316EE29FA80C}"/>
    <cellStyle name="_CurrencySpace_bls roic_CASH FLOW" xfId="711" xr:uid="{936D9CEB-60C1-4A6E-B74F-40C1758F1F07}"/>
    <cellStyle name="_CurrencySpace_bls roic_FON" xfId="712" xr:uid="{CF34D7B4-3D24-4763-AF66-5BA63668B2D0}"/>
    <cellStyle name="_CurrencySpace_bls roic_FRP" xfId="713" xr:uid="{42F009A8-4C30-4BCB-87F4-4F1420A504E0}"/>
    <cellStyle name="_CurrencySpace_bls roic_FRP_CASH FLOW" xfId="714" xr:uid="{4E811CEE-B236-4D82-A5DE-C39C2BC21AA2}"/>
    <cellStyle name="_CurrencySpace_bls roic_FRP_NPAT&amp;EPS" xfId="715" xr:uid="{EDE59F5C-D823-4E5F-8102-6B30D5C9E809}"/>
    <cellStyle name="_CurrencySpace_bls roic_NPAT&amp;EPS" xfId="716" xr:uid="{0E9D5CD7-3A1D-40A4-8C34-0A706794AD88}"/>
    <cellStyle name="_CurrencySpace_Book1" xfId="203" xr:uid="{1D47C4F5-95CF-4FCE-9DB2-5B68C9133A11}"/>
    <cellStyle name="_CurrencySpace_Book29" xfId="204" xr:uid="{45ECF7F4-8519-4AA8-B5F4-B65523215B6D}"/>
    <cellStyle name="_CurrencySpace_Book3" xfId="205" xr:uid="{2D55DE56-7FCA-498C-BF8B-8BD20F04A1E8}"/>
    <cellStyle name="_CurrencySpace_Book3_1" xfId="206" xr:uid="{7F80D307-4B29-496E-BB04-11355661884B}"/>
    <cellStyle name="_CurrencySpace_capital expenditures 6-18-02" xfId="717" xr:uid="{1816100F-12B4-46CA-AA02-60D93BEEECE7}"/>
    <cellStyle name="_CurrencySpace_capital expenditures 6-18-02_CASH FLOW" xfId="718" xr:uid="{E146C6CE-8773-45FE-AECF-F11E7F19E317}"/>
    <cellStyle name="_CurrencySpace_capital expenditures 6-18-02_FON" xfId="719" xr:uid="{5812B351-0D23-4DAA-B476-EB8B4E1DF444}"/>
    <cellStyle name="_CurrencySpace_capital expenditures 6-18-02_FRP" xfId="720" xr:uid="{8FA797E5-B192-48E8-AA0B-65EC7DE545AB}"/>
    <cellStyle name="_CurrencySpace_capital expenditures 6-18-02_FRP_CASH FLOW" xfId="721" xr:uid="{A6CF4B97-8A27-4818-A1B5-9DBA03A41585}"/>
    <cellStyle name="_CurrencySpace_capital expenditures 6-18-02_FRP_NPAT&amp;EPS" xfId="722" xr:uid="{A5F70B3C-95B6-41F6-A29F-FC979893C9B9}"/>
    <cellStyle name="_CurrencySpace_capital expenditures 6-18-02_NPAT&amp;EPS" xfId="723" xr:uid="{D61CBDB9-FA0A-4A85-BCDE-8F26F92CCA0A}"/>
    <cellStyle name="_CurrencySpace_CNO" xfId="207" xr:uid="{760BD539-204E-4F53-982F-4810B09BA09F}"/>
    <cellStyle name="_CurrencySpace_DCF Alexander Forbes" xfId="208" xr:uid="{3B06DCF4-6272-4D4A-B0F0-6C47CCD05041}"/>
    <cellStyle name="_CurrencySpace_dcf_1" xfId="724" xr:uid="{F8589325-FAD8-4EC2-A9C6-C92C7F16A970}"/>
    <cellStyle name="_CurrencySpace_DUK" xfId="725" xr:uid="{C91E92BB-BF3C-4F39-A471-21FBE9B6EDF0}"/>
    <cellStyle name="_CurrencySpace_ED 2005.08.01" xfId="726" xr:uid="{1F315541-0B8A-4154-80D1-D41AF211705C}"/>
    <cellStyle name="_CurrencySpace_ED 2005.08.01_CASH FLOW" xfId="727" xr:uid="{8B9B03EC-7FBF-4B03-98F1-87119F1864CC}"/>
    <cellStyle name="_CurrencySpace_ED 2005.08.01_NPAT&amp;EPS" xfId="728" xr:uid="{E7156008-C83D-4CD3-820E-250E4D7404DF}"/>
    <cellStyle name="_CurrencySpace_FCF yield comparison_1.3.06" xfId="729" xr:uid="{BDE31A14-F6B9-439A-BD5B-7522A0BCFC4E}"/>
    <cellStyle name="_CurrencySpace_FCF yield comparison_1.3.06_CASH FLOW" xfId="730" xr:uid="{1D8312B8-992E-4E9F-8869-AC6D114C9E57}"/>
    <cellStyle name="_CurrencySpace_FCF yield comparison_1.3.06_NPAT&amp;EPS" xfId="731" xr:uid="{26FF734F-0255-408D-8DFD-B43FD76CF0B9}"/>
    <cellStyle name="_CurrencySpace_fmbi counties" xfId="209" xr:uid="{6CC5267F-CEDE-4675-AD0B-8808D343B6F9}"/>
    <cellStyle name="_CurrencySpace_FMBI MBHI Graphs" xfId="210" xr:uid="{05569DCA-E150-4625-B000-DA8BC72FBD30}"/>
    <cellStyle name="_CurrencySpace_FMBI MBHI Graphs 07102001" xfId="211" xr:uid="{5110A328-C802-4E77-8FC5-03AF9903C38F}"/>
    <cellStyle name="_CurrencySpace_FMBI MBHI Graphs_7601" xfId="212" xr:uid="{B682F9BA-684F-479D-883B-D77565714A30}"/>
    <cellStyle name="_CurrencySpace_FON" xfId="732" xr:uid="{A72CEAB8-181F-4860-BCF5-4A4B0EE17245}"/>
    <cellStyle name="_CurrencySpace_FRP" xfId="733" xr:uid="{EC6F31B6-231A-42EE-8A7D-F135E3F33A60}"/>
    <cellStyle name="_CurrencySpace_FRP_CASH FLOW" xfId="734" xr:uid="{C147CCCD-0257-4C61-A0F2-7DFA766341D3}"/>
    <cellStyle name="_CurrencySpace_FRP_NPAT&amp;EPS" xfId="735" xr:uid="{83199D8A-0A82-4669-9D5F-DCD1EC8E00ED}"/>
    <cellStyle name="_CurrencySpace_GNW" xfId="213" xr:uid="{03F640F7-BBFA-4433-8F2C-10C0BA318E6F}"/>
    <cellStyle name="_CurrencySpace_Insurance Brokerage CSC_1Q2002" xfId="214" xr:uid="{0410F649-8233-48BB-ADFC-C4D1B183854E}"/>
    <cellStyle name="_CurrencySpace_JP" xfId="215" xr:uid="{E6D6626F-695E-4D13-AA6B-D23F74FFC2E9}"/>
    <cellStyle name="_CurrencySpace_LNC" xfId="216" xr:uid="{72CEE291-09D4-4BC3-82BF-17A74BB2A4B8}"/>
    <cellStyle name="_CurrencySpace_MCI" xfId="736" xr:uid="{FE25F987-FAAD-4A32-A65B-02C4828572E2}"/>
    <cellStyle name="_CurrencySpace_MCI_AT" xfId="737" xr:uid="{38EB7601-E844-4727-A513-10C82B0B75B0}"/>
    <cellStyle name="_CurrencySpace_MCI_AT_CASH FLOW" xfId="738" xr:uid="{AFD29D09-28D9-4A8C-8267-198AF2901989}"/>
    <cellStyle name="_CurrencySpace_MCI_AT_NPAT&amp;EPS" xfId="739" xr:uid="{FBA2EB41-CA61-425F-8AA9-69E46D180CF1}"/>
    <cellStyle name="_CurrencySpace_MET" xfId="217" xr:uid="{507C8770-FC3C-4351-ACE3-08FAA861B8DB}"/>
    <cellStyle name="_CurrencySpace_MET04" xfId="218" xr:uid="{8BC999FB-3625-4FFE-970E-53B81E5E2A16}"/>
    <cellStyle name="_CurrencySpace_MET04 2" xfId="1331" xr:uid="{FFA9BE86-09B0-41E1-856F-2E2C5DB8C81E}"/>
    <cellStyle name="_CurrencySpace_NFS" xfId="219" xr:uid="{DA17958A-2161-46C4-953C-EBB09C3B556A}"/>
    <cellStyle name="_CurrencySpace_NRG 2005.07.22" xfId="740" xr:uid="{99E05D96-3D7F-41C3-804D-D585524B37A6}"/>
    <cellStyle name="_CurrencySpace_NRG 2005.07.22_CASH FLOW" xfId="741" xr:uid="{B3F0160A-28FD-4055-9133-0D74D1304658}"/>
    <cellStyle name="_CurrencySpace_NRG 2005.07.22_NPAT&amp;EPS" xfId="742" xr:uid="{46B68ECD-4585-4F4C-9BDE-9F2D440C13BB}"/>
    <cellStyle name="_CurrencySpace_Overview3" xfId="220" xr:uid="{B41EF029-51F8-4304-9B86-4C6F38DA44C5}"/>
    <cellStyle name="_CurrencySpace_phil data" xfId="221" xr:uid="{42C4E571-AB0D-4BC0-8B2D-FF94878FDE4B}"/>
    <cellStyle name="_CurrencySpace_Price Performance Charts" xfId="222" xr:uid="{C11DC826-20EE-4B1D-921E-AC31AB9D20DC}"/>
    <cellStyle name="_CurrencySpace_Price Performance Charts 2" xfId="1332" xr:uid="{FCCD7CBC-46D1-4EDA-B5B3-9C80649E255D}"/>
    <cellStyle name="_CurrencySpace_PRU" xfId="223" xr:uid="{D233CAB4-24D2-4A58-BD2E-EEA466D55DE9}"/>
    <cellStyle name="_CurrencySpace_PRU 2" xfId="1333" xr:uid="{FCF337E1-1BFE-4641-A07A-38E7686FAEEE}"/>
    <cellStyle name="_CurrencySpace_PRU04" xfId="224" xr:uid="{5FF248F6-4769-4E67-9993-72D1256FDFDC}"/>
    <cellStyle name="_CurrencySpace_PRU04 2" xfId="1334" xr:uid="{26A598C4-2BB4-4CDF-9AF3-7B1362C7A35E}"/>
    <cellStyle name="_CurrencySpace_RBOC historicals" xfId="743" xr:uid="{9E6E287F-5AB7-4A4F-A4B6-D98AD712D558}"/>
    <cellStyle name="_CurrencySpace_RBOC historicals_CASH FLOW" xfId="744" xr:uid="{A523A0EC-F6F0-4CD4-A40E-110A1EA2F088}"/>
    <cellStyle name="_CurrencySpace_RBOC historicals_FON" xfId="745" xr:uid="{B9639C62-8D4F-45FB-ACB9-FE8C15B58BBC}"/>
    <cellStyle name="_CurrencySpace_RBOC historicals_FRP" xfId="746" xr:uid="{552CC869-4755-4B77-AABF-37291F96E1B4}"/>
    <cellStyle name="_CurrencySpace_RBOC historicals_FRP_CASH FLOW" xfId="747" xr:uid="{A9E805B2-9D06-4E86-9BBE-8CA3A9081853}"/>
    <cellStyle name="_CurrencySpace_RBOC historicals_FRP_NPAT&amp;EPS" xfId="748" xr:uid="{071529DA-BED8-455F-B8A7-5A4C1BB88F66}"/>
    <cellStyle name="_CurrencySpace_RBOC historicals_NPAT&amp;EPS" xfId="749" xr:uid="{E4741229-A7D2-4229-96CA-31963C2C2C91}"/>
    <cellStyle name="_CurrencySpace_RiskReward" xfId="225" xr:uid="{4DAE27FC-22B7-4E59-9E29-E3EBB1D63977}"/>
    <cellStyle name="_CurrencySpace_SFG" xfId="226" xr:uid="{DDE4AE66-475F-47E7-8C5D-A751E1FD114C}"/>
    <cellStyle name="_CurrencySpace_SFG 2" xfId="1335" xr:uid="{07FDAA6D-6967-42AF-AE46-F4731E0D23D3}"/>
    <cellStyle name="_CurrencySpace_Sheet1" xfId="227" xr:uid="{230413CD-7F9F-4E89-A24C-F9441D715960}"/>
    <cellStyle name="_CurrencySpace_SRE" xfId="750" xr:uid="{E5393CD0-EEC1-4E6F-8885-DA2EF6A60D12}"/>
    <cellStyle name="_CurrencySpace_SRE Working" xfId="751" xr:uid="{3698A18A-AA1B-42CA-8CC6-6CAA1876A855}"/>
    <cellStyle name="_CurrencySpace_Stock-QTR1 FDS" xfId="228" xr:uid="{D9B9AC4B-D886-4A12-8C74-6327D9953352}"/>
    <cellStyle name="_CurrencySpace_Stock-QTR1 FDS 2" xfId="1336" xr:uid="{63843270-2146-4D55-AC13-CA01CFB9B4B8}"/>
    <cellStyle name="_CurrencySpace_T" xfId="752" xr:uid="{619CA32B-A20B-469B-8B18-C3C8894782AA}"/>
    <cellStyle name="_CurrencySpace_T - new" xfId="753" xr:uid="{76C62EF0-5BCB-4B9A-997B-F2DAC7D0617A}"/>
    <cellStyle name="_CurrencySpace_T - new_CASH FLOW" xfId="754" xr:uid="{0BFF5BD0-B4ED-4E5E-A8B3-907CF93D2B7B}"/>
    <cellStyle name="_CurrencySpace_T - new_FON" xfId="755" xr:uid="{41B7C61A-4D56-4204-AB99-227A1743F769}"/>
    <cellStyle name="_CurrencySpace_T - new_FRP" xfId="756" xr:uid="{04E78B54-A976-49A2-9F5F-3A7DA8A4CBBC}"/>
    <cellStyle name="_CurrencySpace_T - new_FRP_CASH FLOW" xfId="757" xr:uid="{7B58F8A7-1D8C-4ED1-A70A-FD4FE39B0621}"/>
    <cellStyle name="_CurrencySpace_T - new_FRP_NPAT&amp;EPS" xfId="758" xr:uid="{F0F116BB-7288-40E8-8933-AE0EF34A7343}"/>
    <cellStyle name="_CurrencySpace_T - new_NPAT&amp;EPS" xfId="759" xr:uid="{D92F8834-227F-4C79-AD92-8706CCFF6FB8}"/>
    <cellStyle name="_CurrencySpace_T_AT" xfId="760" xr:uid="{591AAB97-EC0A-4119-A743-2EA6CD30E0E2}"/>
    <cellStyle name="_CurrencySpace_T_AT_CASH FLOW" xfId="761" xr:uid="{CF795439-A96E-45F3-AEF2-8D84FFA61A55}"/>
    <cellStyle name="_CurrencySpace_T_AT_NPAT&amp;EPS" xfId="762" xr:uid="{D8DCBBB2-E83F-4886-981B-66031C97544C}"/>
    <cellStyle name="_CurrencySpace_Telco Scenario analysis1" xfId="763" xr:uid="{4AB9FE03-7783-48DC-9946-DFB41F9B6F43}"/>
    <cellStyle name="_CurrencySpace_Telco Scenario analysis1_AT" xfId="764" xr:uid="{CED09E80-2084-460F-87C9-EFA60E79427F}"/>
    <cellStyle name="_CurrencySpace_Telco Scenario analysis1_AT_CASH FLOW" xfId="765" xr:uid="{49AAB4D8-B892-40C3-9184-AEF6362B0863}"/>
    <cellStyle name="_CurrencySpace_Telco Scenario analysis1_AT_NPAT&amp;EPS" xfId="766" xr:uid="{443B677D-A626-40D2-A2C6-E5279D1B30F6}"/>
    <cellStyle name="_CurrencySpace_TMK" xfId="229" xr:uid="{E070CCA3-5B59-4E01-B168-7F9A1CEAE047}"/>
    <cellStyle name="_CurrencySpace_Updated Valuation Changes" xfId="230" xr:uid="{C254CE24-F80B-46DA-8457-4C6ADC99B0B2}"/>
    <cellStyle name="_CurrencySpace_Valuation Graphs" xfId="231" xr:uid="{38CEBF0F-C0FC-47DB-8645-DAF5817F9B16}"/>
    <cellStyle name="_CurrencySpace_xratio - historical mkt val" xfId="232" xr:uid="{55ED8535-9D28-4F9E-A966-755F8E309692}"/>
    <cellStyle name="_DCF" xfId="767" xr:uid="{393E078C-5D40-4573-B68B-BC89420CCEEB}"/>
    <cellStyle name="_Dollar" xfId="233" xr:uid="{F43C3943-3A05-44EF-83DD-2E5B69EBD258}"/>
    <cellStyle name="—_EM-HTI" xfId="768" xr:uid="{229CBC9C-AA26-45FF-B53D-60FB1DA30817}"/>
    <cellStyle name="—_EM-HTI_AIS_EROCE" xfId="769" xr:uid="{D34990D9-A9D0-472B-9506-33183B140A76}"/>
    <cellStyle name="—_EM-HTI_CASH FLOW" xfId="770" xr:uid="{4FDB98F3-C180-4F93-8FEB-9DADC5DD2EEF}"/>
    <cellStyle name="—_EM-HTI_Copy of D_Valuation Tables" xfId="771" xr:uid="{AB35DD83-9152-4B34-860A-439606B97477}"/>
    <cellStyle name="—_EM-HTI_D_Valuation Tables" xfId="772" xr:uid="{8535427E-B679-47E6-BC36-AE724F5D380C}"/>
    <cellStyle name="—_EM-HTI_D_Valuation Tables copy" xfId="773" xr:uid="{E068129B-BF35-437B-A17C-7644755D24A3}"/>
    <cellStyle name="—_EM-HTI_NPAT&amp;EPS" xfId="774" xr:uid="{0A690D8A-CDA4-46DB-BF02-903138BA44A7}"/>
    <cellStyle name="—_EM-HTI_PCCW_EROCE" xfId="775" xr:uid="{C3CF3B2E-8B9C-495F-B2DA-8989258A0204}"/>
    <cellStyle name="—_EM-KT" xfId="776" xr:uid="{B046C168-68AD-4B50-81E5-489B3B834C4B}"/>
    <cellStyle name="—_EM-SKTelecom_old" xfId="777" xr:uid="{6B642A54-D174-4C3E-99B1-E2A6814A8B45}"/>
    <cellStyle name="—_EM-SKTelecom_old_EM-HTI" xfId="778" xr:uid="{9A0212BB-9F04-49C0-B79D-87377B53BD00}"/>
    <cellStyle name="—_EM-SKTelecom_old_EM-HTI_AIS_EROCE" xfId="779" xr:uid="{3FE51715-FC5E-48F9-B5F7-190337D5BE9C}"/>
    <cellStyle name="—_EM-SKTelecom_old_EM-HTI_CASH FLOW" xfId="780" xr:uid="{7E429997-F850-4B38-BEA2-A0A8E1DC319A}"/>
    <cellStyle name="—_EM-SKTelecom_old_EM-HTI_Copy of D_Valuation Tables" xfId="781" xr:uid="{EEF221A8-A20F-4F71-BCFD-D1E9410E30AF}"/>
    <cellStyle name="—_EM-SKTelecom_old_EM-HTI_D_Valuation Tables" xfId="782" xr:uid="{BFCF0EDF-9F0A-48D8-823A-7A6CFFDF7900}"/>
    <cellStyle name="—_EM-SKTelecom_old_EM-HTI_D_Valuation Tables copy" xfId="783" xr:uid="{D459D88E-5C0E-4FFC-BCC2-C6EB0FDDFDDE}"/>
    <cellStyle name="—_EM-SKTelecom_old_EM-HTI_NPAT&amp;EPS" xfId="784" xr:uid="{0004C0C2-C14A-49C3-969D-25DB11760492}"/>
    <cellStyle name="—_EM-SKTelecom_old_EM-HTI_PCCW_EROCE" xfId="785" xr:uid="{D7118204-11A4-4800-8C83-BAF88B5EBD31}"/>
    <cellStyle name="_Euro" xfId="13" xr:uid="{1CAAC9D4-49C3-4ED3-BC9E-4F8208325916}"/>
    <cellStyle name="_Euro_09-08-04 Comp Sheet" xfId="786" xr:uid="{910EAB1E-475C-4843-BFCE-ABE6B857FE8E}"/>
    <cellStyle name="_Euro_12-30-05 Telecom Serv Comp Sheet" xfId="787" xr:uid="{6048510D-63CE-422E-B5BD-FF64F05C7A00}"/>
    <cellStyle name="_Euro_AT" xfId="788" xr:uid="{F6A99C71-7A00-4C28-89E9-BADCBDB15A72}"/>
    <cellStyle name="_Euro_AT - 3Q04 actuals v estimates - links" xfId="789" xr:uid="{1249B264-63B7-4498-8F18-188C0CE90F9C}"/>
    <cellStyle name="_Euro_CASH FLOW" xfId="790" xr:uid="{CFAA7B57-B231-4482-B51A-6C01E65CFE20}"/>
    <cellStyle name="_Euro_CBB pre3Q05" xfId="791" xr:uid="{9CD3A3CA-48AC-4F0E-BA8C-A2A925842D33}"/>
    <cellStyle name="_Euro_CBB pre3Q05_CASH FLOW" xfId="792" xr:uid="{BD9072F9-3E00-4FFF-92A1-C380D16C6D1E}"/>
    <cellStyle name="_Euro_CBB pre3Q05_NPAT&amp;EPS" xfId="793" xr:uid="{6C184506-1CAA-4052-BD03-2D39F4032160}"/>
    <cellStyle name="_Euro_Copy of D_Valuation Tables" xfId="794" xr:uid="{209D58BA-5ADF-4679-BC91-9C7D66587118}"/>
    <cellStyle name="_Euro_D_Valuation Tables" xfId="795" xr:uid="{2103902A-376F-45D9-8793-99B8CCC7B04E}"/>
    <cellStyle name="_Euro_FON" xfId="796" xr:uid="{2BAC39FE-899A-45E2-9A07-C94F1AA8BA91}"/>
    <cellStyle name="_Euro_FON - NXTL - NXTP merger analysis May 2005" xfId="797" xr:uid="{E156E262-3FCE-4D84-A2B8-CDBD013DA8D3}"/>
    <cellStyle name="_Euro_FRP" xfId="798" xr:uid="{F52DB428-46D4-4FE3-AE8B-AF7A59BEE630}"/>
    <cellStyle name="_Euro_FRP_D_Valuation Tables" xfId="799" xr:uid="{E58ABC30-9DFA-40F7-927A-383408446B7F}"/>
    <cellStyle name="_Euro_NPAT&amp;EPS" xfId="800" xr:uid="{0AA99A10-1B59-415D-9D55-E5B9201C8FFE}"/>
    <cellStyle name="_Euro_Request Template" xfId="801" xr:uid="{F8EA1106-E782-4970-8347-A671F26FF57D}"/>
    <cellStyle name="_Euro_Telecom Valuation Tables - 5-24-04" xfId="802" xr:uid="{5D3634C6-BBA5-4255-8748-2267AF0CAF6E}"/>
    <cellStyle name="_Euro_TU - 1Q04 actuals vs. estimates_LINKS" xfId="803" xr:uid="{F9665E6E-537C-4987-AA6F-367F1B607321}"/>
    <cellStyle name="_Euro_US Wireless Comp Sheet" xfId="804" xr:uid="{B70F23BF-123E-47C3-A121-0FB87A7F8CC8}"/>
    <cellStyle name="_Euro_US Wireless Comp Sheet_AT" xfId="805" xr:uid="{71B8248D-ABE4-4FA5-8952-D213DB951D5E}"/>
    <cellStyle name="_Euro_US Wireless Comp Sheet_CASH FLOW" xfId="806" xr:uid="{D49EC2F1-F121-475F-9C2F-59590435AC7B}"/>
    <cellStyle name="_Euro_US Wireless Comp Sheet_Copy of D_Valuation Tables" xfId="807" xr:uid="{A9D8862E-C31F-4773-B5E2-B77D5E8EF301}"/>
    <cellStyle name="_Euro_US Wireless Comp Sheet_D_Valuation Tables" xfId="808" xr:uid="{AA4C99A7-E30A-47CF-9809-096DFAED89C1}"/>
    <cellStyle name="_Euro_US Wireless Comp Sheet_D_Valuation Tables copy" xfId="809" xr:uid="{CF26CC14-2E12-4981-BCD2-1E5A28E957E3}"/>
    <cellStyle name="_Euro_US Wireless Comp Sheet_NPAT&amp;EPS" xfId="810" xr:uid="{BC407784-F12B-425E-AA95-12418866C511}"/>
    <cellStyle name="_Financials1" xfId="811" xr:uid="{496B2392-8E10-465C-9DF5-C85E67CDAE6A}"/>
    <cellStyle name="_FNC - Model" xfId="812" xr:uid="{45AD4614-2FF7-4199-806E-F0FF57EF54CD}"/>
    <cellStyle name="—_GS Assumptions-F" xfId="813" xr:uid="{25F08D28-3303-4783-9997-4B8F1C0BE2DC}"/>
    <cellStyle name="—_GS_Balance" xfId="814" xr:uid="{0D0535EE-34B4-4DE9-8512-D04BBE7E85A7}"/>
    <cellStyle name="—_GS_Cash " xfId="815" xr:uid="{ECEF1676-D1BA-4A79-B113-AA12B391E238}"/>
    <cellStyle name="—_GS_Cash  (2)" xfId="816" xr:uid="{0FC40E9D-690A-447C-9898-893A02ED45F1}"/>
    <cellStyle name="—_GS_DCF" xfId="817" xr:uid="{80D53C77-3898-4DC7-9CCC-7B627C25D277}"/>
    <cellStyle name="—_GS_PNL" xfId="818" xr:uid="{71D72911-E51F-4C7D-936D-2847F184B45A}"/>
    <cellStyle name="_Heading" xfId="14" xr:uid="{EA6FE886-A210-45E2-BBFF-AD97E7D38BB6}"/>
    <cellStyle name="_Heading_09-08-04 Comp Sheet" xfId="819" xr:uid="{8DE7F92A-D57C-4A49-B956-8B6B236773D4}"/>
    <cellStyle name="_Heading_12 Food Deal Comp" xfId="15" xr:uid="{31BE5409-C0D8-4C88-82E4-743C0E07CFCD}"/>
    <cellStyle name="_Heading_12 Food Deal Comp 2" xfId="1337" xr:uid="{C147B998-A916-4F32-95F6-01F0F14A5A15}"/>
    <cellStyle name="_Heading_12-30-05 Telecom Serv Comp Sheet" xfId="820" xr:uid="{84D36C7E-2070-43B6-8FD2-46A60447077E}"/>
    <cellStyle name="_Heading_15 Furniture CSC (06-Dec-2005)" xfId="16" xr:uid="{B781016E-823E-48A3-BC7A-1B83B9F6F4EC}"/>
    <cellStyle name="_Heading_15 Furniture CSC (06-Dec-2005) 2" xfId="1338" xr:uid="{D7E018C0-668B-4F8A-8562-08CB81FF09B9}"/>
    <cellStyle name="_Heading_Airports Dealcomp" xfId="17" xr:uid="{B0A98CC6-5B88-4B72-AA32-68F344E3EE19}"/>
    <cellStyle name="_Heading_Airports Dealcomp 2" xfId="1339" xr:uid="{22D3AF68-CE6F-4046-8854-446CB8F1523C}"/>
    <cellStyle name="_Heading_BLS" xfId="821" xr:uid="{E053E115-0C29-4729-8D1C-9814D30B8889}"/>
    <cellStyle name="_Heading_bls roic" xfId="822" xr:uid="{B6DB4F34-4E39-4BCD-AF4F-F1E4D3A4EFBB}"/>
    <cellStyle name="_Heading_Book9" xfId="823" xr:uid="{9669A9B6-429C-4DCE-A901-9E417322174B}"/>
    <cellStyle name="_Heading_Broadband Comps" xfId="824" xr:uid="{2CA740AC-0558-4F98-AEB2-CB4BCC1F8AE6}"/>
    <cellStyle name="_Heading_capital expenditures 6-18-02" xfId="825" xr:uid="{3DF74095-6ABE-47A6-8F76-D7EA17965D0E}"/>
    <cellStyle name="_Heading_CTCO" xfId="826" xr:uid="{9A3E112F-4EDD-441E-BD0D-A5881BFFAA4D}"/>
    <cellStyle name="_Heading_MCI" xfId="827" xr:uid="{47DBC9EE-8BC2-49BC-96BE-7FBA9228F32C}"/>
    <cellStyle name="_Heading_prestemp" xfId="18" xr:uid="{854A5F56-3508-4571-BB6A-65D9A71F6F2F}"/>
    <cellStyle name="_Heading_Q" xfId="828" xr:uid="{BED315AB-5A73-4A89-8EAB-5C9AB48F4497}"/>
    <cellStyle name="_Heading_q - new guidance" xfId="829" xr:uid="{3B356AE2-766B-4A5F-8D83-F88BA9FF98A7}"/>
    <cellStyle name="_Heading_q - valuation" xfId="830" xr:uid="{5B0D66BE-7380-45F3-AD58-1FD352412344}"/>
    <cellStyle name="_Heading_Q model_041802" xfId="831" xr:uid="{6C9F06F3-FEA9-4A5B-A28D-06E5CEEB2C82}"/>
    <cellStyle name="_Heading_Q_update" xfId="832" xr:uid="{FD1A2E6C-8110-4ABE-8837-49967FD6C88D}"/>
    <cellStyle name="_Heading_Qwest Analysis" xfId="833" xr:uid="{B7E33EC4-B69A-4073-AB48-A0DDCA3B226E}"/>
    <cellStyle name="_Heading_RBOC historicals" xfId="834" xr:uid="{6983CE93-5E88-4AF4-86A9-DA83C04E831E}"/>
    <cellStyle name="_Heading_T" xfId="835" xr:uid="{9EB2B210-8CC5-413F-BA4C-BD8DFABD6AF5}"/>
    <cellStyle name="_Heading_T - new" xfId="836" xr:uid="{73A15BBB-BE64-4826-B790-DAAFF2169442}"/>
    <cellStyle name="_Heading_Telco Scenario analysis1" xfId="837" xr:uid="{E1ECE3D6-145A-4D32-ABAE-6532825265DD}"/>
    <cellStyle name="_Heading_Updated CSC Template" xfId="19" xr:uid="{EFA0D2FA-5050-4DE4-86D0-AB92E504883F}"/>
    <cellStyle name="_Heading_Updated CSC Template 2" xfId="1340" xr:uid="{3F34A1A6-8868-4F4B-99B3-4817E846D012}"/>
    <cellStyle name="_Heading_VZ" xfId="838" xr:uid="{BDB54137-3D8B-442B-A4CF-3143582F8D73}"/>
    <cellStyle name="_Highlight" xfId="20" xr:uid="{FCA494E9-949A-48BF-ADD6-138189C56A92}"/>
    <cellStyle name="_HSP - Model" xfId="839" xr:uid="{9C0477B2-DB1B-4A84-B408-A7F58F81C2E5}"/>
    <cellStyle name="_JFCP-MAYdba" xfId="840" xr:uid="{3E1B4B02-3158-4F63-9250-BDE71169AE98}"/>
    <cellStyle name="_MAY - Model" xfId="841" xr:uid="{4C84345C-3B32-472B-B15A-8A6AABD7450B}"/>
    <cellStyle name="_MIA - Model.xls Chart 1" xfId="842" xr:uid="{8FF0D066-59CF-4406-8353-0E8243894CF8}"/>
    <cellStyle name="_msft-dcf" xfId="843" xr:uid="{11A4289E-9F08-4430-A575-9376EF6FD8A5}"/>
    <cellStyle name="_Multiple" xfId="21" xr:uid="{16AFC1A4-5D4B-4665-B97A-07326D316F44}"/>
    <cellStyle name="_Multiple_01 adj for merger plan" xfId="234" xr:uid="{209A43DD-3DF3-4198-B072-2019D5E507B2}"/>
    <cellStyle name="_Multiple_09-08-04 Comp Sheet" xfId="844" xr:uid="{FB3AEE44-03C7-4A17-A6F2-B4869FC36961}"/>
    <cellStyle name="_Multiple_09-08-04 Comp Sheet_AT" xfId="845" xr:uid="{3441D017-29F5-4A6F-BBE1-FF3395C00B97}"/>
    <cellStyle name="_Multiple_09-08-04 Comp Sheet_AT_CASH FLOW" xfId="846" xr:uid="{7C23C5AF-AF33-45AC-95AB-E6758BCC8AE7}"/>
    <cellStyle name="_Multiple_09-08-04 Comp Sheet_AT_NPAT&amp;EPS" xfId="847" xr:uid="{7289A3D2-6E11-4DFB-BEA6-00E995732EE6}"/>
    <cellStyle name="_Multiple_12-30-05 Telecom Serv Comp Sheet" xfId="848" xr:uid="{CF900A35-DE6C-4088-9626-324FE79AA1CC}"/>
    <cellStyle name="_Multiple_12-30-05 Telecom Serv Comp Sheet_CASH FLOW" xfId="849" xr:uid="{BB66EA2D-10D4-4907-8651-0036C197EC4E}"/>
    <cellStyle name="_Multiple_12-30-05 Telecom Serv Comp Sheet_NPAT&amp;EPS" xfId="850" xr:uid="{CFE74E1D-3AE8-4A06-9088-DA6FAA9BBDFE}"/>
    <cellStyle name="_Multiple_Ability to Pay Analysis" xfId="235" xr:uid="{0AFBF203-1E8F-45C5-B210-66A9B9DF0712}"/>
    <cellStyle name="_Multiple_AFL" xfId="236" xr:uid="{AE8AED94-CF8F-4E53-823E-310940283853}"/>
    <cellStyle name="_Multiple_Airports Dealcomp" xfId="22" xr:uid="{672FFEB2-4247-40FE-9655-E3416DA7A563}"/>
    <cellStyle name="_Multiple_AIZ" xfId="237" xr:uid="{F4FAADCA-895A-4BB1-96EF-8DCD39B428F2}"/>
    <cellStyle name="_Multiple_AMP" xfId="238" xr:uid="{3885069B-4DB7-450E-9E9B-69A3B2884C50}"/>
    <cellStyle name="_Multiple_Balance Sheet" xfId="239" xr:uid="{49AA7C7A-7D34-4E4E-BC09-D6758E9C1456}"/>
    <cellStyle name="_Multiple_bls roic" xfId="851" xr:uid="{F5A18AE8-52C5-4152-9F65-963174A9EDB8}"/>
    <cellStyle name="_Multiple_bls roic_CASH FLOW" xfId="852" xr:uid="{E9F85794-9778-4421-BF83-5BF3D1DE9B04}"/>
    <cellStyle name="_Multiple_bls roic_FON" xfId="853" xr:uid="{7D10F5AD-40FB-407E-8851-C316C7B93E28}"/>
    <cellStyle name="_Multiple_bls roic_FRP" xfId="854" xr:uid="{4EB8F4D4-4BDB-4360-AAB4-AB8F5C67903C}"/>
    <cellStyle name="_Multiple_bls roic_FRP_CASH FLOW" xfId="855" xr:uid="{ECFAF6E0-514D-4EBC-B063-119DE630E62E}"/>
    <cellStyle name="_Multiple_bls roic_FRP_NPAT&amp;EPS" xfId="856" xr:uid="{32ABD57F-A825-4DEE-B6E8-8A4F30BD7834}"/>
    <cellStyle name="_Multiple_bls roic_NPAT&amp;EPS" xfId="857" xr:uid="{D87FABCF-6BAE-4424-8AE4-6CCF7E3AF102}"/>
    <cellStyle name="_Multiple_Book1" xfId="240" xr:uid="{F6C2B7EF-BE79-4D53-A0A4-0B46554E6AD8}"/>
    <cellStyle name="_Multiple_Book29" xfId="241" xr:uid="{F1243F9A-3BBC-4EA3-8A03-854476E3F7D0}"/>
    <cellStyle name="_Multiple_Book3" xfId="242" xr:uid="{B23193DA-A603-4FD9-9F02-F8008B892B38}"/>
    <cellStyle name="_Multiple_Book3_1" xfId="243" xr:uid="{FCD39FE5-7B28-4502-99E9-57D643D16C9C}"/>
    <cellStyle name="_Multiple_capital expenditures 6-18-02" xfId="858" xr:uid="{91943ED2-47B8-49E8-9FEC-DB67692CA771}"/>
    <cellStyle name="_Multiple_capital expenditures 6-18-02_CASH FLOW" xfId="859" xr:uid="{2E2E92EB-5DE6-40E0-9A05-C1934A1EEFA5}"/>
    <cellStyle name="_Multiple_capital expenditures 6-18-02_FON" xfId="860" xr:uid="{D165C952-E05D-4EB1-8A4F-DCA322DCB8F4}"/>
    <cellStyle name="_Multiple_capital expenditures 6-18-02_FRP" xfId="861" xr:uid="{79FA950B-B8C4-4678-831C-9A802A03297A}"/>
    <cellStyle name="_Multiple_capital expenditures 6-18-02_FRP_CASH FLOW" xfId="862" xr:uid="{F9489E9C-3CEC-4770-B571-BFE446553522}"/>
    <cellStyle name="_Multiple_capital expenditures 6-18-02_FRP_NPAT&amp;EPS" xfId="863" xr:uid="{BBDE0E41-6C6A-4E6C-96D0-FB765F70CBD0}"/>
    <cellStyle name="_Multiple_capital expenditures 6-18-02_NPAT&amp;EPS" xfId="864" xr:uid="{D95069C7-5D99-4CA9-8658-69F0DE20B6B2}"/>
    <cellStyle name="_Multiple_CASH FLOW" xfId="865" xr:uid="{29DCA1E4-EC1A-4DE4-98C7-255EBFCC5142}"/>
    <cellStyle name="_Multiple_CNO" xfId="244" xr:uid="{2887BAC7-E32A-4CB5-B198-3CDA0F68F07F}"/>
    <cellStyle name="_Multiple_csc" xfId="23" xr:uid="{9D099516-176A-44F3-8CA4-2E31DA5645AA}"/>
    <cellStyle name="_Multiple_DCF Alexander Forbes" xfId="245" xr:uid="{1F69F236-65ED-48B5-B964-954648E5EDDD}"/>
    <cellStyle name="_Multiple_dcf_1" xfId="866" xr:uid="{AC9C12D1-1F63-4250-9B01-28751FF66689}"/>
    <cellStyle name="_Multiple_dcf_1_CASH FLOW" xfId="867" xr:uid="{20583A8D-BB82-4F34-B563-510D23BF8C0D}"/>
    <cellStyle name="_Multiple_dcf_1_NPAT&amp;EPS" xfId="868" xr:uid="{9C36541F-8F7F-4F48-ABB9-79D5FE3D3A27}"/>
    <cellStyle name="_Multiple_DUK" xfId="869" xr:uid="{9D4137B4-0A65-49E8-AFD0-E6A955F5ABE4}"/>
    <cellStyle name="_Multiple_DUK_CASH FLOW" xfId="870" xr:uid="{F63C8066-907A-4D84-AE25-0B99423AEC07}"/>
    <cellStyle name="_Multiple_DUK_NPAT&amp;EPS" xfId="871" xr:uid="{E52EEE43-2887-4E8F-9798-413E1F9BFF29}"/>
    <cellStyle name="_Multiple_ED 2005.08.01" xfId="872" xr:uid="{A19717F2-1A7E-4AFE-9D4D-6CA55F73E6DC}"/>
    <cellStyle name="_Multiple_ED 2005.08.01_CASH FLOW" xfId="873" xr:uid="{A1035911-EE75-4CBE-BC3D-F407F588842C}"/>
    <cellStyle name="_Multiple_ED 2005.08.01_NPAT&amp;EPS" xfId="874" xr:uid="{9617DEE3-81D3-4674-B4C0-CBE2FC1BA085}"/>
    <cellStyle name="_Multiple_FCF yield comparison_1.3.06" xfId="875" xr:uid="{3F5B72F3-D4FE-4188-B555-DDB75FA988DE}"/>
    <cellStyle name="_Multiple_FCF yield comparison_1.3.06_CASH FLOW" xfId="876" xr:uid="{0122FA9D-89BE-4B1D-B84B-C958F009879B}"/>
    <cellStyle name="_Multiple_FCF yield comparison_1.3.06_NPAT&amp;EPS" xfId="877" xr:uid="{F1C85384-8C06-485F-A05E-39AD7FB3F3C5}"/>
    <cellStyle name="_Multiple_fmbi counties" xfId="246" xr:uid="{F1FDB772-0452-451E-A310-90C28711512F}"/>
    <cellStyle name="_Multiple_FMBI MBHI Graphs" xfId="247" xr:uid="{8E2BC343-97B2-46F6-B596-55E1BE89702B}"/>
    <cellStyle name="_Multiple_FMBI MBHI Graphs 07102001" xfId="248" xr:uid="{0F5697F0-9854-448F-9902-24E6492E0BA3}"/>
    <cellStyle name="_Multiple_FMBI MBHI Graphs_7601" xfId="249" xr:uid="{B0B6365B-FBF1-4371-8036-49DE08542C71}"/>
    <cellStyle name="_Multiple_FON" xfId="878" xr:uid="{5342D704-C45C-46A0-86A1-5B3AA3730E2B}"/>
    <cellStyle name="_Multiple_FRP" xfId="879" xr:uid="{7645DB63-7682-4132-A1EC-B2C1D9E7A8AD}"/>
    <cellStyle name="_Multiple_FRP_CASH FLOW" xfId="880" xr:uid="{4AAA6B99-8912-447B-8CFD-F43D9DB98FCB}"/>
    <cellStyle name="_Multiple_FRP_NPAT&amp;EPS" xfId="881" xr:uid="{4B9C5B7A-CD85-46DE-92B9-2DDEBBD40E1B}"/>
    <cellStyle name="_Multiple_GNW" xfId="250" xr:uid="{7C1A9020-A3AD-429C-AC05-6A41667CF10C}"/>
    <cellStyle name="_Multiple_Insurance Brokerage CSC_1Q2002" xfId="251" xr:uid="{A89CE727-2069-4836-8230-0CE0FA9EE9CC}"/>
    <cellStyle name="_Multiple_JP" xfId="252" xr:uid="{2E78EDA3-E629-4D78-BBED-FFEB763CAE8F}"/>
    <cellStyle name="_Multiple_LNC" xfId="253" xr:uid="{78D65C82-0445-4522-90FB-379853024265}"/>
    <cellStyle name="_Multiple_MCI" xfId="882" xr:uid="{81A7ECDC-D5D3-4608-B627-81F2DDA40919}"/>
    <cellStyle name="_Multiple_MCI_AT" xfId="883" xr:uid="{240D0A78-867F-4FB6-AB96-386216C1CCA7}"/>
    <cellStyle name="_Multiple_MCI_AT_CASH FLOW" xfId="884" xr:uid="{EABFCA05-4941-4080-A15D-9A2B518107FE}"/>
    <cellStyle name="_Multiple_MCI_AT_NPAT&amp;EPS" xfId="885" xr:uid="{9BA237E4-3F74-4C14-9656-227242E30F8B}"/>
    <cellStyle name="_Multiple_MET" xfId="254" xr:uid="{5975359F-6490-4D22-90DE-221DA7CA5FC9}"/>
    <cellStyle name="_Multiple_MET04" xfId="255" xr:uid="{87EE0CB8-ADB9-43E6-84B6-A60AD7F0FF3A}"/>
    <cellStyle name="_Multiple_MET04 2" xfId="1341" xr:uid="{E121FE07-C8A3-48EA-B250-8B979B7D730C}"/>
    <cellStyle name="_Multiple_NFS" xfId="256" xr:uid="{7DC144B4-F4E7-4503-BDCA-41D07525FBB9}"/>
    <cellStyle name="_Multiple_NPAT&amp;EPS" xfId="886" xr:uid="{21B70372-320A-49B3-9D24-5A4A5FAE74B1}"/>
    <cellStyle name="_Multiple_NRG 2005.07.22" xfId="887" xr:uid="{1AAD076F-691D-4A5F-98C1-1E5677336F93}"/>
    <cellStyle name="_Multiple_NRG 2005.07.22_CASH FLOW" xfId="888" xr:uid="{EA1E12C2-29D7-4D41-AF58-69DFEAC829A3}"/>
    <cellStyle name="_Multiple_NRG 2005.07.22_NPAT&amp;EPS" xfId="889" xr:uid="{D786FB0F-BEA8-4233-BE0B-29015F7C1561}"/>
    <cellStyle name="_Multiple_Overview3" xfId="257" xr:uid="{94639AB1-563C-4724-BBC5-13FDD7DB345F}"/>
    <cellStyle name="_Multiple_phil data" xfId="258" xr:uid="{F74FB01C-A32F-4B74-8C20-EDB44B5922C7}"/>
    <cellStyle name="_Multiple_Price Performance Charts" xfId="259" xr:uid="{328B1A05-1567-4D55-A594-2317D509D1D4}"/>
    <cellStyle name="_Multiple_Price Performance Charts 2" xfId="1342" xr:uid="{005A4A70-006A-466A-8224-86B32340E033}"/>
    <cellStyle name="_Multiple_PRU" xfId="260" xr:uid="{28C561B2-93CE-4B3D-B0AF-FC5449B1195E}"/>
    <cellStyle name="_Multiple_PRU 2" xfId="1343" xr:uid="{42B60ECA-626F-4E91-9E6E-FB66DE3AEA22}"/>
    <cellStyle name="_Multiple_PRU04" xfId="261" xr:uid="{96AEF047-AF34-4E42-9647-81AFE00459AD}"/>
    <cellStyle name="_Multiple_PRU04 2" xfId="1344" xr:uid="{B40B5CFC-2133-48C9-AD0E-856AC52C2BAE}"/>
    <cellStyle name="_Multiple_RBOC historicals" xfId="890" xr:uid="{5DB24087-7DD2-4609-A5BA-042647A1A3A7}"/>
    <cellStyle name="_Multiple_RBOC historicals_CASH FLOW" xfId="891" xr:uid="{482B26F1-BC03-4D42-B3E4-387D632565BF}"/>
    <cellStyle name="_Multiple_RBOC historicals_FON" xfId="892" xr:uid="{6338F98A-ADE7-4BD2-BC64-B4C9CBBC381D}"/>
    <cellStyle name="_Multiple_RBOC historicals_FRP" xfId="893" xr:uid="{13251691-DD2B-496E-948C-BF5FEF599C68}"/>
    <cellStyle name="_Multiple_RBOC historicals_FRP_CASH FLOW" xfId="894" xr:uid="{EC58AB59-ED61-45E4-AFB0-0251857CA8F6}"/>
    <cellStyle name="_Multiple_RBOC historicals_FRP_NPAT&amp;EPS" xfId="895" xr:uid="{F6DE24B7-243F-4EFA-AC67-651861A4566B}"/>
    <cellStyle name="_Multiple_RBOC historicals_NPAT&amp;EPS" xfId="896" xr:uid="{D185AEDC-D2FE-4C87-8B56-EE89A5242927}"/>
    <cellStyle name="_Multiple_RiskReward" xfId="262" xr:uid="{5EDA1197-A0FC-4AE2-A456-637795AEAB59}"/>
    <cellStyle name="_Multiple_SFG" xfId="263" xr:uid="{83AF5552-B8CA-4B79-84C3-0F80AE25A252}"/>
    <cellStyle name="_Multiple_SFG 2" xfId="1345" xr:uid="{059C6CCA-33C0-4530-A746-FF4F514828FA}"/>
    <cellStyle name="_Multiple_Sheet1" xfId="264" xr:uid="{5BB0E749-3FF3-4ECC-A9E2-120ECE74F58A}"/>
    <cellStyle name="_Multiple_SRE" xfId="897" xr:uid="{212CEBDB-C45D-41E7-9157-4DEE247950E8}"/>
    <cellStyle name="_Multiple_SRE Working" xfId="898" xr:uid="{B9B7042E-151A-4083-B507-FC0408A1070D}"/>
    <cellStyle name="_Multiple_SRE Working_CASH FLOW" xfId="899" xr:uid="{ACC9BD56-1963-4ECB-BE49-125B3F17C37B}"/>
    <cellStyle name="_Multiple_SRE Working_NPAT&amp;EPS" xfId="900" xr:uid="{3EE05A42-79E3-4B68-B76E-497203B2ADB2}"/>
    <cellStyle name="_Multiple_SRE_CASH FLOW" xfId="901" xr:uid="{1D34F337-020C-4C8D-8B6E-DC6A20008164}"/>
    <cellStyle name="_Multiple_SRE_NPAT&amp;EPS" xfId="902" xr:uid="{A0FB2A51-BC89-4294-A00D-ED97D036EC55}"/>
    <cellStyle name="_Multiple_Stock-QTR1 FDS" xfId="265" xr:uid="{7DB9EA55-BD46-46E0-ADB9-42BBFF6EC94F}"/>
    <cellStyle name="_Multiple_Stock-QTR1 FDS 2" xfId="1346" xr:uid="{2628A22B-B8A8-40C6-85F1-E6F0F9A41110}"/>
    <cellStyle name="_Multiple_T" xfId="903" xr:uid="{C0678C7B-A57E-49DE-8013-42B48062F7B7}"/>
    <cellStyle name="_Multiple_T - new" xfId="904" xr:uid="{B0935F7A-ABE8-48B9-9AB4-026A3FFC1A0C}"/>
    <cellStyle name="_Multiple_T - new_CASH FLOW" xfId="905" xr:uid="{F6141757-63BB-417F-B7C8-ED01B1B83692}"/>
    <cellStyle name="_Multiple_T - new_FON" xfId="906" xr:uid="{6D50D901-A766-414D-89F7-3B837C7966C3}"/>
    <cellStyle name="_Multiple_T - new_FRP" xfId="907" xr:uid="{418FB5CE-A39C-4EED-B32B-9F2A23960EEB}"/>
    <cellStyle name="_Multiple_T - new_FRP_CASH FLOW" xfId="908" xr:uid="{3516FE08-8A79-4F3C-B3D0-D0AC142496ED}"/>
    <cellStyle name="_Multiple_T - new_FRP_NPAT&amp;EPS" xfId="909" xr:uid="{0FB00E0F-E474-4273-83BB-F38D1EA0C9E2}"/>
    <cellStyle name="_Multiple_T - new_NPAT&amp;EPS" xfId="910" xr:uid="{75F4FDAD-4000-4CC3-8F0C-1DC877A56F7C}"/>
    <cellStyle name="_Multiple_T_AT" xfId="911" xr:uid="{88ED19E0-84E1-47AB-BDE3-52540CBAF3D5}"/>
    <cellStyle name="_Multiple_T_AT_CASH FLOW" xfId="912" xr:uid="{6EA2A81C-C4C1-47C9-B5AF-5F7B0099AAA5}"/>
    <cellStyle name="_Multiple_T_AT_NPAT&amp;EPS" xfId="913" xr:uid="{C613C4E1-0108-4A73-8186-C63DB6737FEB}"/>
    <cellStyle name="_Multiple_Telco Scenario analysis1" xfId="914" xr:uid="{41CE040B-4213-496E-9850-4971840282B0}"/>
    <cellStyle name="_Multiple_Telco Scenario analysis1_AT" xfId="915" xr:uid="{4E81230C-FD73-4F41-8F0F-726FE317F3DF}"/>
    <cellStyle name="_Multiple_Telco Scenario analysis1_AT_CASH FLOW" xfId="916" xr:uid="{1B3E067D-AB36-4FE7-912F-2F4741199F60}"/>
    <cellStyle name="_Multiple_Telco Scenario analysis1_AT_NPAT&amp;EPS" xfId="917" xr:uid="{4F043570-B020-48CF-9E61-E2574AABCE11}"/>
    <cellStyle name="_Multiple_TMK" xfId="266" xr:uid="{3D811263-6A36-4DEB-BADD-375A513B9930}"/>
    <cellStyle name="_Multiple_Updated Valuation Changes" xfId="267" xr:uid="{6271649E-D0F3-40FD-8434-1F8245DCBEC0}"/>
    <cellStyle name="_Multiple_Valuation Graphs" xfId="268" xr:uid="{9B1C5DBB-CEDD-4F82-A62F-7B10B04CAB01}"/>
    <cellStyle name="_Multiple_xratio - historical mkt val" xfId="269" xr:uid="{622FCA03-68A2-4294-A4AC-643A321B2963}"/>
    <cellStyle name="_MultipleSpace" xfId="24" xr:uid="{289AD2CF-8BBB-4AF1-B671-F3EB204BBC04}"/>
    <cellStyle name="_MultipleSpace_01 adj for merger plan" xfId="270" xr:uid="{C4D4B062-A285-4C52-A878-0DC2399026B9}"/>
    <cellStyle name="_MultipleSpace_09-08-04 Comp Sheet" xfId="918" xr:uid="{90457706-EBF1-4700-BDDE-9F1C67ECDF2A}"/>
    <cellStyle name="_MultipleSpace_09-08-04 Comp Sheet_AT" xfId="919" xr:uid="{7C5D2757-6D02-406C-B7D5-E091A4C79F0F}"/>
    <cellStyle name="_MultipleSpace_09-08-04 Comp Sheet_AT_CASH FLOW" xfId="920" xr:uid="{41A8FD90-8FF6-4AB0-A7D2-9D3B70A862F9}"/>
    <cellStyle name="_MultipleSpace_09-08-04 Comp Sheet_AT_NPAT&amp;EPS" xfId="921" xr:uid="{3DA6C438-A7AB-49BC-946B-2F32F8BED95F}"/>
    <cellStyle name="_MultipleSpace_12-30-05 Telecom Serv Comp Sheet" xfId="922" xr:uid="{47B849C3-F12B-4269-95F4-DFB5B39CD74D}"/>
    <cellStyle name="_MultipleSpace_12-30-05 Telecom Serv Comp Sheet_CASH FLOW" xfId="923" xr:uid="{9A7E44E2-5A96-4AD5-93CF-25CBB12F80A0}"/>
    <cellStyle name="_MultipleSpace_12-30-05 Telecom Serv Comp Sheet_NPAT&amp;EPS" xfId="924" xr:uid="{A384B507-F025-4D08-B381-B23BC48DD6C2}"/>
    <cellStyle name="_MultipleSpace_Ability to Pay Analysis" xfId="271" xr:uid="{5BE2376B-E455-4008-82BA-7202545D6140}"/>
    <cellStyle name="_MultipleSpace_AFL" xfId="272" xr:uid="{BF87F918-6951-4632-992C-7CC6BDDD5A10}"/>
    <cellStyle name="_MultipleSpace_Airports Dealcomp" xfId="25" xr:uid="{CC200B23-EC5D-42A2-9FAF-A53A912805D7}"/>
    <cellStyle name="_MultipleSpace_AIZ" xfId="273" xr:uid="{5E2207F2-BD16-4E8A-AD63-4F128D84BDF2}"/>
    <cellStyle name="_MultipleSpace_AMP" xfId="274" xr:uid="{CE4B43F0-C025-452A-821E-2DC45C1885DF}"/>
    <cellStyle name="_MultipleSpace_Balance Sheet" xfId="275" xr:uid="{CABF6872-F78A-4D89-AA2A-F82A7CE4FA42}"/>
    <cellStyle name="_MultipleSpace_bls roic" xfId="925" xr:uid="{8A506FD2-0C3E-4308-86DB-8E21EFF1448E}"/>
    <cellStyle name="_MultipleSpace_bls roic_CASH FLOW" xfId="926" xr:uid="{08437A44-C81B-4DFE-8DF5-498F0E6AB418}"/>
    <cellStyle name="_MultipleSpace_bls roic_FON" xfId="927" xr:uid="{A0B69970-D7D7-4816-B987-3E1B15FD89D4}"/>
    <cellStyle name="_MultipleSpace_bls roic_FRP" xfId="928" xr:uid="{08D2B565-28B9-4418-A16A-B98633DAFDF4}"/>
    <cellStyle name="_MultipleSpace_bls roic_FRP_CASH FLOW" xfId="929" xr:uid="{8FC55999-AF78-4D51-A335-6D160B0E69D6}"/>
    <cellStyle name="_MultipleSpace_bls roic_FRP_NPAT&amp;EPS" xfId="930" xr:uid="{E65D1D1F-D722-4335-92DD-B9FC24AC5B2A}"/>
    <cellStyle name="_MultipleSpace_bls roic_NPAT&amp;EPS" xfId="931" xr:uid="{5D31B299-A39E-4DAE-8627-8C62E5D8098B}"/>
    <cellStyle name="_MultipleSpace_Book1" xfId="276" xr:uid="{DAF1FC12-631A-4264-8314-B73DF63D2C57}"/>
    <cellStyle name="_MultipleSpace_Book29" xfId="277" xr:uid="{08B49269-B9E9-41B1-837F-5AAF62A5AC25}"/>
    <cellStyle name="_MultipleSpace_Book3" xfId="278" xr:uid="{3A5FB931-2B82-4D96-B582-8F516B06E580}"/>
    <cellStyle name="_MultipleSpace_Book3_1" xfId="279" xr:uid="{DC5059EC-F7BF-4CD2-9D42-ABA79DC0EF16}"/>
    <cellStyle name="_MultipleSpace_capital expenditures 6-18-02" xfId="932" xr:uid="{271C3EAA-F990-4C00-943E-E9A108BFAC4F}"/>
    <cellStyle name="_MultipleSpace_capital expenditures 6-18-02_CASH FLOW" xfId="933" xr:uid="{713A1FE1-FE38-4369-97EF-74A098EA53CE}"/>
    <cellStyle name="_MultipleSpace_capital expenditures 6-18-02_FON" xfId="934" xr:uid="{E5E17EE4-3154-4D38-8200-5AF2403986E5}"/>
    <cellStyle name="_MultipleSpace_capital expenditures 6-18-02_FRP" xfId="935" xr:uid="{DFAD9B30-272D-49A4-8D90-66B7EE0D584F}"/>
    <cellStyle name="_MultipleSpace_capital expenditures 6-18-02_FRP_CASH FLOW" xfId="936" xr:uid="{16E0CFF9-75D4-4EB2-B974-9CE5CB652053}"/>
    <cellStyle name="_MultipleSpace_capital expenditures 6-18-02_FRP_NPAT&amp;EPS" xfId="937" xr:uid="{05AC69BE-2865-4341-9AEC-C82C5B2FA104}"/>
    <cellStyle name="_MultipleSpace_capital expenditures 6-18-02_NPAT&amp;EPS" xfId="938" xr:uid="{075AE4A8-4B34-4A9F-AF9B-8DB62F764853}"/>
    <cellStyle name="_MultipleSpace_CASH FLOW" xfId="939" xr:uid="{4A44555B-1021-43AE-BDAC-00ECF395B7F7}"/>
    <cellStyle name="_MultipleSpace_CNO" xfId="280" xr:uid="{16BE9395-23F9-461C-9FD7-DED76612EAE2}"/>
    <cellStyle name="_MultipleSpace_csc" xfId="26" xr:uid="{E0674280-B228-464D-A2CC-772F209695B7}"/>
    <cellStyle name="_MultipleSpace_DCF Alexander Forbes" xfId="281" xr:uid="{9F756E2F-BB71-48DE-A8F3-BE60E7A58578}"/>
    <cellStyle name="_MultipleSpace_DUK" xfId="940" xr:uid="{8C9E3C34-A393-4430-8860-3553A596AFA0}"/>
    <cellStyle name="_MultipleSpace_DUK_CASH FLOW" xfId="941" xr:uid="{3760EC39-11F1-42E3-9F60-C433A984138D}"/>
    <cellStyle name="_MultipleSpace_DUK_NPAT&amp;EPS" xfId="942" xr:uid="{C0297605-B89E-4B15-A142-E872405E04F8}"/>
    <cellStyle name="_MultipleSpace_ED 2005.08.01" xfId="943" xr:uid="{1812DDE5-72B4-4EA3-BC76-4DA192F5FCC6}"/>
    <cellStyle name="_MultipleSpace_ED 2005.08.01_CASH FLOW" xfId="944" xr:uid="{577CD004-2547-4716-986F-E4D8190C8349}"/>
    <cellStyle name="_MultipleSpace_ED 2005.08.01_NPAT&amp;EPS" xfId="945" xr:uid="{42DBD7D3-E984-4E62-8926-448A9F4E0A6E}"/>
    <cellStyle name="_MultipleSpace_FCF yield comparison_1.3.06" xfId="946" xr:uid="{A0450A4E-CF36-471E-8357-DA80D687319E}"/>
    <cellStyle name="_MultipleSpace_FCF yield comparison_1.3.06_CASH FLOW" xfId="947" xr:uid="{3C9C8277-5DAE-435E-8D91-1A0DC1DB365A}"/>
    <cellStyle name="_MultipleSpace_FCF yield comparison_1.3.06_NPAT&amp;EPS" xfId="948" xr:uid="{83A11904-9655-499D-8892-9D69D53782CA}"/>
    <cellStyle name="_MultipleSpace_fmbi counties" xfId="282" xr:uid="{F76B2D11-01F0-4F19-A4EF-A3D41856DF66}"/>
    <cellStyle name="_MultipleSpace_FMBI MBHI Graphs" xfId="283" xr:uid="{0ED45A03-CED3-44D2-A385-B16C00369870}"/>
    <cellStyle name="_MultipleSpace_FMBI MBHI Graphs 07102001" xfId="284" xr:uid="{4FD41AEB-8FF3-49B5-AFA0-7E922E014969}"/>
    <cellStyle name="_MultipleSpace_FMBI MBHI Graphs_7601" xfId="285" xr:uid="{D69348CF-5F78-434A-87B3-E5CE8D37D13F}"/>
    <cellStyle name="_MultipleSpace_FON" xfId="949" xr:uid="{1C613F49-DAFC-4C7E-8537-045888F0A08A}"/>
    <cellStyle name="_MultipleSpace_FRP" xfId="950" xr:uid="{655CB9B3-3234-45BE-9162-31903EEFE2A6}"/>
    <cellStyle name="_MultipleSpace_FRP_CASH FLOW" xfId="951" xr:uid="{C5A297C8-7B66-421F-B460-5EDE1553BD4C}"/>
    <cellStyle name="_MultipleSpace_FRP_NPAT&amp;EPS" xfId="952" xr:uid="{66CB5D37-91D8-4140-9CDE-87CD39BB507B}"/>
    <cellStyle name="_MultipleSpace_GNW" xfId="286" xr:uid="{83AF2C41-78EA-4560-819A-C9C6A4BC97B8}"/>
    <cellStyle name="_MultipleSpace_Insurance Brokerage CSC_1Q2002" xfId="287" xr:uid="{9C235488-922A-4BA9-86D0-374BF46D7B00}"/>
    <cellStyle name="_MultipleSpace_JP" xfId="288" xr:uid="{3B41FB18-905E-40AA-9992-1BDF37D968B3}"/>
    <cellStyle name="_MultipleSpace_LNC" xfId="289" xr:uid="{D28C4BC3-0040-4AE6-9011-10CD17E94E91}"/>
    <cellStyle name="_MultipleSpace_MCI" xfId="953" xr:uid="{B971053C-4A5C-41B8-84E4-BE49A28EC6D8}"/>
    <cellStyle name="_MultipleSpace_MCI_AT" xfId="954" xr:uid="{71655190-F3A4-4E1D-86DD-95AAE7BC59BF}"/>
    <cellStyle name="_MultipleSpace_MCI_AT_CASH FLOW" xfId="955" xr:uid="{E89507CD-B965-47A6-9C92-26994CED5465}"/>
    <cellStyle name="_MultipleSpace_MCI_AT_NPAT&amp;EPS" xfId="956" xr:uid="{77EB5F06-B0C8-4ECB-8FD1-AD05C9B4B9E6}"/>
    <cellStyle name="_MultipleSpace_MET" xfId="290" xr:uid="{2A5EBF92-4012-427F-9C97-C20BEE458B76}"/>
    <cellStyle name="_MultipleSpace_MET04" xfId="291" xr:uid="{B3CF9BC2-7EE6-4EF5-8DB8-7EAF4EA87F53}"/>
    <cellStyle name="_MultipleSpace_MET04 2" xfId="1347" xr:uid="{A70AFB86-0791-4F0C-A201-2B5B47FE8EAB}"/>
    <cellStyle name="_MultipleSpace_NFS" xfId="292" xr:uid="{4695270E-A51D-48AE-80CE-B8C073DACEDE}"/>
    <cellStyle name="_MultipleSpace_NPAT&amp;EPS" xfId="957" xr:uid="{42859C70-E517-4C7E-846D-9E53976293AC}"/>
    <cellStyle name="_MultipleSpace_NRG 2005.07.22" xfId="958" xr:uid="{8ED5E80F-61D5-4819-B24E-A35D63625DC2}"/>
    <cellStyle name="_MultipleSpace_NRG 2005.07.22_CASH FLOW" xfId="959" xr:uid="{69EB7582-D709-46CF-A141-1F0FC9A5C0D1}"/>
    <cellStyle name="_MultipleSpace_NRG 2005.07.22_NPAT&amp;EPS" xfId="960" xr:uid="{9F379BF3-871C-4414-AD08-B8DAA0A6ED96}"/>
    <cellStyle name="_MultipleSpace_Overview3" xfId="293" xr:uid="{A129CF19-20E4-40C5-8C8C-0E2C384BD276}"/>
    <cellStyle name="_MultipleSpace_phil data" xfId="294" xr:uid="{A6B7A966-145B-461E-BA9F-9E38C6DC00DB}"/>
    <cellStyle name="_MultipleSpace_Price Performance Charts" xfId="295" xr:uid="{701AB483-94A5-465D-B6C5-7042C2DF02A5}"/>
    <cellStyle name="_MultipleSpace_Price Performance Charts 2" xfId="1348" xr:uid="{0B448DC3-415A-4CDE-A3F0-BF3D95F266BE}"/>
    <cellStyle name="_MultipleSpace_PRU" xfId="296" xr:uid="{722EA99F-CF44-447B-8408-F537D30B7958}"/>
    <cellStyle name="_MultipleSpace_PRU 2" xfId="1349" xr:uid="{9F952169-05BE-4D68-989B-8E5916AC6F3D}"/>
    <cellStyle name="_MultipleSpace_PRU04" xfId="297" xr:uid="{E9A3DFB8-E296-4A03-B200-508492F37429}"/>
    <cellStyle name="_MultipleSpace_PRU04 2" xfId="1350" xr:uid="{515A56EB-4D19-4A67-9E9B-ED77AC0F306D}"/>
    <cellStyle name="_MultipleSpace_RBOC historicals" xfId="961" xr:uid="{24585006-A6FF-4A1D-94E5-AE4C2FF2000B}"/>
    <cellStyle name="_MultipleSpace_RBOC historicals_CASH FLOW" xfId="962" xr:uid="{4A8BF33A-32EF-4DFD-95B1-1D08A871BE12}"/>
    <cellStyle name="_MultipleSpace_RBOC historicals_FON" xfId="963" xr:uid="{682D773E-CBD6-4D12-8491-939E5B29589E}"/>
    <cellStyle name="_MultipleSpace_RBOC historicals_FRP" xfId="964" xr:uid="{6C98ECEC-AF51-4DEC-9C6F-625720AEB119}"/>
    <cellStyle name="_MultipleSpace_RBOC historicals_FRP_CASH FLOW" xfId="965" xr:uid="{E4509134-E691-49F3-A564-F3D247E2EC4B}"/>
    <cellStyle name="_MultipleSpace_RBOC historicals_FRP_NPAT&amp;EPS" xfId="966" xr:uid="{F1D9EE4F-E396-4E5D-89B2-78FD2CE92B1A}"/>
    <cellStyle name="_MultipleSpace_RBOC historicals_NPAT&amp;EPS" xfId="967" xr:uid="{2035DFD1-25DF-4983-A5AC-391BF68AC7DF}"/>
    <cellStyle name="_MultipleSpace_RiskReward" xfId="298" xr:uid="{4E55A7CD-31C6-457E-9BCB-EAF5B7E52335}"/>
    <cellStyle name="_MultipleSpace_SFG" xfId="299" xr:uid="{058C5205-657A-402A-B198-7324D17475BF}"/>
    <cellStyle name="_MultipleSpace_SFG 2" xfId="1351" xr:uid="{BEFA666E-0A3B-40DE-A823-70100E44970D}"/>
    <cellStyle name="_MultipleSpace_Sheet1" xfId="300" xr:uid="{6AF03D8D-C2F4-4778-9697-87C70EA4220F}"/>
    <cellStyle name="_MultipleSpace_SRE" xfId="968" xr:uid="{40CEDBF9-4B88-42F3-90C7-26B500EF05D4}"/>
    <cellStyle name="_MultipleSpace_SRE Working" xfId="969" xr:uid="{F604115F-CDA8-42B9-9DC5-8B89B06F7489}"/>
    <cellStyle name="_MultipleSpace_SRE Working_CASH FLOW" xfId="970" xr:uid="{323A5B46-3B2B-4C6A-B657-5BEDE2E2B7BC}"/>
    <cellStyle name="_MultipleSpace_SRE Working_NPAT&amp;EPS" xfId="971" xr:uid="{471B5232-B76C-40B8-B23E-B1BA60FA6908}"/>
    <cellStyle name="_MultipleSpace_SRE_CASH FLOW" xfId="972" xr:uid="{5D8134BC-2B28-403E-9C39-F4564D22FFA1}"/>
    <cellStyle name="_MultipleSpace_SRE_NPAT&amp;EPS" xfId="973" xr:uid="{8973B030-EC6C-426F-A77D-4B5FE730DED5}"/>
    <cellStyle name="_MultipleSpace_Stock-QTR1 FDS" xfId="301" xr:uid="{4A1C4073-8529-4110-A58C-D8F784CB5F86}"/>
    <cellStyle name="_MultipleSpace_Stock-QTR1 FDS 2" xfId="1352" xr:uid="{24A11970-CB23-4365-90A9-3EB96C8B82F9}"/>
    <cellStyle name="_MultipleSpace_T" xfId="974" xr:uid="{6960F43B-87EF-44CF-8122-33445391F0EB}"/>
    <cellStyle name="_MultipleSpace_T - new" xfId="975" xr:uid="{8F80DD11-7C27-4548-8B3D-A2430876858C}"/>
    <cellStyle name="_MultipleSpace_T - new_CASH FLOW" xfId="976" xr:uid="{A9F4F54F-9EE7-474B-8764-953A14EED8CA}"/>
    <cellStyle name="_MultipleSpace_T - new_FON" xfId="977" xr:uid="{7E90EA47-C1B0-4573-BF29-8B672879E19F}"/>
    <cellStyle name="_MultipleSpace_T - new_FRP" xfId="978" xr:uid="{BBDE324B-84BD-4D62-8DAE-2269CD87E982}"/>
    <cellStyle name="_MultipleSpace_T - new_FRP_CASH FLOW" xfId="979" xr:uid="{920F4FD1-9461-459C-AC79-3BF7B8992564}"/>
    <cellStyle name="_MultipleSpace_T - new_FRP_NPAT&amp;EPS" xfId="980" xr:uid="{281CECD0-D300-4767-8FF7-A6276B38D516}"/>
    <cellStyle name="_MultipleSpace_T - new_NPAT&amp;EPS" xfId="981" xr:uid="{787C3519-3014-44E1-9933-4B5322F35F77}"/>
    <cellStyle name="_MultipleSpace_T_AT" xfId="982" xr:uid="{51D96B73-A1A4-4B6E-8D19-092EB9157BC1}"/>
    <cellStyle name="_MultipleSpace_T_AT_CASH FLOW" xfId="983" xr:uid="{E72BD029-9A74-4B78-A4C9-B33BDBB4922B}"/>
    <cellStyle name="_MultipleSpace_T_AT_NPAT&amp;EPS" xfId="984" xr:uid="{AEBC36E6-AAC4-431F-9782-D38D4BF0E8D4}"/>
    <cellStyle name="_MultipleSpace_Telco Scenario analysis1" xfId="985" xr:uid="{89D07435-7402-4C0F-AD6B-44B28FC06896}"/>
    <cellStyle name="_MultipleSpace_Telco Scenario analysis1_AT" xfId="986" xr:uid="{78C4D49A-E191-46E7-9269-02AF37BD1480}"/>
    <cellStyle name="_MultipleSpace_Telco Scenario analysis1_AT_CASH FLOW" xfId="987" xr:uid="{5B336244-4A96-4209-9DAC-027E8422D5AF}"/>
    <cellStyle name="_MultipleSpace_Telco Scenario analysis1_AT_NPAT&amp;EPS" xfId="988" xr:uid="{599CD756-DC60-4492-8AFF-13A8E3718416}"/>
    <cellStyle name="_MultipleSpace_TMK" xfId="302" xr:uid="{9B23855D-BB62-4270-AC79-91070E623590}"/>
    <cellStyle name="_MultipleSpace_Updated Valuation Changes" xfId="303" xr:uid="{C72A3640-0435-4CB0-997D-B8C0ADEED3BE}"/>
    <cellStyle name="_MultipleSpace_Valuation Graphs" xfId="304" xr:uid="{A64ACA8C-92F2-409B-A472-5891B6C2CA3F}"/>
    <cellStyle name="_MultipleSpace_xratio - historical mkt val" xfId="305" xr:uid="{5D300496-FCF5-44B7-81BF-2FA27A6C3839}"/>
    <cellStyle name="_Percent" xfId="27" xr:uid="{F2653DD8-25DF-4F61-8537-BED1BAA9B4AE}"/>
    <cellStyle name="_Percent_12-30-05 Telecom Serv Comp Sheet" xfId="989" xr:uid="{01DC0FA5-A4F9-46E2-BAD2-DDEA9CD799F3}"/>
    <cellStyle name="_Percent_12-30-05 Telecom Serv Comp Sheet_CASH FLOW" xfId="990" xr:uid="{339D1DF6-4F31-4276-A2BA-CA404E24AA39}"/>
    <cellStyle name="_Percent_12-30-05 Telecom Serv Comp Sheet_NPAT&amp;EPS" xfId="991" xr:uid="{3078ACE6-4D9C-4E29-B664-9E2E40EAAE16}"/>
    <cellStyle name="_Percent_CASH FLOW" xfId="992" xr:uid="{161BFDFD-CD70-40A5-AA3E-31796966D2C6}"/>
    <cellStyle name="_Percent_DCF Alexander Forbes" xfId="306" xr:uid="{9ADC2262-9A94-4737-AA49-71A3737BFB27}"/>
    <cellStyle name="_Percent_FMBI MBHI Graphs" xfId="307" xr:uid="{794DC228-26A5-4C3F-92A2-5BCC4D80E03D}"/>
    <cellStyle name="_Percent_FMBI MBHI Graphs 07102001" xfId="308" xr:uid="{1D1F4EEC-2A11-418E-99AD-450E8EFAF9B9}"/>
    <cellStyle name="_Percent_FMBI MBHI Graphs_7601" xfId="309" xr:uid="{A37E1347-D1C6-4477-A5F9-FB9FAF920768}"/>
    <cellStyle name="_Percent_FON" xfId="993" xr:uid="{67EA5553-24D9-4DE7-A201-5C7BAA27B3DC}"/>
    <cellStyle name="_Percent_FRP" xfId="994" xr:uid="{D011A1B2-35E8-48F9-9615-BA189D4CCBFB}"/>
    <cellStyle name="_Percent_FRP_CASH FLOW" xfId="995" xr:uid="{263EFFA2-7E04-4696-A99C-07F3B2615CC8}"/>
    <cellStyle name="_Percent_FRP_NPAT&amp;EPS" xfId="996" xr:uid="{95025790-DD2B-482E-B58B-AFDBEBE07D3A}"/>
    <cellStyle name="_Percent_NPAT&amp;EPS" xfId="997" xr:uid="{148E6F96-E710-49EA-9834-CE2961B2F7AE}"/>
    <cellStyle name="_PercentSpace" xfId="28" xr:uid="{08BE7815-326D-4BE7-AD28-73B561A49099}"/>
    <cellStyle name="_PercentSpace_01 adj for merger plan" xfId="310" xr:uid="{580B5BDF-61E0-4404-B9E8-1028AC0A0901}"/>
    <cellStyle name="_PercentSpace_12-30-05 Telecom Serv Comp Sheet" xfId="998" xr:uid="{B80ADDC3-9200-4652-A347-B2324311051C}"/>
    <cellStyle name="_PercentSpace_12-30-05 Telecom Serv Comp Sheet_CASH FLOW" xfId="999" xr:uid="{4AE885F8-1ED5-4D52-AFAF-973106C8E267}"/>
    <cellStyle name="_PercentSpace_12-30-05 Telecom Serv Comp Sheet_NPAT&amp;EPS" xfId="1000" xr:uid="{7940E48C-3DBE-48BB-8A5C-B95FDD83D3B2}"/>
    <cellStyle name="_PercentSpace_CASH FLOW" xfId="1001" xr:uid="{76CA6AAA-A9BB-4980-A5B5-2CBDD7A0A030}"/>
    <cellStyle name="_PercentSpace_DCF Alexander Forbes" xfId="311" xr:uid="{3EFF0B33-2420-43F5-88E3-770249AC02B6}"/>
    <cellStyle name="_PercentSpace_FMBI MBHI Graphs" xfId="312" xr:uid="{C344B006-CAD2-4932-BB19-408D8E60053C}"/>
    <cellStyle name="_PercentSpace_FMBI MBHI Graphs 07102001" xfId="313" xr:uid="{C34C99FD-3919-4A4F-9AB4-8489067A4D05}"/>
    <cellStyle name="_PercentSpace_FMBI MBHI Graphs_7601" xfId="314" xr:uid="{C58766B0-89E0-428A-ABBE-43A7A00F31EA}"/>
    <cellStyle name="_PercentSpace_FON" xfId="1002" xr:uid="{FCD3945E-C193-4704-9294-9B53BDDF94A5}"/>
    <cellStyle name="_PercentSpace_FRP" xfId="1003" xr:uid="{49BCB5D3-3839-462D-8029-0E24FB33C57E}"/>
    <cellStyle name="_PercentSpace_FRP_CASH FLOW" xfId="1004" xr:uid="{2B6629B9-E60F-4441-B93A-C40CC80F09B3}"/>
    <cellStyle name="_PercentSpace_FRP_NPAT&amp;EPS" xfId="1005" xr:uid="{8ADC76C8-75C1-48A3-B9EE-2DD231EB25E3}"/>
    <cellStyle name="_PercentSpace_NPAT&amp;EPS" xfId="1006" xr:uid="{E80FC5A1-D76C-4C64-8360-3DD0C4E791AD}"/>
    <cellStyle name="_SHL - Model.xls Chart 1" xfId="1007" xr:uid="{F54754B9-4E54-45B1-AF4D-21402B9C50B1}"/>
    <cellStyle name="_SHL - Model.xls Chart 2" xfId="1008" xr:uid="{891C4075-7CBA-4FCF-AD21-B2D9B97BEBBC}"/>
    <cellStyle name="_SubHeading" xfId="29" xr:uid="{95742C1F-2ECF-4830-98D9-063DA85A1B0E}"/>
    <cellStyle name="_SubHeading_09-08-04 Comp Sheet" xfId="1009" xr:uid="{26C18F67-8FE9-42EE-9F1B-70504841CD53}"/>
    <cellStyle name="_SubHeading_12 Food Deal Comp" xfId="30" xr:uid="{E683DC63-4F89-4C0A-B427-8684400BAA63}"/>
    <cellStyle name="_SubHeading_12 Food Deal Comp 2" xfId="1353" xr:uid="{E4A77DE1-6716-4FAB-8333-B9359C745914}"/>
    <cellStyle name="_SubHeading_12-30-05 Telecom Serv Comp Sheet" xfId="1010" xr:uid="{A847F8DC-6088-4195-98C8-4DB5E38B3334}"/>
    <cellStyle name="_SubHeading_15 Furniture CSC (06-Dec-2005)" xfId="31" xr:uid="{B1490F96-B6C9-417A-BEBC-A1797B16F9A3}"/>
    <cellStyle name="_SubHeading_15 Furniture CSC (06-Dec-2005) 2" xfId="1354" xr:uid="{6022121E-E107-4709-B338-290C9B5E511F}"/>
    <cellStyle name="_SubHeading_Ability to Pay Analysis" xfId="315" xr:uid="{2575F6DF-CE3C-47C3-8CD6-F15222F285BB}"/>
    <cellStyle name="_SubHeading_Airports Dealcomp" xfId="32" xr:uid="{8A5D051A-27F8-4A0C-832F-53E13335DFAE}"/>
    <cellStyle name="_SubHeading_Airports Dealcomp 2" xfId="1355" xr:uid="{C3E1FBE0-0BE8-4E01-B84C-B5D7C064B9B6}"/>
    <cellStyle name="_SubHeading_BankUnited Model" xfId="316" xr:uid="{69C49B63-929A-4331-B18A-86D9FDDFC1E8}"/>
    <cellStyle name="_SubHeading_BLS" xfId="1011" xr:uid="{21EA974A-0E21-45C6-A076-657B89224673}"/>
    <cellStyle name="_SubHeading_bls roic" xfId="1012" xr:uid="{ECE439FC-EE7F-4583-B75A-46A5D229B9FD}"/>
    <cellStyle name="_SubHeading_Book9" xfId="1013" xr:uid="{77C9D649-4B6B-443F-BB5E-097D80E832C4}"/>
    <cellStyle name="_SubHeading_Broadband Comps" xfId="1014" xr:uid="{FDE5003F-FACB-41BE-A0A8-D9F425C0B6B7}"/>
    <cellStyle name="_SubHeading_capital expenditures 6-18-02" xfId="1015" xr:uid="{903C0FB3-4245-46E2-B68D-5E06F1DA2EB2}"/>
    <cellStyle name="_SubHeading_CTCO" xfId="1016" xr:uid="{D7B9E2DC-0926-480C-9D91-4B77A45255B4}"/>
    <cellStyle name="_SubHeading_fmbi counties" xfId="317" xr:uid="{0FF086D1-B37A-4EC5-81F6-2EC861F726E8}"/>
    <cellStyle name="_SubHeading_FMBI MBHI Graphs" xfId="318" xr:uid="{D4CB49EA-3D97-4183-8461-94FBE61092B2}"/>
    <cellStyle name="_SubHeading_FMBI MBHI Graphs 07102001" xfId="319" xr:uid="{454B2684-BFFB-44F8-B0F4-AFFD22EE8FB3}"/>
    <cellStyle name="_SubHeading_FMBI MBHI Graphs_7601" xfId="320" xr:uid="{B7C9979B-23BD-43D5-9936-524AAF5BC72E}"/>
    <cellStyle name="_SubHeading_MCI" xfId="1017" xr:uid="{219E270C-286A-4291-BEC5-B53438505FCE}"/>
    <cellStyle name="_SubHeading_prestemp" xfId="33" xr:uid="{2501F61A-905A-47B5-8FBF-8ABE72F40D47}"/>
    <cellStyle name="_SubHeading_prestemp_Insurance Brokerage CSC_1Q2002" xfId="321" xr:uid="{6CD1E6DF-1C97-40FE-B32C-FE0FFB4E673F}"/>
    <cellStyle name="_SubHeading_prestemp_Overview3" xfId="322" xr:uid="{C9CFAD96-EA4F-4599-BCEC-086F78A31D70}"/>
    <cellStyle name="_SubHeading_prestemp_Updated Valuation Changes" xfId="323" xr:uid="{C8FE95A8-612F-4CC3-B142-BD5D38FCB5B1}"/>
    <cellStyle name="_SubHeading_Q" xfId="1018" xr:uid="{F72CCAD2-6E35-46B9-B7B9-59EBE3555A8D}"/>
    <cellStyle name="_SubHeading_q - new guidance" xfId="1019" xr:uid="{D3D07F66-DBB7-405A-A0F1-95D6FDB42C1B}"/>
    <cellStyle name="_SubHeading_q - valuation" xfId="1020" xr:uid="{96092471-F77A-4D50-823B-E6650016A692}"/>
    <cellStyle name="_SubHeading_Q model_041802" xfId="1021" xr:uid="{492BC07E-BB57-4BD0-AAFC-301EA27E10E3}"/>
    <cellStyle name="_SubHeading_Q_update" xfId="1022" xr:uid="{E089C7A4-01FC-40B8-A83E-E2E31ADEC592}"/>
    <cellStyle name="_SubHeading_Qwest Analysis" xfId="1023" xr:uid="{B532D85E-93CF-4784-8E15-1FB0DD3F7473}"/>
    <cellStyle name="_SubHeading_RBOC historicals" xfId="1024" xr:uid="{60EE31F2-B499-4D05-AF8A-D0182F62FB3C}"/>
    <cellStyle name="_SubHeading_T" xfId="1025" xr:uid="{A7C47819-2CBE-457A-BE2F-9CFE117792C1}"/>
    <cellStyle name="_SubHeading_T - new" xfId="1026" xr:uid="{655867CC-DEF9-4AE5-AE7E-189918F4B787}"/>
    <cellStyle name="_SubHeading_Telco Scenario analysis1" xfId="1027" xr:uid="{89AED8E3-7E99-4FBD-984E-5956ED16D3EC}"/>
    <cellStyle name="_SubHeading_Updated CSC Template" xfId="34" xr:uid="{E0DA4619-D36A-4462-BE3C-E7509157B666}"/>
    <cellStyle name="_SubHeading_Updated CSC Template 2" xfId="1356" xr:uid="{3ADC2391-A191-4B20-BA31-4B7F07BD441E}"/>
    <cellStyle name="_SubHeading_VZ" xfId="1028" xr:uid="{557DB58F-4C6A-4380-9A96-CE6EB9D0241A}"/>
    <cellStyle name="_SubHeading_xratio - historical mkt val" xfId="324" xr:uid="{2BECDF19-CCEB-4696-93C4-EA40BBA1ED2F}"/>
    <cellStyle name="_Table" xfId="35" xr:uid="{5FE124DE-51D5-4C84-AB32-9DCE00D5A255}"/>
    <cellStyle name="_Table 2" xfId="1357" xr:uid="{BAB63944-0C87-4B06-8FE7-37D9E6CDA92A}"/>
    <cellStyle name="_Table_09-08-04 Comp Sheet" xfId="1029" xr:uid="{0046BBA8-83D3-4CA9-BBAD-B0CCF498AD7D}"/>
    <cellStyle name="_Table_12 Food Deal Comp" xfId="36" xr:uid="{B8C39729-E69C-4BC3-B7D9-7C483D480407}"/>
    <cellStyle name="_Table_12-30-05 Telecom Serv Comp Sheet" xfId="1030" xr:uid="{CC2A51CD-9AC5-4E0A-8C39-6D7738ADD357}"/>
    <cellStyle name="_Table_15 Furniture CSC (06-Dec-2005)" xfId="37" xr:uid="{40A75FB7-C4E1-43D1-B480-2E9CB30FEDA7}"/>
    <cellStyle name="_Table_Ability to Pay Analysis" xfId="325" xr:uid="{8103705D-855D-41D9-981A-9D5308F77C6A}"/>
    <cellStyle name="_Table_Airports Dealcomp" xfId="38" xr:uid="{D0736B7C-4B0E-407A-8F59-68304B376191}"/>
    <cellStyle name="_Table_BankUnited Model" xfId="326" xr:uid="{CB5D0394-F4D9-4917-BFA4-9929A3DB1F1B}"/>
    <cellStyle name="_Table_BLS" xfId="1031" xr:uid="{FBC0D179-5836-427F-A564-EEAE61F4F371}"/>
    <cellStyle name="_Table_bls roic" xfId="1032" xr:uid="{6DE07C10-F1EA-441C-9738-94EE719A2393}"/>
    <cellStyle name="_Table_Book9" xfId="1033" xr:uid="{A345CB2A-D23A-430A-9F9E-039F4C36265C}"/>
    <cellStyle name="_Table_Broadband Comps" xfId="1034" xr:uid="{A7556426-F7E7-4074-9613-EF3CA11D5D76}"/>
    <cellStyle name="_Table_capital expenditures 6-18-02" xfId="1035" xr:uid="{A89F7F1A-377A-455B-AE4A-5ACFC97AC94B}"/>
    <cellStyle name="_Table_CTCO" xfId="1036" xr:uid="{40EA5E8C-AEA3-40F2-BD43-EC7A36EA2BFE}"/>
    <cellStyle name="_Table_fmbi counties" xfId="327" xr:uid="{6755F3A1-476D-43E9-8F34-B52BC3A6DCD2}"/>
    <cellStyle name="_Table_MCI" xfId="1037" xr:uid="{C4CC1257-F631-42C5-B766-F9EC38043286}"/>
    <cellStyle name="_Table_Q" xfId="1038" xr:uid="{C8BD1C6E-EC23-47FE-9F98-84CB1E9D2D32}"/>
    <cellStyle name="_Table_q - new guidance" xfId="1039" xr:uid="{502ED129-F44E-4250-890D-CF0440F3904D}"/>
    <cellStyle name="_Table_q - valuation" xfId="1040" xr:uid="{C1EE19A1-18CB-4565-9904-F1A0672D84CF}"/>
    <cellStyle name="_Table_Q model_041802" xfId="1041" xr:uid="{0A976702-79EE-43D6-9A4D-CF54D7A410BE}"/>
    <cellStyle name="_Table_Q_update" xfId="1042" xr:uid="{3D3B3EAC-ADD8-4768-A387-3CF380FDF22E}"/>
    <cellStyle name="_Table_Qwest Analysis" xfId="1043" xr:uid="{2C876D02-D81F-46CD-AD00-BEEDF530A9D4}"/>
    <cellStyle name="_Table_RBOC historicals" xfId="1044" xr:uid="{59A20DCF-731A-4D18-9712-F5DAF6BCBE59}"/>
    <cellStyle name="_Table_T" xfId="1045" xr:uid="{C80699DA-CC4B-4D20-8DDB-E1CFD584984F}"/>
    <cellStyle name="_Table_T - new" xfId="1046" xr:uid="{9075B24D-8070-4102-A74D-D8421991B6D9}"/>
    <cellStyle name="_Table_Telco Scenario analysis1" xfId="1047" xr:uid="{5AF0A304-A65E-4B90-A439-EDB8F33C4AE2}"/>
    <cellStyle name="_Table_Updated CSC Template" xfId="39" xr:uid="{42AAF0E3-877E-48E0-A214-CE781C4E7F1E}"/>
    <cellStyle name="_Table_VZ" xfId="1048" xr:uid="{907AD812-7DAD-44A0-885B-59478BA71684}"/>
    <cellStyle name="_Table_xratio - historical mkt val" xfId="328" xr:uid="{93ED6A53-94E4-44C7-AAEB-C15A51FCC7E6}"/>
    <cellStyle name="_TableHead" xfId="40" xr:uid="{9A941729-D401-476E-99C2-2C430E9CD848}"/>
    <cellStyle name="_TableHead_09-08-04 Comp Sheet" xfId="1049" xr:uid="{BBB9266A-C482-4BBC-8B7F-8C0B25C0B189}"/>
    <cellStyle name="_TableHead_12 Food Deal Comp" xfId="41" xr:uid="{1CFE4D6C-062E-41C1-B101-7CDF9A75AB3E}"/>
    <cellStyle name="_TableHead_12 Food Deal Comp 2" xfId="1358" xr:uid="{9F7BA7A8-5E9A-461C-8BDF-AA9D476B20B9}"/>
    <cellStyle name="_TableHead_12-30-05 Telecom Serv Comp Sheet" xfId="1050" xr:uid="{7C79C28F-64FE-4BAF-A997-262C08DC6975}"/>
    <cellStyle name="_TableHead_15 Furniture CSC (06-Dec-2005)" xfId="42" xr:uid="{46B2213E-9484-45AE-8782-90D8D1D51787}"/>
    <cellStyle name="_TableHead_15 Furniture CSC (06-Dec-2005) 2" xfId="1359" xr:uid="{F71DDDF2-846E-43EB-813A-2D51E256A54C}"/>
    <cellStyle name="_TableHead_Airports Dealcomp" xfId="43" xr:uid="{3426A967-889F-43FA-AF2E-153715C29754}"/>
    <cellStyle name="_TableHead_Airports Dealcomp 2" xfId="1360" xr:uid="{73529A0B-E4EA-4A69-91BF-0B03E6241F8D}"/>
    <cellStyle name="_TableHead_BLS" xfId="1051" xr:uid="{19823B86-4D1E-4C82-955D-6C8D2AD74DA0}"/>
    <cellStyle name="_TableHead_bls roic" xfId="1052" xr:uid="{52E487BE-8086-436B-9808-CF65EA110D1F}"/>
    <cellStyle name="_TableHead_Book9" xfId="1053" xr:uid="{5A291286-6757-445A-A19E-715D5DB4645D}"/>
    <cellStyle name="_TableHead_Broadband Comps" xfId="1054" xr:uid="{967760F3-F42C-4B6A-AEED-FC2C012C2A51}"/>
    <cellStyle name="_TableHead_capital expenditures 6-18-02" xfId="1055" xr:uid="{6E3988BF-B2CC-4384-818D-61D37EB198C8}"/>
    <cellStyle name="_TableHead_CTCO" xfId="1056" xr:uid="{7E7CC9AD-81A6-43D5-B961-BFD60961C6CD}"/>
    <cellStyle name="_TableHead_MCI" xfId="1057" xr:uid="{09030742-36A2-49F2-AD92-A3C364C2B4A5}"/>
    <cellStyle name="_TableHead_Q" xfId="1058" xr:uid="{AD81469F-A030-48AB-8FFE-A46241945A67}"/>
    <cellStyle name="_TableHead_q - new guidance" xfId="1059" xr:uid="{0543E4F0-B1A2-4424-9312-691215A0559C}"/>
    <cellStyle name="_TableHead_q - valuation" xfId="1060" xr:uid="{238E49FB-D503-4754-945F-CD008296322C}"/>
    <cellStyle name="_TableHead_Q model_041802" xfId="1061" xr:uid="{C497B301-1E66-4F69-A4D0-B1F64D2645BE}"/>
    <cellStyle name="_TableHead_Q_update" xfId="1062" xr:uid="{075A1FC8-9783-4828-B4CE-4A3DB0C9F8C2}"/>
    <cellStyle name="_TableHead_Qwest Analysis" xfId="1063" xr:uid="{77EC9CC6-340E-4313-9FA5-D6DB30023330}"/>
    <cellStyle name="_TableHead_RBOC historicals" xfId="1064" xr:uid="{2F7918F0-23B9-41BB-AF85-53BF46854B95}"/>
    <cellStyle name="_TableHead_T" xfId="1065" xr:uid="{78F71F60-279D-4BA5-8DBB-011A6E1709B3}"/>
    <cellStyle name="_TableHead_T - new" xfId="1066" xr:uid="{EF4A0B07-23D8-44D3-ABA3-4E4A20570170}"/>
    <cellStyle name="_TableHead_Telco Scenario analysis1" xfId="1067" xr:uid="{B73EA1E8-7FBF-4ADE-A08D-5F163C0052DD}"/>
    <cellStyle name="_TableHead_Updated CSC Template" xfId="44" xr:uid="{10F756F7-EDF5-4273-A1A8-76428DE05BDF}"/>
    <cellStyle name="_TableHead_Updated CSC Template 2" xfId="1361" xr:uid="{89A9A607-246C-4787-AB74-F666F8DC6394}"/>
    <cellStyle name="_TableHead_VZ" xfId="1068" xr:uid="{B54650DE-ADD2-48FF-AC2D-E246703B3C74}"/>
    <cellStyle name="_TableRowBorder" xfId="1069" xr:uid="{6BA0C091-F853-4D8E-AC41-7A6FF01C8219}"/>
    <cellStyle name="_TableRowHead" xfId="45" xr:uid="{4BDC08FE-E9E0-49DB-BB0E-561FF3121172}"/>
    <cellStyle name="_TableRowHead_09-08-04 Comp Sheet" xfId="1070" xr:uid="{70340D60-BC9E-4708-9F2F-F426CB55A6DB}"/>
    <cellStyle name="_TableRowHead_12 Food Deal Comp" xfId="46" xr:uid="{E3F4A09F-DCE8-4EE0-B43A-40733EA88D7E}"/>
    <cellStyle name="_TableRowHead_12 Food Deal Comp 2" xfId="1362" xr:uid="{AE21DC75-0CE0-4671-9DEE-6C9E754CDDA4}"/>
    <cellStyle name="_TableRowHead_12-30-05 Telecom Serv Comp Sheet" xfId="1071" xr:uid="{522121E4-AE0C-458F-83C4-7EC234515D5E}"/>
    <cellStyle name="_TableRowHead_15 Furniture CSC (06-Dec-2005)" xfId="47" xr:uid="{86677590-499B-4CCB-95A8-F0CEC115C60C}"/>
    <cellStyle name="_TableRowHead_15 Furniture CSC (06-Dec-2005) 2" xfId="1363" xr:uid="{312560D8-8350-4175-A653-5A56DE111D25}"/>
    <cellStyle name="_TableRowHead_Airports Dealcomp" xfId="48" xr:uid="{4C939703-7F9B-46EC-A134-25F540C3A78B}"/>
    <cellStyle name="_TableRowHead_Airports Dealcomp 2" xfId="1364" xr:uid="{CD7E029A-C373-4502-8B03-E7D842174E61}"/>
    <cellStyle name="_TableRowHead_BLS" xfId="1072" xr:uid="{11A86933-C0E9-45C6-899E-2853DC6128F1}"/>
    <cellStyle name="_TableRowHead_bls roic" xfId="1073" xr:uid="{56D35F2D-B3FA-4B58-B6B0-4995DB6B98C7}"/>
    <cellStyle name="_TableRowHead_Book9" xfId="1074" xr:uid="{57DB3F91-0F84-491C-A29B-F905ED3028B0}"/>
    <cellStyle name="_TableRowHead_Broadband Comps" xfId="1075" xr:uid="{975FF7E1-CB51-4EA4-B5CE-E2A5768401AA}"/>
    <cellStyle name="_TableRowHead_capital expenditures 6-18-02" xfId="1076" xr:uid="{8C5CCD45-BE71-491E-A35B-1A9C96543372}"/>
    <cellStyle name="_TableRowHead_CTCO" xfId="1077" xr:uid="{F81E3F59-32C1-4FE5-B4F7-4AD9AA166906}"/>
    <cellStyle name="_TableRowHead_MCI" xfId="1078" xr:uid="{84552ECA-9DA7-427E-9EF7-DBB56998A57A}"/>
    <cellStyle name="_TableRowHead_Q" xfId="1079" xr:uid="{BD82F495-AEDC-448D-BEB5-780F88D0009D}"/>
    <cellStyle name="_TableRowHead_q - new guidance" xfId="1080" xr:uid="{691658C2-407E-4DCF-89F5-EA48BC89F281}"/>
    <cellStyle name="_TableRowHead_q - valuation" xfId="1081" xr:uid="{C78FF8CC-4208-4CE0-985C-54D244D9ED80}"/>
    <cellStyle name="_TableRowHead_Q model_041802" xfId="1082" xr:uid="{3200460B-C5F6-4259-B8C4-9ADE4F0D9F8F}"/>
    <cellStyle name="_TableRowHead_Q_update" xfId="1083" xr:uid="{2DAEA46C-1DA3-419A-840D-C54EE6BC2B1E}"/>
    <cellStyle name="_TableRowHead_Qwest Analysis" xfId="1084" xr:uid="{D3047D68-7433-4658-A4E0-5D7D66F6021D}"/>
    <cellStyle name="_TableRowHead_RBOC historicals" xfId="1085" xr:uid="{C2C0CFC9-8A29-409C-BFD6-DFF913737D4D}"/>
    <cellStyle name="_TableRowHead_T" xfId="1086" xr:uid="{506D7D2C-5EF5-4612-B2D6-5DC1743CD555}"/>
    <cellStyle name="_TableRowHead_T - new" xfId="1087" xr:uid="{1ADC3F5B-6985-45A5-80DE-D135EFFF03B3}"/>
    <cellStyle name="_TableRowHead_Telco Scenario analysis1" xfId="1088" xr:uid="{2A5E1C55-BD98-4E2B-B7F7-375470D287B6}"/>
    <cellStyle name="_TableRowHead_Updated CSC Template" xfId="49" xr:uid="{B7B55E59-D08D-4CDA-A1E5-E0FE288A3292}"/>
    <cellStyle name="_TableRowHead_Updated CSC Template 2" xfId="1365" xr:uid="{939CCE61-AA06-4B32-9BC4-FAB60C350C70}"/>
    <cellStyle name="_TableRowHead_VZ" xfId="1089" xr:uid="{3B005ECF-CBED-486E-AE06-8061E80BBBF7}"/>
    <cellStyle name="_TableSuperHead" xfId="50" xr:uid="{E64F824E-B7FB-4851-B4B3-4E70F26A7945}"/>
    <cellStyle name="_TableSuperHead_09-08-04 Comp Sheet" xfId="1090" xr:uid="{3E9D448C-2A31-4847-A24E-5B5D23E45E04}"/>
    <cellStyle name="_TableSuperHead_12 Food Deal Comp" xfId="51" xr:uid="{0274B8AA-4BAF-4E75-B083-B38B6220C450}"/>
    <cellStyle name="_TableSuperHead_12 Food Deal Comp 2" xfId="1366" xr:uid="{313488D5-4D5B-4AE8-8FA5-E5CDBA8F8F81}"/>
    <cellStyle name="_TableSuperHead_12-30-05 Telecom Serv Comp Sheet" xfId="1091" xr:uid="{F0FB40C3-D62F-4EB8-AA6B-808DF3A04574}"/>
    <cellStyle name="_TableSuperHead_15 Furniture CSC (06-Dec-2005)" xfId="52" xr:uid="{04A83791-694A-4C73-868E-A5E10AB16AA4}"/>
    <cellStyle name="_TableSuperHead_15 Furniture CSC (06-Dec-2005) 2" xfId="1367" xr:uid="{45F88678-3F18-4C64-88E5-C514BE4818A7}"/>
    <cellStyle name="_TableSuperHead_Ability to Pay Analysis" xfId="329" xr:uid="{CED8897B-7947-4A1C-93A6-E5E8B5DAB027}"/>
    <cellStyle name="_TableSuperHead_Airports Dealcomp" xfId="53" xr:uid="{9620B108-4C7A-461A-94A7-DF33DC5ABEE3}"/>
    <cellStyle name="_TableSuperHead_Airports Dealcomp 2" xfId="1368" xr:uid="{B1F0786E-1222-48D8-B2BB-2CC8854111C2}"/>
    <cellStyle name="_TableSuperHead_BankUnited Model" xfId="330" xr:uid="{C1042321-D8C8-48EF-8D4C-628BD68B6D0E}"/>
    <cellStyle name="_TableSuperHead_BLS" xfId="1092" xr:uid="{A4B82397-A3C2-419A-BFA4-E6CB212DBB15}"/>
    <cellStyle name="_TableSuperHead_bls roic" xfId="1093" xr:uid="{FF3D6954-53EF-4DEB-8D2D-E96FB2088F0B}"/>
    <cellStyle name="_TableSuperHead_Book9" xfId="1094" xr:uid="{469F864E-301B-433E-9A0F-610366EA61A2}"/>
    <cellStyle name="_TableSuperHead_Broadband Comps" xfId="1095" xr:uid="{EB3A7F7A-19BD-40BF-92AC-AC860444C67D}"/>
    <cellStyle name="_TableSuperHead_capital expenditures 6-18-02" xfId="1096" xr:uid="{04154B8D-F920-40FD-8D33-1CA4487B8679}"/>
    <cellStyle name="_TableSuperHead_CTCO" xfId="1097" xr:uid="{5855B14C-A08B-4A86-9835-38F4FD83D2DE}"/>
    <cellStyle name="_TableSuperHead_fmbi counties" xfId="331" xr:uid="{759BECB1-0D70-4145-B2CC-E333942F5DE8}"/>
    <cellStyle name="_TableSuperHead_MCI" xfId="1098" xr:uid="{0CF3D5E5-4DC5-4DFC-821F-7BC01E4CB3F0}"/>
    <cellStyle name="_TableSuperHead_Q" xfId="1099" xr:uid="{0370EC36-B121-4EFB-8AB7-0F6F214A6677}"/>
    <cellStyle name="_TableSuperHead_q - new guidance" xfId="1100" xr:uid="{A36328BF-4BB4-4971-9343-E4928999DB05}"/>
    <cellStyle name="_TableSuperHead_q - valuation" xfId="1101" xr:uid="{25960299-47EF-4E71-82EF-D8677D5BD852}"/>
    <cellStyle name="_TableSuperHead_Q model_041802" xfId="1102" xr:uid="{73F73370-5B41-4D75-81A6-48DBE1D93AF3}"/>
    <cellStyle name="_TableSuperHead_Q_update" xfId="1103" xr:uid="{0F3BE62E-A8D2-4E04-BF12-A6E293250478}"/>
    <cellStyle name="_TableSuperHead_Qwest Analysis" xfId="1104" xr:uid="{6D1CB231-99EF-4B7D-AE63-91A391BFC04C}"/>
    <cellStyle name="_TableSuperHead_RBOC historicals" xfId="1105" xr:uid="{C69B32D9-2B6F-404D-A0F8-96463193D127}"/>
    <cellStyle name="_TableSuperHead_T" xfId="1106" xr:uid="{592DAE8D-BD90-4D6E-8BD6-DECD26B22E96}"/>
    <cellStyle name="_TableSuperHead_T - new" xfId="1107" xr:uid="{6A962DE2-92F7-462A-9332-509C5453B6F3}"/>
    <cellStyle name="_TableSuperHead_Telco Scenario analysis1" xfId="1108" xr:uid="{192D208E-E62D-4E9E-ADF3-371DBED1394E}"/>
    <cellStyle name="_TableSuperHead_Updated CSC Template" xfId="54" xr:uid="{95031429-D167-4335-9F47-BEE065B51CB1}"/>
    <cellStyle name="_TableSuperHead_Updated CSC Template 2" xfId="1369" xr:uid="{4564BF15-77A5-4667-A59F-09CB383F7EB7}"/>
    <cellStyle name="_TableSuperHead_VZ" xfId="1109" xr:uid="{9674EA9B-212C-4E8C-A22F-F00C86B4418A}"/>
    <cellStyle name="_TableSuperHead_xratio - historical mkt val" xfId="332" xr:uid="{39027482-3FC3-4B9A-8EC2-2C733C14517F}"/>
    <cellStyle name="£3places" xfId="1110" xr:uid="{D01CCDF6-8E68-4469-8B38-A725501BD325}"/>
    <cellStyle name="=C:\WINNT\SYSTEM32\COMMAND.COM" xfId="1111" xr:uid="{3918AB2F-C43F-4F2F-BAF6-8A7D193FFF91}"/>
    <cellStyle name="§Q\?1@" xfId="1112" xr:uid="{C0FA9337-88D2-40D6-A446-03CF95533D7A}"/>
    <cellStyle name="0%" xfId="1113" xr:uid="{3F191859-372C-444D-8CD3-F6BEC5D7CED5}"/>
    <cellStyle name="0.0" xfId="1114" xr:uid="{D5B10861-EF87-4FD6-B8DF-8E4DAB906147}"/>
    <cellStyle name="0.0%" xfId="1115" xr:uid="{01351707-BF13-4658-99CE-03287EDD5708}"/>
    <cellStyle name="0.0_CASH FLOW" xfId="1116" xr:uid="{60581873-8C12-4FA1-94F7-EAD428466014}"/>
    <cellStyle name="0.00%" xfId="1117" xr:uid="{9D85F316-D863-4631-9CBC-8F96296FD66F}"/>
    <cellStyle name="0.00;(0.00)" xfId="1118" xr:uid="{EBEE4601-2346-444A-8DFC-9BAADFDF427D}"/>
    <cellStyle name="0.00_);(0.00)" xfId="1119" xr:uid="{19D883BB-A190-403B-9F82-E16C7E1BC909}"/>
    <cellStyle name="1" xfId="1120" xr:uid="{55014315-B39C-45EA-9379-9B188BD0F8DB}"/>
    <cellStyle name="1 Decimal" xfId="1121" xr:uid="{97BC1AD9-12B3-4AAB-A5FB-8799990857BA}"/>
    <cellStyle name="1,000" xfId="1122" xr:uid="{9F19BDA2-3061-441B-A626-FB60F1DD7373}"/>
    <cellStyle name="1,000x" xfId="1123" xr:uid="{6B7B332C-5E8F-40EF-AE46-E7D5CA7F5D79}"/>
    <cellStyle name="2 Decimals" xfId="1124" xr:uid="{E4EED062-DE4D-4A8E-970D-EB26FE6EC440}"/>
    <cellStyle name="20% - Accent1 2" xfId="55" xr:uid="{40CBEAEC-5C41-4505-A14C-9A88D5049717}"/>
    <cellStyle name="20% - Accent2 2" xfId="56" xr:uid="{C4FD8AB5-3D12-4A47-893F-1011D4AF6F50}"/>
    <cellStyle name="20% - Accent3 2" xfId="57" xr:uid="{861FF324-07C1-4C5A-81DD-38DCC212FEDB}"/>
    <cellStyle name="20% - Accent4 2" xfId="58" xr:uid="{49734BEB-4E9D-4024-9014-818E94B7A1B7}"/>
    <cellStyle name="20% - Accent5 2" xfId="59" xr:uid="{8C9815CF-D1D8-43FB-B897-5C8DCC2C37B0}"/>
    <cellStyle name="20% - Accent6 2" xfId="60" xr:uid="{3820D2D2-5574-44F2-9CB1-500E664D014D}"/>
    <cellStyle name="3 Decimals" xfId="1125" xr:uid="{E021DDC0-51CA-482F-9945-9ABFD8C38278}"/>
    <cellStyle name="40% - Accent1 2" xfId="61" xr:uid="{8E0550F0-187F-4274-ADC0-5A4FE36FDDEF}"/>
    <cellStyle name="40% - Accent2 2" xfId="1370" xr:uid="{539D3FBC-1165-4BF7-B565-ECA226D2F698}"/>
    <cellStyle name="40% - Accent2 2 2" xfId="1371" xr:uid="{D440C9A5-404D-4861-B90E-10CACCAE7D00}"/>
    <cellStyle name="40% - Accent2 3" xfId="62" xr:uid="{DAA4FA52-14FF-41AF-A0A7-CEA9ADD2A1FA}"/>
    <cellStyle name="40% - Accent3 2" xfId="63" xr:uid="{7CD3E537-A364-4D66-9B68-1F17F9A5668E}"/>
    <cellStyle name="40% - Accent4 2" xfId="64" xr:uid="{64388313-7B1B-4C73-A6A4-946EE2E2D3F5}"/>
    <cellStyle name="40% - Accent5 2" xfId="65" xr:uid="{6D407044-C3D8-460C-9EC9-76655FA3165F}"/>
    <cellStyle name="40% - Accent6 2" xfId="66" xr:uid="{D692CCDE-997D-46D4-8D06-0143997940B7}"/>
    <cellStyle name="60% - Accent1 2" xfId="67" xr:uid="{0DD61176-F451-4DAC-B3E0-ED12C8B98939}"/>
    <cellStyle name="60% - Accent2 2" xfId="68" xr:uid="{53EF9001-53E3-4743-A40D-57B97A31E506}"/>
    <cellStyle name="60% - Accent3 2" xfId="69" xr:uid="{9A6CED33-1D09-496F-AD3D-AD51AE275DEB}"/>
    <cellStyle name="60% - Accent4 2" xfId="70" xr:uid="{D2DDFBCC-433D-4EA5-9066-8D38EED9F073}"/>
    <cellStyle name="60% - Accent5 2" xfId="71" xr:uid="{9603E37D-A98C-4AF3-A79C-0AC9651D6AB2}"/>
    <cellStyle name="60% - Accent6 2" xfId="72" xr:uid="{F92D429E-501A-468D-AEEA-B6A64FFE1376}"/>
    <cellStyle name="a" xfId="1126" xr:uid="{A64AA0B1-2903-4641-B8AE-516AF38BE9A2}"/>
    <cellStyle name="A Table" xfId="1127" xr:uid="{1F0885D4-2B8F-4D35-9159-407D8FC6676C}"/>
    <cellStyle name="A$2places" xfId="1128" xr:uid="{49FF142E-611C-4D6F-BB8F-E4B832001E9F}"/>
    <cellStyle name="A$3places" xfId="1129" xr:uid="{180173B4-07A7-482F-9721-935C77C298B8}"/>
    <cellStyle name="a_CASH FLOW" xfId="1130" xr:uid="{0797A3C1-4524-407F-8252-22116F54D9E4}"/>
    <cellStyle name="a_NPAT&amp;EPS" xfId="1131" xr:uid="{C5F59A8C-0781-4267-A425-4F51FBCD50DD}"/>
    <cellStyle name="Accent1 2" xfId="73" xr:uid="{BEAA90BF-1DC3-445A-B53B-B180E898EEF0}"/>
    <cellStyle name="Accent2 2" xfId="74" xr:uid="{200E063D-70AA-40BA-AB65-298BD7956B91}"/>
    <cellStyle name="Accent3 2" xfId="75" xr:uid="{D4CADAD8-647A-41E1-B3B6-58E36450EF9A}"/>
    <cellStyle name="Accent4 2" xfId="76" xr:uid="{3B40AFA6-126D-4636-90FC-BC60D9330782}"/>
    <cellStyle name="Accent5 2" xfId="77" xr:uid="{5DEA05EB-958F-4D88-9645-320823075A7B}"/>
    <cellStyle name="Accent6 2" xfId="78" xr:uid="{9BAE3400-3636-4DBC-9C33-62E9C94B163B}"/>
    <cellStyle name="Actual data" xfId="333" xr:uid="{ECE1CE14-BB4C-40D4-A145-FCA8E81BDC79}"/>
    <cellStyle name="Actual year" xfId="334" xr:uid="{A2663345-5E2A-42A3-958A-52EB90204A00}"/>
    <cellStyle name="Actuals Cells" xfId="335" xr:uid="{FD02CDBC-AF94-4118-A5BE-111A866E1A8E}"/>
    <cellStyle name="Adj L1" xfId="1132" xr:uid="{D9E4737A-F024-4506-81C1-01613201619F}"/>
    <cellStyle name="Adj L2" xfId="1133" xr:uid="{E625CA9C-2C91-43EB-A442-8D286069E6E1}"/>
    <cellStyle name="Adj L3" xfId="1134" xr:uid="{CED8B9D3-9E5C-40F0-8698-53F3548F385B}"/>
    <cellStyle name="Adj Space" xfId="1135" xr:uid="{FE4F691A-97E9-43B5-BCC4-528645A1F35E}"/>
    <cellStyle name="AFE" xfId="336" xr:uid="{3614936A-00A7-4E78-BF34-BA395646C4BA}"/>
    <cellStyle name="afl" xfId="337" xr:uid="{88EE960B-BA16-4C4D-9FAB-B3F350F5AFFB}"/>
    <cellStyle name="Analyst_Data" xfId="1136" xr:uid="{469543AE-E975-4F1B-8961-85AB8E47CD9A}"/>
    <cellStyle name="Andre's Title" xfId="338" xr:uid="{D55272BF-ECF0-4458-A03A-B719AB436A99}"/>
    <cellStyle name="Arial" xfId="1137" xr:uid="{E9790537-9DE2-4903-BECB-71D78F746753}"/>
    <cellStyle name="Arial 10" xfId="1138" xr:uid="{BBD9CF28-6809-4F3F-A435-10B07A907F28}"/>
    <cellStyle name="B Table" xfId="1139" xr:uid="{4DDD10C3-4371-44AE-8C65-4CFA5B81E117}"/>
    <cellStyle name="Bad 2" xfId="129" xr:uid="{34EEBF6C-F9EB-4E3F-9A3F-AFF0717E8B6B}"/>
    <cellStyle name="Bad 2 2" xfId="1372" xr:uid="{FE3C79D7-1019-4769-B345-83A3FB5D61FB}"/>
    <cellStyle name="Bad 2 3" xfId="1373" xr:uid="{B7541415-1E2E-4A3C-8218-C315BE8A7E4C}"/>
    <cellStyle name="Bad 3" xfId="79" xr:uid="{FDB7C0C7-995C-4173-9102-E8AED4C54B60}"/>
    <cellStyle name="BalanceSheet" xfId="1140" xr:uid="{7878E288-C46F-4393-BC63-0F28A85A3224}"/>
    <cellStyle name="Black" xfId="1141" xr:uid="{7AAF71B7-8B35-490F-BCAD-BC83EBE8CF53}"/>
    <cellStyle name="Blank" xfId="339" xr:uid="{EF291668-4967-4C84-8D7E-38A5164A1F04}"/>
    <cellStyle name="Blue" xfId="340" xr:uid="{55BE0775-A612-48B4-8D7B-13CC6EC4E188}"/>
    <cellStyle name="Blue Title" xfId="341" xr:uid="{983E2C25-A14F-4FE7-8B93-2DF3C1F1C82C}"/>
    <cellStyle name="Border_Current" xfId="1142" xr:uid="{60B2D879-CF39-46B2-A8B8-3E9A1D463EE4}"/>
    <cellStyle name="Bottom bold border_Schedule 1" xfId="1143" xr:uid="{FFC044B6-C528-4D31-B4D1-A1D087B5444F}"/>
    <cellStyle name="BRACKET" xfId="1144" xr:uid="{1E8254A1-10CD-4C40-81E1-09071AF0FEF2}"/>
    <cellStyle name="c" xfId="1145" xr:uid="{9B68EC97-5953-4B5A-AA52-E7D6839A38E9}"/>
    <cellStyle name="Calc Cells" xfId="342" xr:uid="{E1820CDA-51AD-4D07-B9F3-B08D66E598A3}"/>
    <cellStyle name="Calc Currency (0)" xfId="1146" xr:uid="{C0F6ADEE-139A-487D-8D0A-C3146F1C89FC}"/>
    <cellStyle name="Calculation 2" xfId="80" xr:uid="{60FED7BC-D74E-455C-8980-B7D394333CC8}"/>
    <cellStyle name="Case" xfId="343" xr:uid="{1EDD40EC-C2A7-4052-8B89-4C9FF7D33AC7}"/>
    <cellStyle name="CashFlow" xfId="1147" xr:uid="{D14FFAE7-286F-48BE-9FCA-BC4B293C54C7}"/>
    <cellStyle name="Check Cell 2" xfId="81" xr:uid="{8C05E86F-B89E-4D3C-93B8-12067B5571B4}"/>
    <cellStyle name="Co. Names" xfId="344" xr:uid="{7C5C2A91-1E4A-42DD-A077-037FC2C7FB4A}"/>
    <cellStyle name="Co. Names - Bold" xfId="345" xr:uid="{4852D780-F9BC-4F09-8A1B-AC1F6B6C6242}"/>
    <cellStyle name="Co. Names_Blend" xfId="346" xr:uid="{B9F641A8-3277-4E99-BAF1-5A91F64F48F8}"/>
    <cellStyle name="Code" xfId="1148" xr:uid="{5C4F2E90-17A3-4582-B98A-62F53A308706}"/>
    <cellStyle name="Code Section" xfId="1149" xr:uid="{F7C650D0-C558-4A51-8D46-5C5EB9C8B3CF}"/>
    <cellStyle name="Col Head" xfId="347" xr:uid="{4E39E258-D8EC-477C-88D5-0CD5144E2CDE}"/>
    <cellStyle name="Col head bold" xfId="1150" xr:uid="{5B3EB357-39E4-4627-BA52-062CFFB9B0FC}"/>
    <cellStyle name="Col head light" xfId="1151" xr:uid="{34B3FF73-82A7-4B92-A28F-C025F5988DFC}"/>
    <cellStyle name="ColGap" xfId="1152" xr:uid="{331C5B71-0B92-4519-8D4E-F0C5F13CB6F1}"/>
    <cellStyle name="ColHeadEntry" xfId="1153" xr:uid="{90B1FB49-E5B1-44C2-ADF8-3E355B2C00EC}"/>
    <cellStyle name="ColHeading" xfId="1154" xr:uid="{A7B9461A-603F-4A55-8A63-AE8E48024926}"/>
    <cellStyle name="ColHeadYear" xfId="1155" xr:uid="{54F1AA8C-D5AD-41E6-B0A0-2A783FF078DC}"/>
    <cellStyle name="Comma" xfId="1585" builtinId="3"/>
    <cellStyle name="Comma  - Style1" xfId="1156" xr:uid="{63592DD8-4C39-43B0-97A7-2051AF278BF7}"/>
    <cellStyle name="Comma  - Style2" xfId="1157" xr:uid="{4607E0A6-F936-49F3-AF17-54875C848E8A}"/>
    <cellStyle name="Comma  - Style3" xfId="1158" xr:uid="{1C36D6FA-6D3E-4504-904B-BAF7B1570B4A}"/>
    <cellStyle name="Comma  - Style4" xfId="1159" xr:uid="{11EA1BCD-C508-4799-B21E-60C5AA82FC66}"/>
    <cellStyle name="Comma  - Style5" xfId="1160" xr:uid="{F28D6717-1A56-4E05-93F3-2A7D0F2D3419}"/>
    <cellStyle name="Comma  - Style6" xfId="1161" xr:uid="{D54D6F33-7610-47E0-96D9-AE307FC7CF30}"/>
    <cellStyle name="Comma  - Style7" xfId="1162" xr:uid="{97F92958-772D-44E7-BA44-1233B7EFF557}"/>
    <cellStyle name="Comma  - Style8" xfId="1163" xr:uid="{16630750-650E-49A0-830A-FF2ACAB2BEDE}"/>
    <cellStyle name="comma (1)" xfId="1164" xr:uid="{0FBE5B3D-7764-42C1-B535-A84A58C172D8}"/>
    <cellStyle name="Comma [0] 2" xfId="1374" xr:uid="{29560C4D-5996-4AA0-9F8A-19DA3E770A1F}"/>
    <cellStyle name="Comma [0] 3" xfId="1428" xr:uid="{4E770B71-D2D8-4254-8FB8-2836D8C2D9AA}"/>
    <cellStyle name="Comma [1]" xfId="1165" xr:uid="{8AEBFE86-1069-4E95-9033-11CC4F1BBF01}"/>
    <cellStyle name="Comma 0" xfId="1166" xr:uid="{4FF693BA-BC6A-45B9-A74B-651125DC545C}"/>
    <cellStyle name="Comma 0*" xfId="1167" xr:uid="{DA5898E3-4101-4AF3-A03A-1CC488C32A7C}"/>
    <cellStyle name="Comma 0_ACCC" xfId="1168" xr:uid="{3055A49D-C22B-4212-B02F-ADD3786C1FB7}"/>
    <cellStyle name="Comma 10" xfId="1427" xr:uid="{B7A74DD1-A0B7-43B3-ABE4-7E98539B8D87}"/>
    <cellStyle name="Comma 11" xfId="1433" xr:uid="{F1F490A6-0291-4F12-862A-7CB9C250BF0B}"/>
    <cellStyle name="Comma 12" xfId="82" xr:uid="{3C6372D2-A80C-493F-8ADE-DB47CF007241}"/>
    <cellStyle name="Comma 13" xfId="1438" xr:uid="{9F0C9437-2CE1-47F6-8C87-AD7D2489AFF8}"/>
    <cellStyle name="Comma 14" xfId="1519" xr:uid="{FCF5D22E-F69E-416B-8711-1B4FCA12AF55}"/>
    <cellStyle name="Comma 15" xfId="1436" xr:uid="{1626FD4A-7CAB-4DAA-BE5B-D84A01AC743E}"/>
    <cellStyle name="Comma 16" xfId="1477" xr:uid="{73FE6049-9DA5-4CD8-AC95-C8C1BDED10E8}"/>
    <cellStyle name="Comma 17" xfId="1455" xr:uid="{D7A204D6-BC3D-4770-8E55-4EFE181CA494}"/>
    <cellStyle name="Comma 18" xfId="1481" xr:uid="{5EF66C55-9E56-44A4-8114-815F0830D64A}"/>
    <cellStyle name="Comma 19" xfId="1488" xr:uid="{B4A160DF-4265-4C51-BCA8-FFC90C36E0DC}"/>
    <cellStyle name="Comma 2" xfId="425" xr:uid="{828587AA-2E76-439D-BE8F-9871D511A53D}"/>
    <cellStyle name="Comma 2 2" xfId="1169" xr:uid="{81CCA388-159C-4D16-BA01-DDC0EA8401BA}"/>
    <cellStyle name="Comma 2 3" xfId="1375" xr:uid="{DC050305-1807-4511-8BF5-77B6BD10787E}"/>
    <cellStyle name="Comma 20" xfId="1485" xr:uid="{D666CB6A-1A48-4A35-8974-BD462B772695}"/>
    <cellStyle name="Comma 21" xfId="1453" xr:uid="{FDFA6832-72ED-46E3-9DEC-C0B0D1EE47A3}"/>
    <cellStyle name="Comma 22" xfId="1487" xr:uid="{F79E3534-3A0B-4E0A-8898-82FD5DA4CCDE}"/>
    <cellStyle name="Comma 23" xfId="1451" xr:uid="{40DBD3C6-C2D7-470E-9966-EFAC85BD7547}"/>
    <cellStyle name="Comma 24" xfId="1510" xr:uid="{9E2F4DB3-0E55-4D94-83C0-4EC64BC07708}"/>
    <cellStyle name="Comma 25" xfId="1446" xr:uid="{1CA04271-5E7B-48F2-84A2-CEF1DB38F350}"/>
    <cellStyle name="Comma 26" xfId="1532" xr:uid="{0095694E-6A27-4863-B711-3AEC0868E312}"/>
    <cellStyle name="Comma 27" xfId="1549" xr:uid="{9F73F1F4-4AC6-4246-8673-58826C787C2F}"/>
    <cellStyle name="Comma 28" xfId="1529" xr:uid="{89E57E7C-3809-4500-B91A-C956CD5BC08D}"/>
    <cellStyle name="Comma 29" xfId="1531" xr:uid="{9F63A434-F727-449A-BAD7-EBEDCCAA6435}"/>
    <cellStyle name="Comma 3" xfId="1376" xr:uid="{838DD8FB-8055-4E20-BFE1-41286AA5198C}"/>
    <cellStyle name="Comma 3 2" xfId="1377" xr:uid="{0A6DD0B6-F82F-49A7-8626-EC11E1C013F2}"/>
    <cellStyle name="Comma 30" xfId="1553" xr:uid="{293B65EE-F2C6-4506-ABA7-B2AD2913AD4D}"/>
    <cellStyle name="Comma 31" xfId="1544" xr:uid="{8D039F1F-BA34-455C-9087-54401BA3806A}"/>
    <cellStyle name="Comma 32" xfId="1578" xr:uid="{DB110AB8-8752-487C-9FDB-6C0237402D3A}"/>
    <cellStyle name="Comma 33" xfId="1566" xr:uid="{EE184A34-A1CF-485A-A20C-863A9D820AE9}"/>
    <cellStyle name="Comma 34" xfId="1547" xr:uid="{4EDE4169-FA89-4E1B-93B2-79548CFA220C}"/>
    <cellStyle name="Comma 35" xfId="1569" xr:uid="{532C5CE4-CA9B-45A2-BD5D-DF6AAB889EBE}"/>
    <cellStyle name="Comma 4" xfId="1378" xr:uid="{AFFF005D-5401-41AB-B3DE-32A5C82DE9A1}"/>
    <cellStyle name="Comma 5" xfId="1379" xr:uid="{43D3CBD0-B90E-4D5A-A017-9D708972ACEF}"/>
    <cellStyle name="Comma 6" xfId="1380" xr:uid="{10F388C1-CBED-4C43-92F8-F4C1B778983E}"/>
    <cellStyle name="Comma 7" xfId="1381" xr:uid="{B6FE190D-4EB0-49B3-AC36-ACC518F62D82}"/>
    <cellStyle name="Comma 8" xfId="1382" xr:uid="{1181EC69-EBFD-45BE-B9CA-7EA9098AE510}"/>
    <cellStyle name="Comma 9" xfId="1383" xr:uid="{3BFF5CA8-34B3-4F56-9594-9C717A1E84FF}"/>
    <cellStyle name="Comma(0)" xfId="1170" xr:uid="{CF591F5C-844B-4038-9613-A5D876E8CA23}"/>
    <cellStyle name="Comma(1)" xfId="1171" xr:uid="{B6EE424B-3298-46CD-AF7F-69914BF5E00A}"/>
    <cellStyle name="comma(2)" xfId="1172" xr:uid="{BF40C405-8A32-4846-B96C-E5EB8B146F0C}"/>
    <cellStyle name="Comma(3)" xfId="1173" xr:uid="{82E1C3B3-A65F-4D5E-86CA-04431B1B2A23}"/>
    <cellStyle name="Comma0" xfId="348" xr:uid="{3AE5EB9F-56AE-4222-9B83-6F1105193E2F}"/>
    <cellStyle name="Company" xfId="1174" xr:uid="{0CB3DA7A-9C88-4E3D-881A-B6885B4234A4}"/>
    <cellStyle name="Company name" xfId="349" xr:uid="{442076D0-42B7-4D4C-A992-36926831C166}"/>
    <cellStyle name="CompanyTitle" xfId="350" xr:uid="{D35C54D7-B2D1-4D7B-87F3-897E147B0619}"/>
    <cellStyle name="Copied" xfId="1175" xr:uid="{55EC9915-79AC-429F-8DA2-CA70E8664B31}"/>
    <cellStyle name="Cover Date" xfId="1176" xr:uid="{A1F1D8A9-F197-424E-9FF5-AC92CB9346C7}"/>
    <cellStyle name="Cover Subtitle" xfId="1177" xr:uid="{FA92A140-99B3-4B68-BB82-6256EE3C9F7E}"/>
    <cellStyle name="Cover Title" xfId="1178" xr:uid="{992C59D2-1C6F-4CD9-9371-ACA900A215B5}"/>
    <cellStyle name="CurRatio" xfId="1179" xr:uid="{97EB38DD-838B-4A20-9AE6-9B36C3DC085F}"/>
    <cellStyle name="Currency [0] 2" xfId="1384" xr:uid="{D8491243-1CC4-4641-A013-857552407A15}"/>
    <cellStyle name="Currency [0] 3" xfId="1426" xr:uid="{1D3C4DE8-A6B4-4A15-9679-D5FE91883093}"/>
    <cellStyle name="Currency [2]" xfId="351" xr:uid="{5276F9E5-EA2E-404E-84FF-8A84A27464D5}"/>
    <cellStyle name="Currency 0" xfId="1180" xr:uid="{8BC980C5-F8D7-4D05-998F-940A335FD000}"/>
    <cellStyle name="Currency 0.0" xfId="1181" xr:uid="{1CC17397-992D-4E19-8CF9-EE4B095245F7}"/>
    <cellStyle name="Currency 0_CASH FLOW" xfId="1182" xr:uid="{AB096907-E084-4AEB-90AC-66EEE053AE69}"/>
    <cellStyle name="Currency 10" xfId="1425" xr:uid="{7E42D41C-CD50-4723-8D75-037B28AA58B8}"/>
    <cellStyle name="Currency 11" xfId="1432" xr:uid="{22D25CA7-8D98-4ADB-B2C5-B1BB9667290F}"/>
    <cellStyle name="Currency 12" xfId="83" xr:uid="{CBF6B7B7-33CB-47F3-AA92-9D1CC19582F2}"/>
    <cellStyle name="Currency 13" xfId="1439" xr:uid="{2EDE4555-843A-42B8-B85B-2D1C6E38A12D}"/>
    <cellStyle name="Currency 14" xfId="1518" xr:uid="{31EA2CCD-992C-4A52-9D7A-F1C5A68279DE}"/>
    <cellStyle name="Currency 15" xfId="1437" xr:uid="{B25AF0A7-464A-48C7-B97B-2AF5D1410AE5}"/>
    <cellStyle name="Currency 16" xfId="1476" xr:uid="{8E81B17D-2456-4C09-82E7-6ED894024FC8}"/>
    <cellStyle name="Currency 17" xfId="1515" xr:uid="{98DDDA58-84E2-4F17-B8F8-AF21B45A9E1E}"/>
    <cellStyle name="Currency 18" xfId="1450" xr:uid="{E6D0440D-E1E6-4B2F-B72A-FF321E69624B}"/>
    <cellStyle name="Currency 19" xfId="1489" xr:uid="{94A03400-242E-4489-BA61-B6DD6D693978}"/>
    <cellStyle name="Currency 2" xfId="426" xr:uid="{8BB45B45-B9EC-472A-B397-BD522CBC85C1}"/>
    <cellStyle name="Currency 2 2" xfId="1385" xr:uid="{5D6A3E5D-AEAA-41DA-A09E-FA99FA2A204B}"/>
    <cellStyle name="Currency 20" xfId="1484" xr:uid="{2FAA13D3-66A1-4924-91BB-52337F6A91BC}"/>
    <cellStyle name="Currency 21" xfId="1454" xr:uid="{98583289-0F44-491A-BBAB-145D5F678569}"/>
    <cellStyle name="Currency 22" xfId="1486" xr:uid="{B142BECE-2D07-443C-9890-05AB019AB88D}"/>
    <cellStyle name="Currency 23" xfId="1452" xr:uid="{A501B726-0B3D-4E63-AB66-BB51C3A22C0A}"/>
    <cellStyle name="Currency 24" xfId="1505" xr:uid="{94EEE7FE-1F16-4018-B296-D488AFC2529B}"/>
    <cellStyle name="Currency 25" xfId="1472" xr:uid="{6595161A-986A-42E1-A3F6-10199E444225}"/>
    <cellStyle name="Currency 26" xfId="1533" xr:uid="{AC24E895-154C-4462-ABF8-744D02CB3E30}"/>
    <cellStyle name="Currency 27" xfId="1537" xr:uid="{1DE6C8E0-160A-467A-AF86-050FAE6880A0}"/>
    <cellStyle name="Currency 28" xfId="1579" xr:uid="{EA257333-4DE7-4B7C-835A-B7C6EAD25D05}"/>
    <cellStyle name="Currency 29" xfId="1571" xr:uid="{35B29E68-22F4-4C53-AEF1-C924A7A8115D}"/>
    <cellStyle name="Currency 3" xfId="1386" xr:uid="{5F22C640-6921-47F9-93C7-0CC07F2D8A82}"/>
    <cellStyle name="Currency 3 2" xfId="1387" xr:uid="{C46B2F54-DEAC-43F9-B370-E3114C834945}"/>
    <cellStyle name="Currency 30" xfId="1557" xr:uid="{285C606E-1CA4-4C00-966E-F3045FC0C2FA}"/>
    <cellStyle name="Currency 31" xfId="1564" xr:uid="{572280B2-52A1-48B3-850B-08A00F387B77}"/>
    <cellStyle name="Currency 32" xfId="1576" xr:uid="{EAAA927B-5A0C-4270-9434-6EDC7EE43988}"/>
    <cellStyle name="Currency 33" xfId="1538" xr:uid="{6075CD98-6856-4FB5-950B-0260D0DA24EC}"/>
    <cellStyle name="Currency 34" xfId="1556" xr:uid="{A003E13A-E2DD-4B4F-A597-CF8B80F5C4C5}"/>
    <cellStyle name="Currency 35" xfId="1534" xr:uid="{F9AA3100-6F69-4DC4-BBBA-88BBC80CFA0B}"/>
    <cellStyle name="Currency 4" xfId="1388" xr:uid="{443F4C01-B344-45A3-9F71-FE9C113683E6}"/>
    <cellStyle name="Currency 5" xfId="1389" xr:uid="{27EF20C2-3770-45FC-B93B-0D20AD442AD1}"/>
    <cellStyle name="Currency 6" xfId="1390" xr:uid="{079A3C75-B56F-47B6-B58A-CFBE1D650B56}"/>
    <cellStyle name="Currency 7" xfId="1391" xr:uid="{9946E9C4-C55F-4DF6-B1FC-200258E15BFE}"/>
    <cellStyle name="Currency 8" xfId="1392" xr:uid="{FEA06314-1419-4061-8113-718582D7AB01}"/>
    <cellStyle name="Currency 9" xfId="1393" xr:uid="{8B49F528-15DE-4C1C-ACFE-D92E34B0FF61}"/>
    <cellStyle name="Currency data 2" xfId="1183" xr:uid="{4E176857-F891-46F6-ADF9-A8197E9F5263}"/>
    <cellStyle name="currency(0)" xfId="1184" xr:uid="{D78C7DC8-7485-4938-99CF-F79AB1CA4DCF}"/>
    <cellStyle name="Currency(1)" xfId="1185" xr:uid="{E924B200-E444-418A-BC5F-75BB9E08EE6C}"/>
    <cellStyle name="Currency(2)" xfId="1186" xr:uid="{E60912D2-86E9-409F-ACB9-1DD138EA45B6}"/>
    <cellStyle name="Currency(2) 2" xfId="1500" xr:uid="{21143EA5-067D-4427-BC2B-0F69FD933FC5}"/>
    <cellStyle name="Currency0" xfId="352" xr:uid="{90EBE0B0-FEDA-4968-9DB5-EE553350E5C9}"/>
    <cellStyle name="Currency2" xfId="1187" xr:uid="{08618C68-F4FB-4A79-9807-3EE98CCCF723}"/>
    <cellStyle name="custom" xfId="1188" xr:uid="{0A25F46E-0C6A-4EFF-A526-AF9C64CEDB18}"/>
    <cellStyle name="D Table" xfId="1189" xr:uid="{48B0B4CA-C5D4-4228-864C-4A6B7830BA5B}"/>
    <cellStyle name="Data 0" xfId="1190" xr:uid="{EEB36A07-937F-4498-91AD-747B0CAF91E8}"/>
    <cellStyle name="Data 1" xfId="1191" xr:uid="{C5A4B460-C95C-4617-800C-7F1BF8B44AAC}"/>
    <cellStyle name="Data 2" xfId="1192" xr:uid="{115B2DFF-FD84-4861-B3D0-1AE4C1AB47B2}"/>
    <cellStyle name="Data est 0" xfId="1193" xr:uid="{41177518-06E8-4C22-8221-1B0BBB13F9AC}"/>
    <cellStyle name="Data est 1" xfId="1194" xr:uid="{23FEA1A9-8AAD-4FEB-AD30-C5E7252740B5}"/>
    <cellStyle name="Data est 2" xfId="1195" xr:uid="{C77C93BB-E7BB-4C6B-93C3-2C8637697845}"/>
    <cellStyle name="Data_0dp" xfId="1196" xr:uid="{E5E54A30-187F-4022-88F3-5A8A6B581960}"/>
    <cellStyle name="date" xfId="353" xr:uid="{A24B11F5-0DC9-47A1-A915-9DCBCD2597BE}"/>
    <cellStyle name="Date [mmm-yy]" xfId="1197" xr:uid="{6F250770-25AB-4B75-85A4-7F719DCE96CC}"/>
    <cellStyle name="Date 2" xfId="1198" xr:uid="{3882B420-B7FB-475B-A547-A9DDA695EB2E}"/>
    <cellStyle name="Date Aligned" xfId="1199" xr:uid="{F4F99AF1-BA86-494B-BCA5-66D6C68EE7F1}"/>
    <cellStyle name="Date dd-mm-yy" xfId="1200" xr:uid="{694EC049-2BAF-425C-855B-0A878B325617}"/>
    <cellStyle name="Date dd-mm-yy data" xfId="1201" xr:uid="{629D8C2A-FBC4-4201-A146-6B57E3D364C9}"/>
    <cellStyle name="Date Line" xfId="1202" xr:uid="{2ECF4147-8BFB-4A66-A049-E86AAB0F9C7E}"/>
    <cellStyle name="date_GSJBW NWS Other" xfId="1203" xr:uid="{7865F4CC-77F6-4CE8-8940-565EBC1588CB}"/>
    <cellStyle name="Dates" xfId="1204" xr:uid="{D4B03F27-085D-4BE6-A744-B1780D95169D}"/>
    <cellStyle name="DateYear" xfId="1205" xr:uid="{89EFB46A-E39B-4FD7-9BFE-3FB2229A9D10}"/>
    <cellStyle name="days" xfId="1206" xr:uid="{E276BE97-7EF6-48A2-9366-F8578ABDEECF}"/>
    <cellStyle name="Dec_0" xfId="1207" xr:uid="{41AAC0C4-8482-4969-8CCD-EA8230D28B0E}"/>
    <cellStyle name="default" xfId="354" xr:uid="{BF4794E3-A9AF-46E9-AEF4-BD6C34F9C19E}"/>
    <cellStyle name="Derive" xfId="1208" xr:uid="{A1CEF697-9350-4536-BBE4-5F273D2447FB}"/>
    <cellStyle name="Dollar" xfId="355" xr:uid="{7A53DF73-7FBA-4E7C-AAA4-E429CDF438E5}"/>
    <cellStyle name="DollarWhole" xfId="1209" xr:uid="{C8A065E9-FE46-4942-A1A4-D99D02495ED5}"/>
    <cellStyle name="Dotted Line" xfId="1210" xr:uid="{24FF8F65-C7A1-4E50-8746-D8F8D116C90F}"/>
    <cellStyle name="Duizenden" xfId="1211" xr:uid="{5233CDCF-10EA-4769-9D2F-E914B0EE19DE}"/>
    <cellStyle name="E" xfId="1212" xr:uid="{EBA767C5-6EE1-4C5E-899F-10E1B4F8813A}"/>
    <cellStyle name="E 2" xfId="1502" xr:uid="{F70886E3-EC35-4385-815C-7BFBF7D01672}"/>
    <cellStyle name="E_CASH FLOW" xfId="1213" xr:uid="{89D51EF0-7224-4E5E-A6DB-458FA5BAB641}"/>
    <cellStyle name="E_CASH FLOW 2" xfId="1503" xr:uid="{8FFD20CD-3299-428F-958E-E7B5EE164B1C}"/>
    <cellStyle name="E_NPAT&amp;EPS" xfId="1214" xr:uid="{EE7FC837-0038-4CC8-AB9C-B3EC7CB3A922}"/>
    <cellStyle name="E_NPAT&amp;EPS 2" xfId="1504" xr:uid="{A94B749E-2538-4422-A1D9-55D0EFC46F2A}"/>
    <cellStyle name="emp" xfId="356" xr:uid="{9A6F0A29-903F-40ED-AEC1-E54871E018EB}"/>
    <cellStyle name="Entered" xfId="1215" xr:uid="{35FC15FA-60F5-421C-B64F-AB916B901700}"/>
    <cellStyle name="Entries" xfId="1216" xr:uid="{3DF73D5A-6E78-4780-B7A3-3BA4A76D90B8}"/>
    <cellStyle name="Entry" xfId="1217" xr:uid="{7EA71181-7B46-4C8A-A313-AE5C5BBBC4E0}"/>
    <cellStyle name="EntryDesc" xfId="1218" xr:uid="{0C731814-5218-4A06-B260-F287D6FE6345}"/>
    <cellStyle name="EntryValue" xfId="1219" xr:uid="{31D081A5-FAD0-429E-A03F-4FE5CB02DA27}"/>
    <cellStyle name="EPS" xfId="1220" xr:uid="{EB69180C-50CC-4CE8-920F-B7A3485655C0}"/>
    <cellStyle name="EPSActual" xfId="1221" xr:uid="{63283E05-D083-4997-A3C0-74C60D1CA55A}"/>
    <cellStyle name="EPSEstimate" xfId="1222" xr:uid="{E43428F4-4D2A-4FB3-A82D-FB706B525220}"/>
    <cellStyle name="Euro" xfId="1223" xr:uid="{5B093725-2994-41CD-8AF0-CD37EF1BDF8A}"/>
    <cellStyle name="ExchRate" xfId="1224" xr:uid="{A2F3847B-F4E4-4E92-9C60-6669AB74BA39}"/>
    <cellStyle name="Explanatory Text 2" xfId="84" xr:uid="{49516D3A-EAE3-4910-9ECB-65F8829C5533}"/>
    <cellStyle name="External File Cells" xfId="357" xr:uid="{321BD931-E82E-435D-B99E-3B725204B192}"/>
    <cellStyle name="FF" xfId="1225" xr:uid="{5A8FD5D9-7534-4ABF-B1B4-69DA4ED690CB}"/>
    <cellStyle name="Financial" xfId="1226" xr:uid="{BC80BC01-0332-4D72-A303-0354F05F109A}"/>
    <cellStyle name="Fit" xfId="358" xr:uid="{3864ABA4-E0C9-41CA-ABD6-005088A9ADD5}"/>
    <cellStyle name="Fixed" xfId="359" xr:uid="{965EDF8D-1246-4467-B912-E70FF8FD7524}"/>
    <cellStyle name="folio" xfId="1227" xr:uid="{AF429021-BD65-4AF4-B599-0FF45BD5A33C}"/>
    <cellStyle name="Font_Actual" xfId="1228" xr:uid="{4A262F31-ACA0-4687-AD08-3381C9EA6B10}"/>
    <cellStyle name="Footer SBILogo1" xfId="1229" xr:uid="{AF29CA08-73B8-4C25-A520-BA94FF35D1CE}"/>
    <cellStyle name="Footer SBILogo2" xfId="1230" xr:uid="{A442D63C-BB5C-45BA-84C0-95BB594B76F6}"/>
    <cellStyle name="Footnote" xfId="1231" xr:uid="{578A6524-B90D-4008-983E-46CAF8410E6A}"/>
    <cellStyle name="Footnote Reference" xfId="1232" xr:uid="{6171C11A-4721-455B-BD01-B6613CEE25AE}"/>
    <cellStyle name="Footnote_ACCC" xfId="1233" xr:uid="{76AAB785-6B4F-471E-B8F1-E71DF62956A5}"/>
    <cellStyle name="Footnotes" xfId="360" xr:uid="{D8B9BEA9-19EE-4D52-8006-C2873E02DCB8}"/>
    <cellStyle name="Forecast Cells" xfId="361" xr:uid="{5B36F224-2AE9-4686-8FAE-AF7299911D57}"/>
    <cellStyle name="Fraction" xfId="85" xr:uid="{77B81355-2FD0-401E-B1D9-24716CEF0273}"/>
    <cellStyle name="Full" xfId="1234" xr:uid="{4B661F66-3A2D-4317-8A42-4C5AA9926AD0}"/>
    <cellStyle name="Fyear" xfId="1235" xr:uid="{B091F43E-57FD-4F81-8643-23CA08E40761}"/>
    <cellStyle name="Fyear 2" xfId="1506" xr:uid="{B910349C-29D4-4994-A065-CF87710B5C27}"/>
    <cellStyle name="G1_1999 figures" xfId="362" xr:uid="{28E8F8CF-5225-45D2-A91E-5F334DDC24C2}"/>
    <cellStyle name="General" xfId="1236" xr:uid="{B6C7A9EA-2073-4D05-AECD-54AF2A1E0AD8}"/>
    <cellStyle name="GIRExhibit-Bold" xfId="1313" xr:uid="{7FA9571A-3949-42ED-9265-EE483AE3EABF}"/>
    <cellStyle name="Good 2" xfId="127" xr:uid="{44A7C03C-69EE-4BB6-A283-9D7519B652EC}"/>
    <cellStyle name="Good 2 2" xfId="1394" xr:uid="{A02EA616-0883-4A4D-B806-CD1CE31AE65F}"/>
    <cellStyle name="Good 3" xfId="86" xr:uid="{CC908BF2-CADA-4D45-B57C-E16E330F005E}"/>
    <cellStyle name="Grey" xfId="1237" xr:uid="{7126BE28-662F-479D-A8B7-205EB937BF90}"/>
    <cellStyle name="GrowthRate" xfId="1238" xr:uid="{0772A49E-E51A-4AF9-9649-12F10AC06760}"/>
    <cellStyle name="GrowthSeq" xfId="1239" xr:uid="{98E799F4-8F37-41D8-B115-305040BD4E13}"/>
    <cellStyle name="H_1998_col_head" xfId="363" xr:uid="{2DD26D1E-2FEE-4C37-A5F3-7385CE1F0188}"/>
    <cellStyle name="H_1999_col_head" xfId="364" xr:uid="{C888FD69-9731-4AEC-A174-CF0D128D457E}"/>
    <cellStyle name="H1_1998 figures" xfId="365" xr:uid="{06B7C719-3989-4E5D-AC75-85D46CACBD0C}"/>
    <cellStyle name="HALF" xfId="1240" xr:uid="{E13CC05A-E2D8-4039-9C02-A7DEA3F4DDD6}"/>
    <cellStyle name="hard no." xfId="1241" xr:uid="{001F056E-5ACD-4E4F-B3A4-3573989157B6}"/>
    <cellStyle name="Hard Percent" xfId="1242" xr:uid="{6D6390ED-A821-4A8C-8CD5-5F56B1E94C2D}"/>
    <cellStyle name="Head 1" xfId="1243" xr:uid="{718DB0B5-BFF2-4FB9-80DD-E572EFAC9513}"/>
    <cellStyle name="Head 2" xfId="1244" xr:uid="{FBCD72E3-B28A-46AF-BBBD-E1B7BC0D227F}"/>
    <cellStyle name="Head 3" xfId="1245" xr:uid="{97A6D9C7-012C-463A-B233-31BEA2ADA78C}"/>
    <cellStyle name="Header" xfId="87" xr:uid="{65F44B84-9589-4D48-BFD2-05FF811A07B6}"/>
    <cellStyle name="Header Draft Stamp" xfId="1246" xr:uid="{2EC94655-41E4-416E-9A95-9AC68F99EEDA}"/>
    <cellStyle name="Header_ACCC" xfId="1247" xr:uid="{E95EB769-F5D8-4783-8A73-8334229FF611}"/>
    <cellStyle name="Header1" xfId="1248" xr:uid="{3B9B164E-8B7C-450D-9CCB-BE7EEFE60120}"/>
    <cellStyle name="Header2" xfId="1249" xr:uid="{8FE35A6C-05E6-4202-AF92-F04DF8B86247}"/>
    <cellStyle name="Heading" xfId="366" xr:uid="{8E637B2B-5AEB-4D1A-8592-78778405ADAD}"/>
    <cellStyle name="Heading - Model" xfId="1250" xr:uid="{AFFC3841-5AB2-4F76-85F4-A9577E58EE34}"/>
    <cellStyle name="Heading 1 2" xfId="88" xr:uid="{F304E102-089E-4B37-ACDC-36319782B4FE}"/>
    <cellStyle name="Heading 2 2" xfId="89" xr:uid="{4DDEA7F7-1A58-4134-9A81-DDFF0C8AF632}"/>
    <cellStyle name="Heading 3 2" xfId="90" xr:uid="{E4202176-51AF-4C2D-B8C0-C34A84C52BD1}"/>
    <cellStyle name="Heading 4 2" xfId="91" xr:uid="{6EFA633B-ADEE-46F9-8662-3C7280CF99F4}"/>
    <cellStyle name="Heading1" xfId="367" xr:uid="{B74F652B-FF81-4B1D-B5BB-F5719CA8CEC1}"/>
    <cellStyle name="Heading2" xfId="1251" xr:uid="{683ABCA8-4B17-4106-B812-938F99A34EC3}"/>
    <cellStyle name="Hyperlink 2" xfId="1312" xr:uid="{773AD6A6-AF5C-4695-B580-2E91A32AD936}"/>
    <cellStyle name="Hyperlink 3" xfId="1311" xr:uid="{E6D19D26-2369-41FF-B66E-E7044D8B94CC}"/>
    <cellStyle name="Income" xfId="1252" xr:uid="{E3792ABB-CD57-4FE3-9436-85FBA6C883B9}"/>
    <cellStyle name="Input [yellow]" xfId="1253" xr:uid="{E4C2ED2E-5B5F-419A-9901-ED8B8E7A65C5}"/>
    <cellStyle name="Input 10" xfId="1462" xr:uid="{EDC9603C-05DE-4261-BA26-F5CD2769024E}"/>
    <cellStyle name="Input 11" xfId="1471" xr:uid="{61999FF2-44ED-45D8-A615-FFC1FE745E22}"/>
    <cellStyle name="Input 12" xfId="1458" xr:uid="{2698099D-3249-4E01-93A1-C34E51E32F03}"/>
    <cellStyle name="Input 13" xfId="1479" xr:uid="{CBD176FB-0013-4A2E-BB17-9728A5886F2C}"/>
    <cellStyle name="Input 14" xfId="1492" xr:uid="{7A9D414B-B68E-4EF9-B5DD-551F1D7277D6}"/>
    <cellStyle name="Input 15" xfId="1483" xr:uid="{C503383D-8C33-4F43-A61E-0D9BFAE0F385}"/>
    <cellStyle name="Input 16" xfId="1535" xr:uid="{7C354499-DA54-43FF-A059-8D0923F49285}"/>
    <cellStyle name="Input 17" xfId="1577" xr:uid="{26C6F38B-75D2-4D2E-8455-27C3C13AF2B7}"/>
    <cellStyle name="Input 18" xfId="1580" xr:uid="{B4AA62B8-C101-4DA6-8215-8ACFA30AD4E4}"/>
    <cellStyle name="Input 19" xfId="1572" xr:uid="{36EDECE2-A863-47DC-A922-77C25FDC2F8B}"/>
    <cellStyle name="Input 2" xfId="92" xr:uid="{4D2FC6E2-EECC-40E5-8769-80930A40DF7E}"/>
    <cellStyle name="Input 20" xfId="1563" xr:uid="{2BFDABD0-5AB7-436F-8607-DC98E55FFFA2}"/>
    <cellStyle name="Input 21" xfId="1567" xr:uid="{1E42BB11-5C6F-4829-B4DA-BDA3A9FB8B20}"/>
    <cellStyle name="Input 22" xfId="1559" xr:uid="{539235A4-61D8-42C0-AF5E-42DC592D7797}"/>
    <cellStyle name="Input 23" xfId="1528" xr:uid="{9ADAE82F-FFB3-48D7-838D-055E69BAA141}"/>
    <cellStyle name="Input 24" xfId="1584" xr:uid="{538EC8AC-D99C-40D1-889D-27AEEF1B7984}"/>
    <cellStyle name="Input 25" xfId="1575" xr:uid="{DE26FAFD-576A-46B8-BC12-B2FD21E837F9}"/>
    <cellStyle name="Input 3" xfId="1440" xr:uid="{7DC675F5-A9D0-438E-9934-A18CE6273565}"/>
    <cellStyle name="Input 4" xfId="1520" xr:uid="{9AB1122C-6317-4C45-AADE-DFD789AFBFE9}"/>
    <cellStyle name="Input 5" xfId="1466" xr:uid="{F4F174CC-E8EC-4B22-BD54-8FB8730B2BD3}"/>
    <cellStyle name="Input 6" xfId="1498" xr:uid="{FBD2CC3B-2C64-480F-B0AC-AFE4591F981A}"/>
    <cellStyle name="Input 7" xfId="1449" xr:uid="{0A33F766-03CD-43A2-9F6E-F1AF101D4515}"/>
    <cellStyle name="Input 8" xfId="1493" xr:uid="{ADA83FA0-9392-4BA0-A0AF-ED84B657C6D7}"/>
    <cellStyle name="Input 9" xfId="1482" xr:uid="{B34B3EC3-0D5B-4531-93D6-641D5922CE3C}"/>
    <cellStyle name="Input Cells" xfId="368" xr:uid="{806C0748-E812-4261-BD26-1B07BD372D18}"/>
    <cellStyle name="Inputs" xfId="93" xr:uid="{6D2C1F05-FF6C-406F-AA5F-AF6AA3E37F66}"/>
    <cellStyle name="Italics" xfId="1254" xr:uid="{2B1791E1-04E0-4531-AA5B-023542562EE5}"/>
    <cellStyle name="Item Descriptions" xfId="369" xr:uid="{868DB793-43C6-4771-8A78-502AB6ECA3FC}"/>
    <cellStyle name="ItemTypeClass" xfId="94" xr:uid="{BF686B82-1F1D-4A83-8107-07E5E163528F}"/>
    <cellStyle name="Line" xfId="370" xr:uid="{33E724AF-7809-4467-8997-320EE21B6471}"/>
    <cellStyle name="Link" xfId="1255" xr:uid="{59421151-595B-46CD-B49B-1213CC91A0D2}"/>
    <cellStyle name="Linked Cell 2" xfId="95" xr:uid="{9B7F9BC9-4B26-4FBB-8DF1-A5BBE7E6FF4A}"/>
    <cellStyle name="MAG" xfId="1256" xr:uid="{47B9D845-4FD1-47CB-A921-0F5F48E0670E}"/>
    <cellStyle name="Mainhead" xfId="371" xr:uid="{A7E5EFF5-F469-4425-8799-D1D5B5FB86E2}"/>
    <cellStyle name="Major Heading" xfId="1257" xr:uid="{F6E309E0-2849-497C-ACC7-C8A7039E41B3}"/>
    <cellStyle name="Merrill" xfId="372" xr:uid="{7ED239D7-4AA4-4CD6-8F36-4A4D9B464AAD}"/>
    <cellStyle name="Minor Heading" xfId="1258" xr:uid="{4E7AA444-0B2A-4FDD-AFDC-4E824C89488D}"/>
    <cellStyle name="Mix" xfId="373" xr:uid="{1D67972D-CB4A-4640-877F-1891AE7EEA66}"/>
    <cellStyle name="Monitor" xfId="374" xr:uid="{2220B100-CA4C-433D-9825-7DF47A312FE5}"/>
    <cellStyle name="Multiple" xfId="375" xr:uid="{97867491-7877-4A6E-B61A-5314AEBF0FED}"/>
    <cellStyle name="Name" xfId="96" xr:uid="{BB90A013-CE01-4094-AEEC-B9876962A6F5}"/>
    <cellStyle name="Neutral 2" xfId="128" xr:uid="{6D3846C0-F48C-434F-A987-59D40200AFE1}"/>
    <cellStyle name="Neutral 2 2" xfId="1395" xr:uid="{DE3D6481-D4AE-4320-A2BA-9EE92821B264}"/>
    <cellStyle name="Neutral 2 3" xfId="1396" xr:uid="{1CE905A4-3D47-4EEC-8873-AEDA817FF9B1}"/>
    <cellStyle name="Neutral 3" xfId="97" xr:uid="{D1F909DA-D971-4808-A952-24C0886CA81F}"/>
    <cellStyle name="NewAcct" xfId="98" xr:uid="{EEFF86AF-A4B2-4559-8F64-0E405889607C}"/>
    <cellStyle name="No comma" xfId="1259" xr:uid="{6335FEA8-7256-4F87-AD0A-BCD2C62E1354}"/>
    <cellStyle name="no dec" xfId="1260" xr:uid="{553ECF1A-FB2C-45AC-9B47-4CA9D367645D}"/>
    <cellStyle name="non-input" xfId="1261" xr:uid="{14F12420-9C28-4259-8C03-E70514B4E246}"/>
    <cellStyle name="Norm" xfId="1262" xr:uid="{BED5E83B-FC18-490B-9CA2-8ABA8B6CB7C7}"/>
    <cellStyle name="Normal" xfId="0" builtinId="0"/>
    <cellStyle name="Normal - Style1" xfId="376" xr:uid="{061F2B26-BCFF-4988-9292-0D3FA027262D}"/>
    <cellStyle name="Normal 0" xfId="1263" xr:uid="{85DC6A19-DF45-4B8F-A78D-5272DF18700C}"/>
    <cellStyle name="Normal 0.0" xfId="1264" xr:uid="{FE5DE265-49B8-4FE0-8BD8-AD1F42C44FA7}"/>
    <cellStyle name="Normal 10" xfId="1397" xr:uid="{8FBF2AD7-3561-4DF7-A643-42C43F924700}"/>
    <cellStyle name="Normal 11" xfId="1398" xr:uid="{A8A3E4DF-D15B-4770-AD30-5CE808927CA6}"/>
    <cellStyle name="Normal 12" xfId="1399" xr:uid="{3583B27D-DD0E-4833-A8EC-23B483CB31A5}"/>
    <cellStyle name="Normal 13" xfId="1400" xr:uid="{18ECBE4B-D4D5-47A1-86F2-E6FF3D7687BB}"/>
    <cellStyle name="Normal 14" xfId="1421" xr:uid="{0E329CFB-CA9F-45D1-A26A-9DFA11BD9326}"/>
    <cellStyle name="Normal 15" xfId="1423" xr:uid="{5527E69E-9D19-48C2-929A-A00538413DD5}"/>
    <cellStyle name="Normal 16" xfId="1430" xr:uid="{90952779-AE56-4DFD-908C-112FDC14624B}"/>
    <cellStyle name="Normal 17" xfId="1434" xr:uid="{2EEE44B4-B38F-41F7-96C5-D46A7764918D}"/>
    <cellStyle name="Normal 18" xfId="1465" xr:uid="{EA98F180-8853-4480-9C2B-DE92EDC2D11D}"/>
    <cellStyle name="Normal 19" xfId="1499" xr:uid="{4BCEE1F7-8D96-4C2F-BBF4-F02525DB35EB}"/>
    <cellStyle name="Normal 2" xfId="126" xr:uid="{7355F9FE-09AB-4D9C-AE0D-1FE4A58D6D88}"/>
    <cellStyle name="Normal 2 2" xfId="1401" xr:uid="{10A407D1-F046-4381-9857-28ACBE4D2AC1}"/>
    <cellStyle name="Normal 2 3" xfId="1429" xr:uid="{8DD77784-8E5B-4980-A625-F88996933845}"/>
    <cellStyle name="Normal 20" xfId="1467" xr:uid="{77EFABB5-7DF7-4819-8E48-C9C7C334CF2B}"/>
    <cellStyle name="Normal 21" xfId="1517" xr:uid="{3C8715F8-8FE3-4920-A079-AA0FE2EE9CAA}"/>
    <cellStyle name="Normal 22" xfId="1507" xr:uid="{A9370A04-DC6F-413C-8AB2-CFF4473333F3}"/>
    <cellStyle name="Normal 23" xfId="1521" xr:uid="{DAB3F3ED-8F14-44DB-A8CC-13D0CFA2962C}"/>
    <cellStyle name="Normal 24" xfId="1435" xr:uid="{A2C8C6BB-EEFB-470B-8DCF-CEBBBADFBC3F}"/>
    <cellStyle name="Normal 25" xfId="1448" xr:uid="{374B3389-36D0-4361-ACAC-E88A254D58F9}"/>
    <cellStyle name="Normal 26" xfId="1470" xr:uid="{0AF4D60C-E467-4895-AFE7-5F1FC2D61425}"/>
    <cellStyle name="Normal 27" xfId="1496" xr:uid="{02246BD3-882F-4670-8BE3-4DBE56B17A85}"/>
    <cellStyle name="Normal 28" xfId="1513" xr:uid="{F8521D13-8122-4FCD-A1CF-DBAFDC0B70C3}"/>
    <cellStyle name="Normal 29" xfId="1512" xr:uid="{24641599-D0A7-4A91-95A3-3A1880FE817C}"/>
    <cellStyle name="Normal 3" xfId="377" xr:uid="{887BC23B-1919-4BFA-8CFA-A85C417A220A}"/>
    <cellStyle name="Normal 3 2" xfId="1265" xr:uid="{2F3411BF-31EE-434E-94A3-9E24CEEF4873}"/>
    <cellStyle name="Normal 3 3" xfId="1402" xr:uid="{BF550010-F0CE-4927-937F-549FEEFBA6D2}"/>
    <cellStyle name="Normal 30" xfId="1525" xr:uid="{CAFC2366-52AA-4DCC-BEEC-6821F56475AA}"/>
    <cellStyle name="Normal 31" xfId="1541" xr:uid="{19AE06BE-5A13-49E7-B6C8-FDC2AFB80C38}"/>
    <cellStyle name="Normal 32" xfId="1573" xr:uid="{E71FAA58-8415-440F-8B08-52B017BD3739}"/>
    <cellStyle name="Normal 33" xfId="1582" xr:uid="{BCAC970D-A653-4A64-A8AB-29DC758F2A5E}"/>
    <cellStyle name="Normal 34" xfId="1561" xr:uid="{EC023763-7752-4DDB-A602-81CD426F0FFF}"/>
    <cellStyle name="Normal 35" xfId="1558" xr:uid="{5D7ECB3D-4FC1-4DB0-95D4-15DE0B1C84F5}"/>
    <cellStyle name="Normal 36" xfId="1562" xr:uid="{BB37CF5A-EEF1-47D1-BDB2-8066E98EBB15}"/>
    <cellStyle name="Normal 37" xfId="1552" xr:uid="{8E4B12D8-9CF8-4532-BF34-0C2FDEC035F7}"/>
    <cellStyle name="Normal 38" xfId="1545" xr:uid="{3B7AB816-ABFE-4881-B440-CD8942C1EAC3}"/>
    <cellStyle name="Normal 39" xfId="1565" xr:uid="{8CF3C2E2-94CC-4B57-868E-7FCBA463D550}"/>
    <cellStyle name="Normal 4" xfId="423" xr:uid="{AD1E4974-FF58-4F35-9876-9BF92B1199CA}"/>
    <cellStyle name="Normal 5" xfId="1" xr:uid="{C74E02D1-A4D9-4068-972B-DAE3BF876E4E}"/>
    <cellStyle name="Normal 5 2" xfId="1403" xr:uid="{F7CF81E4-0452-482D-88EC-42A79F382885}"/>
    <cellStyle name="Normal 5 2 2 11" xfId="1310" xr:uid="{505ACEAB-CF2E-4747-B048-7709F5403B49}"/>
    <cellStyle name="Normal 6" xfId="427" xr:uid="{6C5A993A-1A86-4C72-96FA-8FE2707C40B9}"/>
    <cellStyle name="Normal 7" xfId="1314" xr:uid="{B7885978-D83F-4627-83EE-A9D24E6ABEB6}"/>
    <cellStyle name="Normal 8" xfId="1404" xr:uid="{FF039A69-F3DF-4F78-984C-06EA07646845}"/>
    <cellStyle name="Normal 8 2" xfId="1405" xr:uid="{FF681AD0-A2F7-4A43-94F9-89F70F00DE1D}"/>
    <cellStyle name="Normal 8 3" xfId="1317" xr:uid="{FA3F6714-78CB-4400-B161-A8079BD2BFD3}"/>
    <cellStyle name="Normal 9" xfId="1315" xr:uid="{A7BA7BC9-4EE0-4FC6-B1B2-64EB87D6E90F}"/>
    <cellStyle name="Normal Cells" xfId="378" xr:uid="{EA23ACE9-AF08-4875-AAB2-AD40485D9A57}"/>
    <cellStyle name="Normal Temp" xfId="1266" xr:uid="{E144F28D-5FFE-49C0-8628-A5E49B828963}"/>
    <cellStyle name="Normal_PBLMODEL" xfId="1524" xr:uid="{0930C8BA-8AF8-494D-B8C3-1C6EED2557F1}"/>
    <cellStyle name="Normal_Sector_Summary_Pack_Eur" xfId="1523" xr:uid="{E35F4F7C-C6B4-4298-B841-ED753E0B2805}"/>
    <cellStyle name="Note 2" xfId="99" xr:uid="{76C20F08-AD76-4310-864A-C5780E98B4A0}"/>
    <cellStyle name="Notes" xfId="100" xr:uid="{15888F62-5EFC-4657-AC7A-ACDAF64F56D5}"/>
    <cellStyle name="Num_Date" xfId="1267" xr:uid="{4570F4CF-AFA7-46E0-8902-C17AFD158B1B}"/>
    <cellStyle name="Number" xfId="379" xr:uid="{28009FA8-0D38-4393-B28A-54E8AD2CE5FB}"/>
    <cellStyle name="number2" xfId="1268" xr:uid="{D20AB165-6DBE-4C2E-9D82-9379B67379D9}"/>
    <cellStyle name="Numbers" xfId="380" xr:uid="{0730ED26-4578-44CC-B288-5919C86CD977}"/>
    <cellStyle name="Numbers - Bold" xfId="381" xr:uid="{F0DFCC04-EE1A-499B-B175-351E30535B8E}"/>
    <cellStyle name="Numbers - Bold - Italic" xfId="382" xr:uid="{0502CD1F-7A9C-4735-AE26-8A3512EF9D22}"/>
    <cellStyle name="Numbers - Bold_Blend" xfId="383" xr:uid="{4C57D021-C641-4A67-9130-0B80FA4D0D5E}"/>
    <cellStyle name="Numbers - Large" xfId="384" xr:uid="{F8EF3329-5455-47E2-80C2-C53113F0B8ED}"/>
    <cellStyle name="Numbers Bold" xfId="1269" xr:uid="{4AF4E4B8-6DA1-4349-9E44-1044033F5039}"/>
    <cellStyle name="Numbers Bold (0)" xfId="1270" xr:uid="{42A17653-7674-4483-826E-553C5AB0EDDE}"/>
    <cellStyle name="Numbers Bold (no point)" xfId="1271" xr:uid="{59864F02-8CF7-490C-A866-6EA861A2A7E8}"/>
    <cellStyle name="Numbers Bold_CASH FLOW" xfId="1272" xr:uid="{8A69B3F7-F47B-4892-AAF7-869321DF5228}"/>
    <cellStyle name="Numbers Light" xfId="1273" xr:uid="{4887808A-F1B7-4A24-82A1-3632D7206D9B}"/>
    <cellStyle name="Numbers_Comps" xfId="385" xr:uid="{F66BA7A2-8EE1-4BEC-8DAF-6DA28CF745B3}"/>
    <cellStyle name="OSW_ColumnLabels" xfId="386" xr:uid="{0CC8E5AF-0AEC-444C-A2A6-D2751E4E9634}"/>
    <cellStyle name="Output 2" xfId="130" xr:uid="{AF309D74-BECD-410E-9256-7A49866FFFB6}"/>
    <cellStyle name="Output 3" xfId="101" xr:uid="{458CED7A-153C-42AB-8019-E90B40C788B3}"/>
    <cellStyle name="Page" xfId="387" xr:uid="{CB73A34A-B5D5-4AF6-B30E-5EAA4FFE5A7A}"/>
    <cellStyle name="Page Head" xfId="1274" xr:uid="{7FB5ABA4-2FEA-4BF8-B2B5-0B795D13D7D1}"/>
    <cellStyle name="Page header" xfId="388" xr:uid="{F7CF6BAE-4F63-4A59-9758-F01AF49506D6}"/>
    <cellStyle name="Page Number" xfId="1275" xr:uid="{29ABD29B-2CFC-4432-81CE-D88522D4106A}"/>
    <cellStyle name="Pattern_Forecast" xfId="1276" xr:uid="{BCEE9B71-033C-474D-B506-71C484812BA8}"/>
    <cellStyle name="patterns" xfId="1277" xr:uid="{7458FB6F-D72E-4248-BC0E-C2FF9B9201FD}"/>
    <cellStyle name="Per" xfId="102" xr:uid="{4D9AFCFA-AE83-4DA3-9F7C-E3E616DF244E}"/>
    <cellStyle name="Percent" xfId="1522" builtinId="5"/>
    <cellStyle name="Percent [1]" xfId="1278" xr:uid="{6855BFA6-E7C7-492A-9544-17D00E4E3555}"/>
    <cellStyle name="Percent [2]" xfId="1279" xr:uid="{AEEF7E26-8806-4405-902A-11CA27BC6281}"/>
    <cellStyle name="Percent 0.0" xfId="1280" xr:uid="{5CBC7392-E793-4346-A3C7-DD88BA25849C}"/>
    <cellStyle name="Percent 10" xfId="1406" xr:uid="{DD36CFC7-6AD8-4FB9-AC99-2816F13BB7E1}"/>
    <cellStyle name="Percent 11" xfId="1422" xr:uid="{31216FC1-015A-4D30-967E-857B94942A71}"/>
    <cellStyle name="Percent 12" xfId="1424" xr:uid="{D2B0E6E2-AFF6-4A4E-B690-231B82166B10}"/>
    <cellStyle name="Percent 13" xfId="1431" xr:uid="{288B9EC8-57F1-430B-8DEB-474F529B3B2E}"/>
    <cellStyle name="Percent 14" xfId="103" xr:uid="{8DB59314-511D-45F4-991A-47CB03405F5A}"/>
    <cellStyle name="Percent 15" xfId="1443" xr:uid="{A3F2C3B4-8613-4DA7-B739-15819C8FDC2E}"/>
    <cellStyle name="Percent 16" xfId="1442" xr:uid="{C0296797-A958-418F-8DB6-81AEF80C067C}"/>
    <cellStyle name="Percent 17" xfId="1460" xr:uid="{70B4FAD4-7795-465C-B2D8-3DC9DDCB383C}"/>
    <cellStyle name="Percent 18" xfId="1474" xr:uid="{5C1CFE61-261E-42FF-9163-4EF583E23F54}"/>
    <cellStyle name="Percent 19" xfId="1494" xr:uid="{D79327B8-A099-4CC5-AE80-C235948413B8}"/>
    <cellStyle name="Percent 2" xfId="424" xr:uid="{76797849-14C9-409E-A1A6-A3479B200114}"/>
    <cellStyle name="Percent 2 2" xfId="428" xr:uid="{3E9BC9BA-1138-4E62-94C6-982C5470FC16}"/>
    <cellStyle name="Percent 20" xfId="1480" xr:uid="{ADBE800E-0F94-4539-883D-9FEB85758057}"/>
    <cellStyle name="Percent 21" xfId="1491" xr:uid="{E6EC2170-9A52-4EAA-B17B-2B992371A865}"/>
    <cellStyle name="Percent 22" xfId="1501" xr:uid="{DA71DF17-20BD-4217-94E2-FF9A3B784AA8}"/>
    <cellStyle name="Percent 23" xfId="1473" xr:uid="{96A0F0E7-8F11-4702-8112-FF6125B454D1}"/>
    <cellStyle name="Percent 24" xfId="1457" xr:uid="{CE862F7D-7EC1-47BE-B5A4-137F5E93C276}"/>
    <cellStyle name="Percent 25" xfId="1469" xr:uid="{0AFFD37F-6A2E-4A1F-91A7-4FBD15144329}"/>
    <cellStyle name="Percent 26" xfId="1516" xr:uid="{A41228A3-486D-4124-B304-7A72F35F45CE}"/>
    <cellStyle name="Percent 27" xfId="1478" xr:uid="{40516F47-416D-4F0A-8DB6-19816081BCAC}"/>
    <cellStyle name="Percent 28" xfId="1536" xr:uid="{D839ACB2-FD11-435F-B338-76C9F4F636AB}"/>
    <cellStyle name="Percent 29" xfId="1548" xr:uid="{8F5A9037-7ECD-4936-A1A1-B5B41819C6AD}"/>
    <cellStyle name="Percent 3" xfId="1281" xr:uid="{1024C672-01C3-484C-9338-0878968DEEB0}"/>
    <cellStyle name="Percent 30" xfId="1530" xr:uid="{1BC98F9A-D4F4-44F5-B18C-7FD6A45BB8F6}"/>
    <cellStyle name="Percent 31" xfId="1543" xr:uid="{4BB403F6-48FA-429C-8F27-505D7D103788}"/>
    <cellStyle name="Percent 32" xfId="1568" xr:uid="{12C5B714-6EBB-4C81-8114-5506384544BF}"/>
    <cellStyle name="Percent 33" xfId="1581" xr:uid="{27814766-9D05-4B36-A190-F11B8848690F}"/>
    <cellStyle name="Percent 34" xfId="1550" xr:uid="{1441423B-2C54-435F-B239-FB804DFBB2DA}"/>
    <cellStyle name="Percent 35" xfId="1570" xr:uid="{0035E413-ED40-4423-93DE-E06B93841116}"/>
    <cellStyle name="Percent 36" xfId="1574" xr:uid="{674C8DDB-BFE3-4585-8B6D-587F5DD72AE3}"/>
    <cellStyle name="Percent 37" xfId="1527" xr:uid="{30B5CF5A-9544-4994-9964-75C2A55CCD50}"/>
    <cellStyle name="Percent 4" xfId="1316" xr:uid="{F1B19CB4-918E-425F-958D-0D292CB02A02}"/>
    <cellStyle name="Percent 5" xfId="1407" xr:uid="{A919FE2D-2E7A-4878-BB1A-3A5EC39602B0}"/>
    <cellStyle name="Percent 6" xfId="1408" xr:uid="{196D9CE4-62C4-4DB4-A980-8B644306526F}"/>
    <cellStyle name="Percent 6 2" xfId="1409" xr:uid="{405FB121-0990-4DBB-8A0A-7266A9B8CFC4}"/>
    <cellStyle name="Percent 7" xfId="1410" xr:uid="{6C231486-70C7-45E8-9789-C3E3AF771031}"/>
    <cellStyle name="Percent 8" xfId="1411" xr:uid="{C5E244AD-C658-4352-8592-8A9AD02EBD47}"/>
    <cellStyle name="Percent 9" xfId="1412" xr:uid="{4F36B3C1-45C4-4E7A-9F7C-B139C8B999E2}"/>
    <cellStyle name="Percent(1)" xfId="1282" xr:uid="{D3B9A20B-3C35-4C4E-903C-89ACAC5A1612}"/>
    <cellStyle name="Percentage" xfId="389" xr:uid="{8DFBD62E-3975-4428-A72F-C885079F9593}"/>
    <cellStyle name="PlainDollar" xfId="104" xr:uid="{D8436F55-C234-4F69-BEFD-67C7D40FDD4B}"/>
    <cellStyle name="PlainDollar 2" xfId="1413" xr:uid="{40338120-1B12-4534-BF5B-50B7FDA4725C}"/>
    <cellStyle name="Preffered" xfId="1283" xr:uid="{EE99B6D9-3E43-426C-A9C6-46C2B0B13B48}"/>
    <cellStyle name="Price" xfId="390" xr:uid="{2B80AA1C-67E1-47FB-86AB-C1105F9D01CE}"/>
    <cellStyle name="prot" xfId="391" xr:uid="{E3ECD96B-FC81-4BE4-B75E-B6AF5C939F5F}"/>
    <cellStyle name="Publication_style" xfId="1284" xr:uid="{3DD4014B-DD13-4E97-AD41-8B9BF7CF3FDE}"/>
    <cellStyle name="Punto" xfId="392" xr:uid="{F207CCED-42CA-4F11-93D8-5113CEF0D1D7}"/>
    <cellStyle name="r" xfId="393" xr:uid="{B96A6F9E-38B6-4C15-AED2-B5C5B99BEB56}"/>
    <cellStyle name="RED" xfId="1285" xr:uid="{82C4AD50-33A2-4D8A-AA17-8E95CD4754DB}"/>
    <cellStyle name="Reuters Cells" xfId="394" xr:uid="{857502EE-AE62-4C77-A504-FB700D6BE50F}"/>
    <cellStyle name="RevList" xfId="1286" xr:uid="{C5E66302-3DE2-4E65-B035-5827E88E4852}"/>
    <cellStyle name="s" xfId="395" xr:uid="{6EE6C57A-3CFD-48FC-B16A-B0D77236C211}"/>
    <cellStyle name="Shade" xfId="1287" xr:uid="{71BEAB45-ADEF-4D6C-B913-FED0388134B8}"/>
    <cellStyle name="shade bold" xfId="1288" xr:uid="{2D740037-7259-40C7-94F7-DE8E95F994CE}"/>
    <cellStyle name="Shade_AMC_fin1b" xfId="1289" xr:uid="{97BB7B41-783D-4664-A017-45EC8CB77A11}"/>
    <cellStyle name="ShadedCells_Database" xfId="396" xr:uid="{303900BE-6B49-4506-B97B-8E9975C53250}"/>
    <cellStyle name="shading" xfId="1290" xr:uid="{B9598924-A0FD-417B-90BF-88A0063C9A8C}"/>
    <cellStyle name="Sheet Title" xfId="397" xr:uid="{A5B1B39C-6E21-4ADA-A2A5-4EBF020864BE}"/>
    <cellStyle name="ShOut" xfId="398" xr:uid="{D8433020-09B3-49B3-954A-075656F4A747}"/>
    <cellStyle name="Special 1" xfId="1291" xr:uid="{73B8E70D-3DED-4E47-82C0-3DD2A6DD9966}"/>
    <cellStyle name="Special 3" xfId="1292" xr:uid="{5FB103CB-271A-4517-AC60-D4C4FB154B1D}"/>
    <cellStyle name="SSComma0" xfId="105" xr:uid="{9B7428AF-4E90-4A89-98D6-40AE7269B3C0}"/>
    <cellStyle name="SSComma0 2" xfId="1414" xr:uid="{2CA11DC4-A28F-402E-83C3-E8FB95456DCB}"/>
    <cellStyle name="SSComma2" xfId="106" xr:uid="{D6EB423A-57D2-4AD7-8DAC-9459B00267F7}"/>
    <cellStyle name="SSComma2 2" xfId="1415" xr:uid="{66047B3F-4544-4AF2-A2D1-E50DED9E20FF}"/>
    <cellStyle name="SSDecs3" xfId="107" xr:uid="{E645B8F3-4A59-49A7-9949-A55533052674}"/>
    <cellStyle name="SSDecs3 2" xfId="1416" xr:uid="{BAE18E3B-1864-4595-A0C3-1E4A2A9A9C67}"/>
    <cellStyle name="SSDflt" xfId="108" xr:uid="{70A6EA62-FEA6-4494-9ABB-EED17BBA6300}"/>
    <cellStyle name="SSDflt 2" xfId="1417" xr:uid="{A92F5E00-A97E-402A-AE45-A520F891D99A}"/>
    <cellStyle name="SSDfltPct" xfId="109" xr:uid="{99CD9910-C57B-4997-82D6-D0D6838B7C26}"/>
    <cellStyle name="SSDfltPct 2" xfId="1418" xr:uid="{89053C1C-9BEE-4016-A0A7-3CE37E6414A2}"/>
    <cellStyle name="SSDfltPct0" xfId="110" xr:uid="{4C8C31C0-C70F-4D48-A5C3-77EC4A425883}"/>
    <cellStyle name="SSDfltPct0 2" xfId="1419" xr:uid="{B4E07840-91DE-49E0-81D8-92AA8A1E7EEE}"/>
    <cellStyle name="SSFixed2" xfId="111" xr:uid="{1A7AC446-6491-4370-A84E-7780FB56BF78}"/>
    <cellStyle name="SSFixed2 2" xfId="1420" xr:uid="{AC346034-40AC-4FB1-B5E6-7D3CE31AA1F4}"/>
    <cellStyle name="Style 1" xfId="112" xr:uid="{66417348-6B7D-4F81-AD87-F9A9549878B6}"/>
    <cellStyle name="Style 2" xfId="113" xr:uid="{E43F2EEA-603B-45E8-BD5C-8049E69E7D4E}"/>
    <cellStyle name="Style 3" xfId="114" xr:uid="{AF3E4825-AA3A-4ACF-8CFD-89C20D7E5561}"/>
    <cellStyle name="Style 4" xfId="115" xr:uid="{CA0C1A2E-3583-48BC-97A9-10324593D2BF}"/>
    <cellStyle name="Style 5" xfId="116" xr:uid="{0CD961A9-6E9C-4585-B7C1-1D728BE1916A}"/>
    <cellStyle name="Style 6" xfId="117" xr:uid="{68715474-C987-4974-8CDA-14CD2E4C8EC0}"/>
    <cellStyle name="Style 7" xfId="118" xr:uid="{B97424BC-2760-4DB0-A96B-DF3F50F70779}"/>
    <cellStyle name="Style 8" xfId="119" xr:uid="{A3C3D1A9-3E97-4567-B336-7720FC61162F}"/>
    <cellStyle name="Style 9" xfId="120" xr:uid="{ABFAC8E2-FC41-4990-9E79-8E907460CCDA}"/>
    <cellStyle name="Style D green" xfId="399" xr:uid="{5ED38ED5-E9BB-4B3A-B855-C7A1D5EFE66D}"/>
    <cellStyle name="Style E" xfId="400" xr:uid="{8DE2B648-92E7-41AF-A348-26FE41854586}"/>
    <cellStyle name="Style H" xfId="401" xr:uid="{C80AC285-F146-4E47-AB94-9C9D52F2B2F9}"/>
    <cellStyle name="Sub total" xfId="402" xr:uid="{EB56C087-8854-4222-A1CB-D8D5F6A59B02}"/>
    <cellStyle name="Subtotal" xfId="1293" xr:uid="{54F40092-2491-49BC-8BBF-8237C6938336}"/>
    <cellStyle name="Sum" xfId="403" xr:uid="{1557929E-4E43-432A-A327-6C69F7B5D176}"/>
    <cellStyle name="Swiss" xfId="404" xr:uid="{ADED9ACA-A3D3-4FF2-80B5-378A03DB706B}"/>
    <cellStyle name="t" xfId="405" xr:uid="{6335D198-6302-4EB7-BC83-4F8ACED5B1D5}"/>
    <cellStyle name="Table end" xfId="406" xr:uid="{71FAED72-D992-41A9-BE04-D2DFC4E29116}"/>
    <cellStyle name="Table head" xfId="407" xr:uid="{7909DF3A-F44F-4498-A7ED-6E1C853F9D2A}"/>
    <cellStyle name="Table head 2" xfId="1464" xr:uid="{CC8ED01F-F81E-4DD2-8280-5A7250242DEF}"/>
    <cellStyle name="Table Head Aligned" xfId="1294" xr:uid="{FC275C1E-158E-4B2D-8CE8-1F0F8CDAE1AB}"/>
    <cellStyle name="Table Head Aligned 2" xfId="1508" xr:uid="{B45414CD-2649-47A6-85F3-1AADB1526AE9}"/>
    <cellStyle name="Table Head Blue" xfId="1295" xr:uid="{841256A5-B5F4-4A86-BFAB-7F744490FF20}"/>
    <cellStyle name="Table Head Green" xfId="1296" xr:uid="{60297894-0F1A-4100-9051-6393A8595F9C}"/>
    <cellStyle name="Table Head Green 2" xfId="1509" xr:uid="{9A2FF8F7-9AD9-44D3-9182-F96866162692}"/>
    <cellStyle name="Table head_AMZN" xfId="1297" xr:uid="{8E5628A4-3C31-4E96-9C9F-E655B92FDBE2}"/>
    <cellStyle name="table text bold" xfId="408" xr:uid="{574C76EE-43EB-47C7-AFD1-874D05A3F3DB}"/>
    <cellStyle name="table text bold green" xfId="409" xr:uid="{A23F3A54-D365-4121-9215-E807B513BF8A}"/>
    <cellStyle name="table text light" xfId="410" xr:uid="{1F6F6DD7-351C-420D-87B5-493A122C5B41}"/>
    <cellStyle name="Table Title" xfId="411" xr:uid="{9EDF6980-B0C1-42F9-985D-ACA3E096EC3A}"/>
    <cellStyle name="Table Units" xfId="412" xr:uid="{968EC46B-4CD3-4879-BF94-DBC3269F27EF}"/>
    <cellStyle name="TableTitle" xfId="1298" xr:uid="{8EEED11D-62AF-4F95-BF34-E66D1C87813F}"/>
    <cellStyle name="Text Bold" xfId="1299" xr:uid="{414BA51F-C60F-4B3A-96DB-663E544D00D7}"/>
    <cellStyle name="Text Light" xfId="1300" xr:uid="{0F4E8B1D-9972-42AA-B7F9-9E1F02B745CB}"/>
    <cellStyle name="TextB" xfId="1301" xr:uid="{CDDFE2FE-7AF0-4A20-B3B1-679CE39D2024}"/>
    <cellStyle name="Thick Rule" xfId="1302" xr:uid="{0C58DECD-F696-47D4-996C-86C205AD4C35}"/>
    <cellStyle name="Thick Rule 2" xfId="1511" xr:uid="{EF02DAF6-A7B4-4E9F-96DB-F2BC6C9BDB6A}"/>
    <cellStyle name="Thin Rule" xfId="1303" xr:uid="{1C10B674-6168-44F2-BCD5-53B7F8AC108A}"/>
    <cellStyle name="Thou" xfId="1304" xr:uid="{745CE264-0394-478A-9576-0BB77E539EB6}"/>
    <cellStyle name="Time" xfId="413" xr:uid="{F0D5B8B1-92DD-48E9-8471-819D61585F9D}"/>
    <cellStyle name="Title - PROJECT" xfId="414" xr:uid="{D1C87418-8176-48E8-9094-F88CAFB5B097}"/>
    <cellStyle name="Title - Underline" xfId="415" xr:uid="{E9CD387C-240E-411E-88D7-8342797445F6}"/>
    <cellStyle name="Title 10" xfId="1490" xr:uid="{DE10064B-798F-458D-8096-96F21E91B1A5}"/>
    <cellStyle name="Title 11" xfId="1461" xr:uid="{D56568D6-7294-4B4C-924B-19EDEE746BD5}"/>
    <cellStyle name="Title 12" xfId="1447" xr:uid="{C4E5B382-6F38-451C-B304-E5F078289298}"/>
    <cellStyle name="Title 13" xfId="1495" xr:uid="{530A5775-16FA-4DFE-A4C5-EAE894CD56A0}"/>
    <cellStyle name="Title 14" xfId="1468" xr:uid="{21301DEC-C197-44F7-BA65-81A73522DB9A}"/>
    <cellStyle name="Title 15" xfId="1497" xr:uid="{ACF8592D-1B9A-49F5-91B1-311757DE84D4}"/>
    <cellStyle name="Title 16" xfId="1539" xr:uid="{114F0F18-FE28-4533-9592-A115E97A66D2}"/>
    <cellStyle name="Title 17" xfId="1551" xr:uid="{E5CF65E9-D5FE-4B2F-86AA-09E29B95F39E}"/>
    <cellStyle name="Title 18" xfId="1542" xr:uid="{4CF25DFF-2E48-422E-9764-5A39015B29FE}"/>
    <cellStyle name="Title 19" xfId="1555" xr:uid="{C2487B3A-2460-40FB-B5AF-947030E7A9AE}"/>
    <cellStyle name="Title 2" xfId="121" xr:uid="{D53EB022-1D37-4A48-B3CB-6E3ECB14E067}"/>
    <cellStyle name="Title 20" xfId="1583" xr:uid="{E499F654-E9CF-4FA0-8DC2-F96FA6E05B6C}"/>
    <cellStyle name="Title 21" xfId="1546" xr:uid="{6FC8B7FA-90CD-4FFF-8F29-3CBE3998FBB5}"/>
    <cellStyle name="Title 22" xfId="1526" xr:uid="{F013687F-267F-4A9B-9092-BF506FBBC1E3}"/>
    <cellStyle name="Title 23" xfId="1540" xr:uid="{7485985E-C802-48E7-8FDF-6AB326E0E838}"/>
    <cellStyle name="Title 24" xfId="1560" xr:uid="{D88BE557-4E66-4D8E-B8EF-F12E2A720A02}"/>
    <cellStyle name="Title 25" xfId="1554" xr:uid="{C2F9FA87-A2D8-4956-83BC-741DBE66FEE1}"/>
    <cellStyle name="Title 3" xfId="1444" xr:uid="{F9E44AD5-9FF4-4F47-80CB-F0FB3310BB91}"/>
    <cellStyle name="Title 4" xfId="1441" xr:uid="{9C32EFDF-E9C9-44C9-BB08-B9F8A81A9B26}"/>
    <cellStyle name="Title 5" xfId="1463" xr:uid="{7BDB02FD-7409-4967-9DC6-9F4B34713B5D}"/>
    <cellStyle name="Title 6" xfId="1459" xr:uid="{B1A2DBB9-9B7D-42D7-AF8F-F25EE730F1D7}"/>
    <cellStyle name="Title 7" xfId="1475" xr:uid="{1E4F3DBE-2205-4DEA-B5A9-310766211630}"/>
    <cellStyle name="Title 8" xfId="1456" xr:uid="{31BF2E74-713F-4E5B-ADC9-8F131D051446}"/>
    <cellStyle name="Title 9" xfId="1514" xr:uid="{ECA03E84-E023-4110-B561-FDB4019B7E80}"/>
    <cellStyle name="Title1" xfId="416" xr:uid="{13D8BDCA-1DD7-444A-A29D-DCE4D05A49EB}"/>
    <cellStyle name="Title2" xfId="417" xr:uid="{07D0B200-EB85-4CD7-BCB2-286A8DBDFD80}"/>
    <cellStyle name="Titles" xfId="122" xr:uid="{B4294E58-1E93-424D-935D-E0AAF0A1CFFC}"/>
    <cellStyle name="Titles - Col. Headings" xfId="418" xr:uid="{B56F5660-2020-4D24-AE10-81EBC9E5F641}"/>
    <cellStyle name="Titles - Other" xfId="419" xr:uid="{C11F9418-A55A-40DD-9F97-D555DEE840DD}"/>
    <cellStyle name="Total 2" xfId="123" xr:uid="{D0882FA0-A589-446D-9D51-5DB6EC7F8F10}"/>
    <cellStyle name="TR 8" xfId="1305" xr:uid="{4FFC748F-E65F-4BD7-B963-C5AF9EC86B6A}"/>
    <cellStyle name="TR 8B" xfId="1306" xr:uid="{FADFA606-4664-49BE-BCD9-412E09CDFFFF}"/>
    <cellStyle name="UnderLine" xfId="124" xr:uid="{67DC82FE-0B22-4F7E-AD24-A75A7B779B8B}"/>
    <cellStyle name="UnderLine 2" xfId="1445" xr:uid="{E0005233-2AE8-432A-ABD4-3BCAB7C4233A}"/>
    <cellStyle name="unm" xfId="420" xr:uid="{08DEAEA4-A9A9-4463-BFAA-8763E4626A09}"/>
    <cellStyle name="Valuation" xfId="1307" xr:uid="{B4F983C8-1FEA-408C-B508-7322EA0EC2A2}"/>
    <cellStyle name="Vpershare" xfId="1308" xr:uid="{E8C21024-7576-4BD8-A08E-2A102EDA5C00}"/>
    <cellStyle name="Vstandard" xfId="1309" xr:uid="{36AC5B07-FA44-4B8D-9496-617CC2BFB278}"/>
    <cellStyle name="Warning Text 2" xfId="125" xr:uid="{466D1D08-6796-4938-98CB-1F1A3AB205C9}"/>
    <cellStyle name="Year" xfId="421" xr:uid="{5D6B18C4-CF4F-4337-B295-D4FA7F1D1FD9}"/>
    <cellStyle name="Years" xfId="422" xr:uid="{14B9D699-3A1B-4D64-84FD-933A0D164EE7}"/>
  </cellStyles>
  <dxfs count="4">
    <dxf>
      <fill>
        <patternFill patternType="gray125">
          <fgColor rgb="FF92D050"/>
        </patternFill>
      </fill>
      <border>
        <left style="thin">
          <color rgb="FF00B050"/>
        </left>
        <right style="thin">
          <color rgb="FF00B050"/>
        </right>
        <vertical/>
        <horizontal/>
      </border>
    </dxf>
    <dxf>
      <fill>
        <patternFill patternType="gray125">
          <fgColor rgb="FF92D050"/>
        </patternFill>
      </fill>
      <border>
        <left style="thin">
          <color rgb="FF00B050"/>
        </left>
        <right style="thin">
          <color rgb="FF00B050"/>
        </right>
        <vertical/>
        <horizontal/>
      </border>
    </dxf>
    <dxf>
      <fill>
        <patternFill patternType="gray125">
          <fgColor rgb="FF92D050"/>
        </patternFill>
      </fill>
      <border>
        <left style="thin">
          <color rgb="FF00B050"/>
        </left>
        <right style="thin">
          <color rgb="FF00B050"/>
        </right>
        <vertical/>
        <horizontal/>
      </border>
    </dxf>
    <dxf>
      <fill>
        <patternFill patternType="gray125">
          <fgColor rgb="FF92D050"/>
        </patternFill>
      </fill>
      <border>
        <left style="thin">
          <color rgb="FF00B050"/>
        </left>
        <right style="thin">
          <color rgb="FF00B050"/>
        </right>
        <vertical/>
        <horizontal/>
      </border>
    </dxf>
  </dxfs>
  <tableStyles count="1" defaultTableStyle="TableStyleMedium2" defaultPivotStyle="PivotStyleLight16">
    <tableStyle name="Invisible" pivot="0" table="0" count="0" xr9:uid="{653F6E9E-4FE2-46BE-9008-A22DCBC093FE}"/>
  </tableStyles>
  <colors>
    <mruColors>
      <color rgb="FF0000FF"/>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00" b="1" i="0" u="none" strike="noStrike" kern="1200" spc="0" baseline="0">
                <a:solidFill>
                  <a:sysClr val="windowText" lastClr="000000"/>
                </a:solidFill>
                <a:latin typeface="Arial" panose="020B0604020202020204" pitchFamily="34" charset="0"/>
                <a:ea typeface="+mn-ea"/>
                <a:cs typeface="Arial" panose="020B0604020202020204" pitchFamily="34" charset="0"/>
              </a:defRPr>
            </a:pPr>
            <a:r>
              <a:rPr lang="en-US" sz="1000" b="1"/>
              <a:t>Tobacco</a:t>
            </a:r>
            <a:r>
              <a:rPr lang="en-US" sz="1000" b="1" baseline="0"/>
              <a:t> % Forecast Impact to WOW Food Sales</a:t>
            </a:r>
            <a:endParaRPr lang="en-US" sz="1000" b="1"/>
          </a:p>
        </c:rich>
      </c:tx>
      <c:layout>
        <c:manualLayout>
          <c:xMode val="edge"/>
          <c:yMode val="edge"/>
          <c:x val="0.19630142122645625"/>
          <c:y val="2.9567053854276663E-2"/>
        </c:manualLayout>
      </c:layout>
      <c:overlay val="0"/>
      <c:spPr>
        <a:noFill/>
        <a:ln>
          <a:noFill/>
        </a:ln>
        <a:effectLst/>
      </c:spPr>
      <c:txPr>
        <a:bodyPr rot="0" spcFirstLastPara="1" vertOverflow="ellipsis" vert="horz" wrap="square" anchor="ctr" anchorCtr="1"/>
        <a:lstStyle/>
        <a:p>
          <a:pPr>
            <a:defRPr sz="1000" b="1" i="0" u="none" strike="noStrike" kern="1200" spc="0" baseline="0">
              <a:solidFill>
                <a:sysClr val="windowText" lastClr="000000"/>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9.8486935708378923E-2"/>
          <c:y val="0.10899699839526394"/>
          <c:w val="0.87281117257603069"/>
          <c:h val="0.79816245250230733"/>
        </c:manualLayout>
      </c:layout>
      <c:lineChart>
        <c:grouping val="standard"/>
        <c:varyColors val="0"/>
        <c:ser>
          <c:idx val="0"/>
          <c:order val="0"/>
          <c:spPr>
            <a:ln w="28575" cap="rnd">
              <a:solidFill>
                <a:schemeClr val="accent1"/>
              </a:solidFill>
              <a:round/>
            </a:ln>
            <a:effectLst/>
          </c:spPr>
          <c:marker>
            <c:symbol val="none"/>
          </c:marker>
          <c:val>
            <c:numRef>
              <c:f>Quarterly!#REF!</c:f>
              <c:numCache>
                <c:formatCode>General</c:formatCode>
                <c:ptCount val="1"/>
                <c:pt idx="0">
                  <c:v>1</c:v>
                </c:pt>
              </c:numCache>
            </c:numRef>
          </c:val>
          <c:smooth val="1"/>
          <c:extLst>
            <c:ext xmlns:c15="http://schemas.microsoft.com/office/drawing/2012/chart" uri="{02D57815-91ED-43cb-92C2-25804820EDAC}">
              <c15:filteredSeriesTitle>
                <c15:tx>
                  <c:strRef>
                    <c:extLst>
                      <c:ext uri="{02D57815-91ED-43cb-92C2-25804820EDAC}">
                        <c15:formulaRef>
                          <c15:sqref>Quarterly!#REF!</c15:sqref>
                        </c15:formulaRef>
                      </c:ext>
                    </c:extLst>
                    <c:strCache>
                      <c:ptCount val="1"/>
                      <c:pt idx="0">
                        <c:v>#REF!</c:v>
                      </c:pt>
                    </c:strCache>
                  </c:strRef>
                </c15:tx>
              </c15:filteredSeriesTitle>
            </c:ext>
            <c:ext xmlns:c15="http://schemas.microsoft.com/office/drawing/2012/chart" uri="{02D57815-91ED-43cb-92C2-25804820EDAC}">
              <c15:filteredCategoryTitle>
                <c15:cat>
                  <c:strRef>
                    <c:extLst>
                      <c:ext uri="{02D57815-91ED-43cb-92C2-25804820EDAC}">
                        <c15:formulaRef>
                          <c15:sqref>Quarterly!#REF!</c15:sqref>
                        </c15:formulaRef>
                      </c:ext>
                    </c:extLst>
                  </c:strRef>
                </c15:cat>
              </c15:filteredCategoryTitle>
            </c:ext>
            <c:ext xmlns:c16="http://schemas.microsoft.com/office/drawing/2014/chart" uri="{C3380CC4-5D6E-409C-BE32-E72D297353CC}">
              <c16:uniqueId val="{00000000-6C6C-4744-8596-7F1A9A107936}"/>
            </c:ext>
          </c:extLst>
        </c:ser>
        <c:ser>
          <c:idx val="1"/>
          <c:order val="1"/>
          <c:spPr>
            <a:ln w="28575" cap="rnd">
              <a:solidFill>
                <a:schemeClr val="accent2"/>
              </a:solidFill>
              <a:round/>
            </a:ln>
            <a:effectLst/>
          </c:spPr>
          <c:marker>
            <c:symbol val="none"/>
          </c:marker>
          <c:val>
            <c:numRef>
              <c:f>Quarterly!#REF!</c:f>
              <c:numCache>
                <c:formatCode>General</c:formatCode>
                <c:ptCount val="1"/>
                <c:pt idx="0">
                  <c:v>1</c:v>
                </c:pt>
              </c:numCache>
            </c:numRef>
          </c:val>
          <c:smooth val="1"/>
          <c:extLst>
            <c:ext xmlns:c15="http://schemas.microsoft.com/office/drawing/2012/chart" uri="{02D57815-91ED-43cb-92C2-25804820EDAC}">
              <c15:filteredSeriesTitle>
                <c15:tx>
                  <c:strRef>
                    <c:extLst>
                      <c:ext uri="{02D57815-91ED-43cb-92C2-25804820EDAC}">
                        <c15:formulaRef>
                          <c15:sqref>Quarterly!#REF!</c15:sqref>
                        </c15:formulaRef>
                      </c:ext>
                    </c:extLst>
                    <c:strCache>
                      <c:ptCount val="1"/>
                      <c:pt idx="0">
                        <c:v>#REF!</c:v>
                      </c:pt>
                    </c:strCache>
                  </c:strRef>
                </c15:tx>
              </c15:filteredSeriesTitle>
            </c:ext>
            <c:ext xmlns:c15="http://schemas.microsoft.com/office/drawing/2012/chart" uri="{02D57815-91ED-43cb-92C2-25804820EDAC}">
              <c15:filteredCategoryTitle>
                <c15:cat>
                  <c:strRef>
                    <c:extLst>
                      <c:ext uri="{02D57815-91ED-43cb-92C2-25804820EDAC}">
                        <c15:formulaRef>
                          <c15:sqref>Quarterly!#REF!</c15:sqref>
                        </c15:formulaRef>
                      </c:ext>
                    </c:extLst>
                  </c:strRef>
                </c15:cat>
              </c15:filteredCategoryTitle>
            </c:ext>
            <c:ext xmlns:c16="http://schemas.microsoft.com/office/drawing/2014/chart" uri="{C3380CC4-5D6E-409C-BE32-E72D297353CC}">
              <c16:uniqueId val="{00000001-6C6C-4744-8596-7F1A9A107936}"/>
            </c:ext>
          </c:extLst>
        </c:ser>
        <c:dLbls>
          <c:showLegendKey val="0"/>
          <c:showVal val="0"/>
          <c:showCatName val="0"/>
          <c:showSerName val="0"/>
          <c:showPercent val="0"/>
          <c:showBubbleSize val="0"/>
        </c:dLbls>
        <c:smooth val="0"/>
        <c:axId val="1351079968"/>
        <c:axId val="1351076128"/>
      </c:lineChart>
      <c:catAx>
        <c:axId val="1351079968"/>
        <c:scaling>
          <c:orientation val="minMax"/>
        </c:scaling>
        <c:delete val="0"/>
        <c:axPos val="b"/>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1351076128"/>
        <c:crosses val="autoZero"/>
        <c:auto val="1"/>
        <c:lblAlgn val="ctr"/>
        <c:lblOffset val="100"/>
        <c:noMultiLvlLbl val="0"/>
      </c:catAx>
      <c:valAx>
        <c:axId val="1351076128"/>
        <c:scaling>
          <c:orientation val="minMax"/>
          <c:max val="-4.000000000000001E-3"/>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13510799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sz="1000">
          <a:solidFill>
            <a:sysClr val="windowText" lastClr="000000"/>
          </a:solidFill>
          <a:latin typeface="Arial" panose="020B0604020202020204" pitchFamily="34" charset="0"/>
          <a:cs typeface="Arial" panose="020B0604020202020204" pitchFamily="34" charset="0"/>
        </a:defRPr>
      </a:pPr>
      <a:endParaRPr lang="en-US"/>
    </a:p>
  </c:txPr>
  <c:printSettings>
    <c:headerFooter/>
    <c:pageMargins b="0.75" l="0.7" r="0.7" t="0.75" header="0.3" footer="0.3"/>
    <c:pageSetup paperSize="0" orientation="portrait"/>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291354</xdr:colOff>
      <xdr:row>0</xdr:row>
      <xdr:rowOff>212910</xdr:rowOff>
    </xdr:from>
    <xdr:to>
      <xdr:col>3</xdr:col>
      <xdr:colOff>108135</xdr:colOff>
      <xdr:row>2</xdr:row>
      <xdr:rowOff>203</xdr:rowOff>
    </xdr:to>
    <xdr:grpSp>
      <xdr:nvGrpSpPr>
        <xdr:cNvPr id="6" name="Group 5">
          <a:extLst>
            <a:ext uri="{FF2B5EF4-FFF2-40B4-BE49-F238E27FC236}">
              <a16:creationId xmlns:a16="http://schemas.microsoft.com/office/drawing/2014/main" id="{60349372-2FC1-A63F-6B30-6EF36C7EEAE0}"/>
            </a:ext>
          </a:extLst>
        </xdr:cNvPr>
        <xdr:cNvGrpSpPr/>
      </xdr:nvGrpSpPr>
      <xdr:grpSpPr>
        <a:xfrm>
          <a:off x="291354" y="212910"/>
          <a:ext cx="6750981" cy="1111268"/>
          <a:chOff x="291354" y="212910"/>
          <a:chExt cx="5845546" cy="1109587"/>
        </a:xfrm>
      </xdr:grpSpPr>
      <xdr:sp macro="" textlink="">
        <xdr:nvSpPr>
          <xdr:cNvPr id="4" name="TextBox 3">
            <a:extLst>
              <a:ext uri="{FF2B5EF4-FFF2-40B4-BE49-F238E27FC236}">
                <a16:creationId xmlns:a16="http://schemas.microsoft.com/office/drawing/2014/main" id="{6B08A803-8A27-87DF-0E00-F5E4612FA804}"/>
              </a:ext>
            </a:extLst>
          </xdr:cNvPr>
          <xdr:cNvSpPr txBox="1"/>
        </xdr:nvSpPr>
        <xdr:spPr>
          <a:xfrm>
            <a:off x="1560919" y="500873"/>
            <a:ext cx="4575981" cy="663419"/>
          </a:xfrm>
          <a:prstGeom prst="rect">
            <a:avLst/>
          </a:prstGeom>
          <a:solidFill>
            <a:schemeClr val="accen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solidFill>
                  <a:schemeClr val="bg1"/>
                </a:solidFill>
                <a:latin typeface="Arial" panose="020B0604020202020204" pitchFamily="34" charset="0"/>
                <a:cs typeface="Arial" panose="020B0604020202020204" pitchFamily="34" charset="0"/>
              </a:rPr>
              <a:t>Global Investment Research</a:t>
            </a:r>
          </a:p>
          <a:p>
            <a:r>
              <a:rPr lang="en-US" sz="1400" b="1">
                <a:solidFill>
                  <a:schemeClr val="bg1"/>
                </a:solidFill>
                <a:latin typeface="Arial" panose="020B0604020202020204" pitchFamily="34" charset="0"/>
                <a:cs typeface="Arial" panose="020B0604020202020204" pitchFamily="34" charset="0"/>
              </a:rPr>
              <a:t>ANZ Retail &amp; Consumer</a:t>
            </a:r>
          </a:p>
        </xdr:txBody>
      </xdr:sp>
      <xdr:pic>
        <xdr:nvPicPr>
          <xdr:cNvPr id="3" name="Picture 190" descr="Logo_solid_6in">
            <a:extLst>
              <a:ext uri="{FF2B5EF4-FFF2-40B4-BE49-F238E27FC236}">
                <a16:creationId xmlns:a16="http://schemas.microsoft.com/office/drawing/2014/main" id="{27EC7213-DE69-4EFE-B765-4FFCB7B52BC1}"/>
              </a:ext>
            </a:extLst>
          </xdr:cNvPr>
          <xdr:cNvPicPr>
            <a:picLocks noChangeAspect="1" noChangeArrowheads="1"/>
          </xdr:cNvPicPr>
        </xdr:nvPicPr>
        <xdr:blipFill>
          <a:blip xmlns:r="http://schemas.openxmlformats.org/officeDocument/2006/relationships" r:embed="rId1" cstate="print">
            <a:duotone>
              <a:schemeClr val="accent1">
                <a:shade val="45000"/>
                <a:satMod val="135000"/>
              </a:schemeClr>
              <a:prstClr val="white"/>
            </a:duotone>
          </a:blip>
          <a:srcRect/>
          <a:stretch>
            <a:fillRect/>
          </a:stretch>
        </xdr:blipFill>
        <xdr:spPr bwMode="auto">
          <a:xfrm>
            <a:off x="291354" y="212910"/>
            <a:ext cx="1165411" cy="1109587"/>
          </a:xfrm>
          <a:prstGeom prst="rect">
            <a:avLst/>
          </a:prstGeom>
          <a:noFill/>
        </xdr:spPr>
      </xdr:pic>
    </xdr:grpSp>
    <xdr:clientData/>
  </xdr:twoCellAnchor>
</xdr:wsDr>
</file>

<file path=xl/drawings/drawing2.xml><?xml version="1.0" encoding="utf-8"?>
<xdr:wsDr xmlns:xdr="http://schemas.openxmlformats.org/drawingml/2006/spreadsheetDrawing" xmlns:a="http://schemas.openxmlformats.org/drawingml/2006/main">
  <xdr:twoCellAnchor>
    <xdr:from>
      <xdr:col>25</xdr:col>
      <xdr:colOff>209554</xdr:colOff>
      <xdr:row>135</xdr:row>
      <xdr:rowOff>0</xdr:rowOff>
    </xdr:from>
    <xdr:to>
      <xdr:col>33</xdr:col>
      <xdr:colOff>209554</xdr:colOff>
      <xdr:row>143</xdr:row>
      <xdr:rowOff>15873</xdr:rowOff>
    </xdr:to>
    <xdr:graphicFrame macro="">
      <xdr:nvGraphicFramePr>
        <xdr:cNvPr id="4" name="Chart 3">
          <a:extLst>
            <a:ext uri="{FF2B5EF4-FFF2-40B4-BE49-F238E27FC236}">
              <a16:creationId xmlns:a16="http://schemas.microsoft.com/office/drawing/2014/main" id="{BB0BC9D2-2098-721E-BC67-236FB6776EF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W:\5%20-%20PM\Coverage\3%20-%20COL\1%20-%20Models\1%20-%20New%20Model\COL%20Model%20-%20New%20WIP.xlsx" TargetMode="External"/><Relationship Id="rId1" Type="http://schemas.openxmlformats.org/officeDocument/2006/relationships/externalLinkPath" Target="/5%20-%20PM/Coverage/3%20-%20COL/1%20-%20Models/1%20-%20New%20Model/COL%20Model%20-%20New%20WIP.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over"/>
      <sheetName val="Summary"/>
      <sheetName val="Model"/>
      <sheetName val="PL"/>
      <sheetName val="CF"/>
      <sheetName val="BS"/>
      <sheetName val="Quarterly"/>
      <sheetName val="Vs Consensus"/>
      <sheetName val="Earnings Changes"/>
      <sheetName val="Current Results Table"/>
      <sheetName val="Valuation"/>
      <sheetName val="__FDSCACHE__"/>
      <sheetName val="COL.AX_Exchange_Shee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ow r="1">
          <cell r="A1" t="str">
            <v>Issuer: Coles Group</v>
          </cell>
          <cell r="F1">
            <v>2017</v>
          </cell>
          <cell r="G1">
            <v>2018</v>
          </cell>
          <cell r="H1">
            <v>2019</v>
          </cell>
          <cell r="I1">
            <v>2020</v>
          </cell>
          <cell r="J1">
            <v>2021</v>
          </cell>
          <cell r="K1">
            <v>2022</v>
          </cell>
          <cell r="L1">
            <v>2023</v>
          </cell>
          <cell r="M1">
            <v>2024</v>
          </cell>
          <cell r="N1">
            <v>2025</v>
          </cell>
          <cell r="O1">
            <v>2026</v>
          </cell>
          <cell r="P1">
            <v>2027</v>
          </cell>
          <cell r="Q1">
            <v>2028</v>
          </cell>
          <cell r="R1">
            <v>2029</v>
          </cell>
          <cell r="S1">
            <v>2030</v>
          </cell>
          <cell r="U1" t="str">
            <v>2017 H1</v>
          </cell>
          <cell r="V1" t="str">
            <v>2017 H2</v>
          </cell>
          <cell r="W1" t="str">
            <v>2018 H1</v>
          </cell>
          <cell r="X1" t="str">
            <v>2018 H2</v>
          </cell>
          <cell r="Y1" t="str">
            <v>2019 H1</v>
          </cell>
          <cell r="Z1" t="str">
            <v>2019 H2</v>
          </cell>
          <cell r="AA1" t="str">
            <v>2020 H1</v>
          </cell>
          <cell r="AB1" t="str">
            <v>2020 H2</v>
          </cell>
          <cell r="AC1" t="str">
            <v>2021 H1</v>
          </cell>
          <cell r="AD1" t="str">
            <v>2021 H2</v>
          </cell>
          <cell r="AE1" t="str">
            <v>2022 H1</v>
          </cell>
          <cell r="AF1" t="str">
            <v>2022 H2</v>
          </cell>
          <cell r="AG1" t="str">
            <v>2023 H1</v>
          </cell>
          <cell r="AH1" t="str">
            <v>2023 H2</v>
          </cell>
          <cell r="AI1" t="str">
            <v>2024 H1</v>
          </cell>
          <cell r="AJ1" t="str">
            <v>2024 H2</v>
          </cell>
          <cell r="AK1" t="str">
            <v>2025 H1</v>
          </cell>
          <cell r="AL1" t="str">
            <v>2025 H2</v>
          </cell>
          <cell r="AM1" t="str">
            <v>2026 H1</v>
          </cell>
          <cell r="AN1" t="str">
            <v>2026 H2</v>
          </cell>
        </row>
        <row r="2">
          <cell r="A2" t="str">
            <v>ISSUER ID: 208018760</v>
          </cell>
          <cell r="F2" t="str">
            <v>Actual</v>
          </cell>
          <cell r="G2" t="str">
            <v>Actual</v>
          </cell>
          <cell r="H2" t="str">
            <v>Actual</v>
          </cell>
          <cell r="I2" t="str">
            <v>Actual</v>
          </cell>
          <cell r="J2" t="str">
            <v>Actual</v>
          </cell>
          <cell r="K2" t="str">
            <v>Actual</v>
          </cell>
          <cell r="L2" t="str">
            <v>Actual</v>
          </cell>
          <cell r="M2" t="str">
            <v>Actual</v>
          </cell>
          <cell r="N2" t="str">
            <v>Actual</v>
          </cell>
          <cell r="O2" t="str">
            <v>Estimate</v>
          </cell>
          <cell r="P2" t="str">
            <v>Estimate</v>
          </cell>
          <cell r="Q2" t="str">
            <v>Estimate</v>
          </cell>
          <cell r="R2" t="str">
            <v>Estimate</v>
          </cell>
          <cell r="S2" t="str">
            <v>Estimate</v>
          </cell>
          <cell r="U2" t="str">
            <v>Actual</v>
          </cell>
          <cell r="V2" t="str">
            <v>Actual</v>
          </cell>
          <cell r="W2" t="str">
            <v>Actual</v>
          </cell>
          <cell r="X2" t="str">
            <v>Actual</v>
          </cell>
          <cell r="Y2" t="str">
            <v>Actual</v>
          </cell>
          <cell r="Z2" t="str">
            <v>Actual</v>
          </cell>
          <cell r="AA2" t="str">
            <v>Actual</v>
          </cell>
          <cell r="AB2" t="str">
            <v>Actual</v>
          </cell>
          <cell r="AC2" t="str">
            <v>Actual</v>
          </cell>
          <cell r="AD2" t="str">
            <v>Actual</v>
          </cell>
          <cell r="AE2" t="str">
            <v>Actual</v>
          </cell>
          <cell r="AF2" t="str">
            <v>Actual</v>
          </cell>
          <cell r="AG2" t="str">
            <v>Actual</v>
          </cell>
          <cell r="AH2" t="str">
            <v>Actual</v>
          </cell>
          <cell r="AI2" t="str">
            <v>Actual</v>
          </cell>
          <cell r="AJ2" t="str">
            <v>Actual</v>
          </cell>
          <cell r="AK2" t="str">
            <v>Actual</v>
          </cell>
          <cell r="AL2" t="str">
            <v>Actual</v>
          </cell>
          <cell r="AM2" t="str">
            <v>Estimate</v>
          </cell>
          <cell r="AN2" t="str">
            <v>Estimate</v>
          </cell>
        </row>
        <row r="3">
          <cell r="F3">
            <v>42916</v>
          </cell>
          <cell r="G3">
            <v>43281</v>
          </cell>
          <cell r="H3">
            <v>43646</v>
          </cell>
          <cell r="I3">
            <v>44012</v>
          </cell>
          <cell r="J3">
            <v>44377</v>
          </cell>
          <cell r="K3">
            <v>44742</v>
          </cell>
          <cell r="L3">
            <v>45107</v>
          </cell>
          <cell r="M3">
            <v>45473</v>
          </cell>
          <cell r="N3">
            <v>45838</v>
          </cell>
          <cell r="O3">
            <v>46203</v>
          </cell>
          <cell r="P3">
            <v>46568</v>
          </cell>
          <cell r="Q3">
            <v>46934</v>
          </cell>
          <cell r="R3">
            <v>47299</v>
          </cell>
          <cell r="S3">
            <v>47664</v>
          </cell>
          <cell r="U3">
            <v>42734</v>
          </cell>
          <cell r="V3">
            <v>42916</v>
          </cell>
          <cell r="W3">
            <v>43100</v>
          </cell>
          <cell r="X3">
            <v>43281</v>
          </cell>
          <cell r="Y3">
            <v>43465</v>
          </cell>
          <cell r="Z3">
            <v>43646</v>
          </cell>
          <cell r="AA3">
            <v>43830</v>
          </cell>
          <cell r="AB3">
            <v>44012</v>
          </cell>
          <cell r="AC3">
            <v>44196</v>
          </cell>
          <cell r="AD3">
            <v>44377</v>
          </cell>
          <cell r="AE3">
            <v>44561</v>
          </cell>
          <cell r="AF3">
            <v>44742</v>
          </cell>
          <cell r="AG3">
            <v>44926</v>
          </cell>
          <cell r="AH3">
            <v>45107</v>
          </cell>
          <cell r="AI3">
            <v>45291</v>
          </cell>
          <cell r="AJ3">
            <v>45473</v>
          </cell>
          <cell r="AK3">
            <v>45657</v>
          </cell>
          <cell r="AL3">
            <v>45838</v>
          </cell>
          <cell r="AM3">
            <v>46022</v>
          </cell>
          <cell r="AN3">
            <v>46203</v>
          </cell>
        </row>
        <row r="4">
          <cell r="A4" t="str">
            <v>Issuer: Coles Group</v>
          </cell>
        </row>
        <row r="5">
          <cell r="A5" t="str">
            <v>Reference Data</v>
          </cell>
        </row>
        <row r="6">
          <cell r="B6" t="str">
            <v>Issuer Name</v>
          </cell>
          <cell r="C6" t="str">
            <v>Issuer Name</v>
          </cell>
          <cell r="E6" t="str">
            <v>Coles Group</v>
          </cell>
        </row>
        <row r="7">
          <cell r="B7" t="str">
            <v>Reporting Currency</v>
          </cell>
          <cell r="C7" t="str">
            <v>CURRENCY_ISO</v>
          </cell>
          <cell r="E7" t="str">
            <v>AUD</v>
          </cell>
        </row>
        <row r="8">
          <cell r="A8" t="str">
            <v>General Information</v>
          </cell>
        </row>
        <row r="9">
          <cell r="B9" t="str">
            <v>M&amp;A probability (1 = high, 3 = low)</v>
          </cell>
          <cell r="C9" t="str">
            <v>MA_PROB</v>
          </cell>
          <cell r="E9">
            <v>3</v>
          </cell>
        </row>
        <row r="10">
          <cell r="B10" t="str">
            <v>Analyst USD rate assumption vs reporting currency</v>
          </cell>
          <cell r="C10" t="str">
            <v>FX_USD_ASSUMPTION</v>
          </cell>
        </row>
        <row r="11">
          <cell r="B11" t="str">
            <v>Analyst EUR rate assumption vs reporting currency</v>
          </cell>
          <cell r="C11" t="str">
            <v>FX_EUR_ASSUMPTION</v>
          </cell>
        </row>
        <row r="12">
          <cell r="B12" t="str">
            <v>Analyst AUD rate assumption vs reporting currency</v>
          </cell>
          <cell r="C12" t="str">
            <v>FX_AUD_ASSUMPTION</v>
          </cell>
        </row>
        <row r="13">
          <cell r="A13" t="str">
            <v>Income Statement</v>
          </cell>
        </row>
        <row r="14">
          <cell r="B14" t="str">
            <v>Sales, net revenue</v>
          </cell>
          <cell r="C14" t="str">
            <v>SALES</v>
          </cell>
          <cell r="D14" t="str">
            <v>AUD</v>
          </cell>
          <cell r="F14">
            <v>39125</v>
          </cell>
          <cell r="G14">
            <v>39218</v>
          </cell>
          <cell r="H14">
            <v>35289.4</v>
          </cell>
          <cell r="I14">
            <v>37784</v>
          </cell>
          <cell r="J14">
            <v>38955</v>
          </cell>
          <cell r="K14">
            <v>38614</v>
          </cell>
          <cell r="L14">
            <v>40591</v>
          </cell>
          <cell r="M14">
            <v>43684</v>
          </cell>
          <cell r="N14">
            <v>44487</v>
          </cell>
          <cell r="O14">
            <v>45817.4685240947</v>
          </cell>
          <cell r="P14">
            <v>47234.551207011624</v>
          </cell>
          <cell r="Q14">
            <v>49224.880666344303</v>
          </cell>
          <cell r="R14">
            <v>51291.973626181745</v>
          </cell>
          <cell r="S14">
            <v>53438.643125491319</v>
          </cell>
          <cell r="W14">
            <v>20356</v>
          </cell>
          <cell r="X14">
            <v>18862</v>
          </cell>
          <cell r="Y14">
            <v>18466</v>
          </cell>
          <cell r="Z14">
            <v>16823.400000000001</v>
          </cell>
          <cell r="AA14">
            <v>19047</v>
          </cell>
          <cell r="AB14">
            <v>18737</v>
          </cell>
          <cell r="AC14">
            <v>20581</v>
          </cell>
          <cell r="AD14">
            <v>18374</v>
          </cell>
          <cell r="AE14">
            <v>20070</v>
          </cell>
          <cell r="AF14">
            <v>18544</v>
          </cell>
          <cell r="AG14">
            <v>20872</v>
          </cell>
          <cell r="AH14">
            <v>19719</v>
          </cell>
          <cell r="AI14">
            <v>22274</v>
          </cell>
          <cell r="AJ14">
            <v>21410</v>
          </cell>
          <cell r="AK14">
            <v>23106</v>
          </cell>
          <cell r="AL14">
            <v>21381</v>
          </cell>
          <cell r="AM14">
            <v>23812.150241258743</v>
          </cell>
          <cell r="AN14">
            <v>22005.318282835957</v>
          </cell>
        </row>
        <row r="15">
          <cell r="B15" t="str">
            <v>Compensation &amp; benfits expense</v>
          </cell>
          <cell r="C15" t="str">
            <v>PERSONNEL</v>
          </cell>
          <cell r="D15" t="str">
            <v>AUD</v>
          </cell>
          <cell r="F15">
            <v>0</v>
          </cell>
          <cell r="G15">
            <v>-4321.3999999999996</v>
          </cell>
          <cell r="H15">
            <v>-4533</v>
          </cell>
          <cell r="I15">
            <v>-4768</v>
          </cell>
          <cell r="J15">
            <v>-4898</v>
          </cell>
          <cell r="K15">
            <v>-4804</v>
          </cell>
          <cell r="L15">
            <v>-5118</v>
          </cell>
          <cell r="M15">
            <v>-5512</v>
          </cell>
          <cell r="N15">
            <v>-5798</v>
          </cell>
          <cell r="O15">
            <v>0</v>
          </cell>
          <cell r="P15">
            <v>0</v>
          </cell>
          <cell r="Q15">
            <v>0</v>
          </cell>
          <cell r="R15">
            <v>0</v>
          </cell>
          <cell r="S15">
            <v>0</v>
          </cell>
          <cell r="W15">
            <v>0</v>
          </cell>
          <cell r="X15">
            <v>0</v>
          </cell>
          <cell r="Y15">
            <v>0</v>
          </cell>
          <cell r="Z15">
            <v>0</v>
          </cell>
          <cell r="AA15">
            <v>0</v>
          </cell>
          <cell r="AB15">
            <v>0</v>
          </cell>
          <cell r="AC15">
            <v>0</v>
          </cell>
          <cell r="AD15">
            <v>0</v>
          </cell>
          <cell r="AE15">
            <v>0</v>
          </cell>
          <cell r="AF15">
            <v>0</v>
          </cell>
          <cell r="AG15">
            <v>0</v>
          </cell>
          <cell r="AH15">
            <v>0</v>
          </cell>
          <cell r="AI15">
            <v>0</v>
          </cell>
          <cell r="AJ15">
            <v>0</v>
          </cell>
          <cell r="AK15">
            <v>0</v>
          </cell>
          <cell r="AL15">
            <v>0</v>
          </cell>
          <cell r="AM15">
            <v>0</v>
          </cell>
          <cell r="AN15">
            <v>0</v>
          </cell>
        </row>
        <row r="16">
          <cell r="B16" t="str">
            <v>Cost of goods sold, COGS</v>
          </cell>
          <cell r="C16" t="str">
            <v>COST_GD_SD</v>
          </cell>
          <cell r="D16" t="str">
            <v>AUD</v>
          </cell>
          <cell r="F16">
            <v>-30129</v>
          </cell>
          <cell r="G16">
            <v>-29981</v>
          </cell>
          <cell r="H16">
            <v>-25790</v>
          </cell>
          <cell r="I16">
            <v>-27667</v>
          </cell>
          <cell r="J16">
            <v>-28426</v>
          </cell>
          <cell r="K16">
            <v>-28292</v>
          </cell>
          <cell r="L16">
            <v>-29926</v>
          </cell>
          <cell r="M16">
            <v>-32392</v>
          </cell>
          <cell r="N16">
            <v>-32649</v>
          </cell>
          <cell r="O16">
            <v>-33284.200119755442</v>
          </cell>
          <cell r="P16">
            <v>-34074.072386004802</v>
          </cell>
          <cell r="Q16">
            <v>-35484.337572016433</v>
          </cell>
          <cell r="R16">
            <v>-36963.697602880216</v>
          </cell>
          <cell r="S16">
            <v>-38499.860715121395</v>
          </cell>
          <cell r="W16">
            <v>-15742</v>
          </cell>
          <cell r="X16">
            <v>-14239</v>
          </cell>
          <cell r="Y16">
            <v>-13652</v>
          </cell>
          <cell r="Z16">
            <v>-12138</v>
          </cell>
          <cell r="AA16">
            <v>-14058</v>
          </cell>
          <cell r="AB16">
            <v>-13609</v>
          </cell>
          <cell r="AC16">
            <v>-15035</v>
          </cell>
          <cell r="AD16">
            <v>-13391</v>
          </cell>
          <cell r="AE16">
            <v>-14875</v>
          </cell>
          <cell r="AF16">
            <v>-13417</v>
          </cell>
          <cell r="AG16">
            <v>-15363</v>
          </cell>
          <cell r="AH16">
            <v>-14563</v>
          </cell>
          <cell r="AI16">
            <v>-16487</v>
          </cell>
          <cell r="AJ16">
            <v>-15792</v>
          </cell>
          <cell r="AK16">
            <v>-16914</v>
          </cell>
          <cell r="AL16">
            <v>-15600</v>
          </cell>
          <cell r="AM16">
            <v>-18086.212241258741</v>
          </cell>
          <cell r="AN16">
            <v>-15197.9878784967</v>
          </cell>
        </row>
        <row r="17">
          <cell r="B17" t="str">
            <v>SG&amp;A, selling, general and admin. expense</v>
          </cell>
          <cell r="C17" t="str">
            <v>SEL_GL_AD</v>
          </cell>
          <cell r="D17" t="str">
            <v>AUD</v>
          </cell>
          <cell r="F17">
            <v>0</v>
          </cell>
          <cell r="G17">
            <v>-2760.7</v>
          </cell>
          <cell r="H17">
            <v>-2207</v>
          </cell>
          <cell r="I17">
            <v>-1214</v>
          </cell>
          <cell r="J17">
            <v>-1358</v>
          </cell>
          <cell r="K17">
            <v>-1457</v>
          </cell>
          <cell r="L17">
            <v>-1601</v>
          </cell>
          <cell r="M17">
            <v>-1807</v>
          </cell>
          <cell r="N17">
            <v>-1817</v>
          </cell>
          <cell r="O17">
            <v>0</v>
          </cell>
          <cell r="P17">
            <v>0</v>
          </cell>
          <cell r="Q17">
            <v>0</v>
          </cell>
          <cell r="R17">
            <v>0</v>
          </cell>
          <cell r="S17">
            <v>0</v>
          </cell>
          <cell r="W17">
            <v>0</v>
          </cell>
          <cell r="X17">
            <v>0</v>
          </cell>
          <cell r="Y17">
            <v>0</v>
          </cell>
          <cell r="Z17">
            <v>0</v>
          </cell>
          <cell r="AA17">
            <v>0</v>
          </cell>
          <cell r="AB17">
            <v>0</v>
          </cell>
          <cell r="AC17">
            <v>0</v>
          </cell>
          <cell r="AD17">
            <v>0</v>
          </cell>
          <cell r="AE17">
            <v>0</v>
          </cell>
          <cell r="AF17">
            <v>0</v>
          </cell>
          <cell r="AG17">
            <v>0</v>
          </cell>
          <cell r="AH17">
            <v>0</v>
          </cell>
          <cell r="AI17">
            <v>0</v>
          </cell>
          <cell r="AJ17">
            <v>0</v>
          </cell>
          <cell r="AK17">
            <v>0</v>
          </cell>
          <cell r="AL17">
            <v>0</v>
          </cell>
          <cell r="AM17">
            <v>0</v>
          </cell>
          <cell r="AN17">
            <v>0</v>
          </cell>
        </row>
        <row r="18">
          <cell r="B18" t="str">
            <v>Total operating expense</v>
          </cell>
          <cell r="C18" t="str">
            <v>OP_COST</v>
          </cell>
          <cell r="D18" t="str">
            <v>AUD</v>
          </cell>
          <cell r="F18">
            <v>-30129</v>
          </cell>
          <cell r="G18">
            <v>-37063.1</v>
          </cell>
          <cell r="H18">
            <v>-32530</v>
          </cell>
          <cell r="I18">
            <v>-33649</v>
          </cell>
          <cell r="J18">
            <v>-34682</v>
          </cell>
          <cell r="K18">
            <v>-34553</v>
          </cell>
          <cell r="L18">
            <v>-36645</v>
          </cell>
          <cell r="M18">
            <v>-39711</v>
          </cell>
          <cell r="N18">
            <v>-40264</v>
          </cell>
          <cell r="O18">
            <v>-33284.200119755442</v>
          </cell>
          <cell r="P18">
            <v>-34074.072386004802</v>
          </cell>
          <cell r="Q18">
            <v>-35484.337572016433</v>
          </cell>
          <cell r="R18">
            <v>-36963.697602880216</v>
          </cell>
          <cell r="S18">
            <v>-38499.860715121395</v>
          </cell>
          <cell r="W18">
            <v>-15742</v>
          </cell>
          <cell r="X18">
            <v>-14239</v>
          </cell>
          <cell r="Y18">
            <v>-13652</v>
          </cell>
          <cell r="Z18">
            <v>-12138</v>
          </cell>
          <cell r="AA18">
            <v>-14058</v>
          </cell>
          <cell r="AB18">
            <v>-13609</v>
          </cell>
          <cell r="AC18">
            <v>-15035</v>
          </cell>
          <cell r="AD18">
            <v>-13391</v>
          </cell>
          <cell r="AE18">
            <v>-14875</v>
          </cell>
          <cell r="AF18">
            <v>-13417</v>
          </cell>
          <cell r="AG18">
            <v>-15363</v>
          </cell>
          <cell r="AH18">
            <v>-14563</v>
          </cell>
          <cell r="AI18">
            <v>-16487</v>
          </cell>
          <cell r="AJ18">
            <v>-15792</v>
          </cell>
          <cell r="AK18">
            <v>-16914</v>
          </cell>
          <cell r="AL18">
            <v>-15600</v>
          </cell>
          <cell r="AM18">
            <v>-18086.212241258741</v>
          </cell>
          <cell r="AN18">
            <v>-15197.9878784967</v>
          </cell>
        </row>
        <row r="19">
          <cell r="B19" t="str">
            <v>R&amp;D expense</v>
          </cell>
          <cell r="C19" t="str">
            <v>RD_EXP</v>
          </cell>
          <cell r="D19" t="str">
            <v>AUD</v>
          </cell>
        </row>
        <row r="20">
          <cell r="B20" t="str">
            <v>Other operating income/(expense) (incl. leases)</v>
          </cell>
          <cell r="C20" t="str">
            <v>OTH_OP_INC_EXP</v>
          </cell>
          <cell r="D20" t="str">
            <v>AUD</v>
          </cell>
          <cell r="F20">
            <v>-7482</v>
          </cell>
          <cell r="G20">
            <v>-759.90000000000146</v>
          </cell>
          <cell r="H20">
            <v>-1434.4000000000015</v>
          </cell>
          <cell r="I20">
            <v>-2373</v>
          </cell>
          <cell r="J20">
            <v>-2400</v>
          </cell>
          <cell r="K20">
            <v>-2234</v>
          </cell>
          <cell r="L20">
            <v>-2087</v>
          </cell>
          <cell r="M20">
            <v>-1916</v>
          </cell>
          <cell r="N20">
            <v>-2111</v>
          </cell>
          <cell r="O20">
            <v>-10125.034381282239</v>
          </cell>
          <cell r="P20">
            <v>-10549.037129072502</v>
          </cell>
          <cell r="Q20">
            <v>-10974.517508235396</v>
          </cell>
          <cell r="R20">
            <v>-11441.840567191524</v>
          </cell>
          <cell r="S20">
            <v>-11929.555234872401</v>
          </cell>
          <cell r="W20">
            <v>-3835</v>
          </cell>
          <cell r="X20">
            <v>-4007</v>
          </cell>
          <cell r="Y20">
            <v>-4092</v>
          </cell>
          <cell r="Z20">
            <v>-4082.4000000000015</v>
          </cell>
          <cell r="AA20">
            <v>-4079</v>
          </cell>
          <cell r="AB20">
            <v>-4276</v>
          </cell>
          <cell r="AC20">
            <v>-4526</v>
          </cell>
          <cell r="AD20">
            <v>-4130</v>
          </cell>
          <cell r="AE20">
            <v>-4232</v>
          </cell>
          <cell r="AF20">
            <v>-4263</v>
          </cell>
          <cell r="AG20">
            <v>-4451</v>
          </cell>
          <cell r="AH20">
            <v>-4355</v>
          </cell>
          <cell r="AI20">
            <v>-4723</v>
          </cell>
          <cell r="AJ20">
            <v>-4625</v>
          </cell>
          <cell r="AK20">
            <v>-5075</v>
          </cell>
          <cell r="AL20">
            <v>-4786</v>
          </cell>
          <cell r="AM20">
            <v>-4474.292302799302</v>
          </cell>
          <cell r="AN20">
            <v>-5650.7420784829337</v>
          </cell>
        </row>
        <row r="21">
          <cell r="B21" t="str">
            <v>Total operating expense (incl. D&amp;A)</v>
          </cell>
          <cell r="C21" t="str">
            <v>TOT_OPS_EXP_DDA</v>
          </cell>
          <cell r="D21" t="str">
            <v>AUD</v>
          </cell>
          <cell r="F21">
            <v>-37611</v>
          </cell>
          <cell r="G21">
            <v>-37823</v>
          </cell>
          <cell r="H21">
            <v>-33964.400000000001</v>
          </cell>
          <cell r="I21">
            <v>-36022</v>
          </cell>
          <cell r="J21">
            <v>-37082</v>
          </cell>
          <cell r="K21">
            <v>-36787</v>
          </cell>
          <cell r="L21">
            <v>-38732</v>
          </cell>
          <cell r="M21">
            <v>-41627</v>
          </cell>
          <cell r="N21">
            <v>-42375</v>
          </cell>
          <cell r="O21">
            <v>-43409.234501037681</v>
          </cell>
          <cell r="P21">
            <v>-44623.109515077304</v>
          </cell>
          <cell r="Q21">
            <v>-46458.855080251829</v>
          </cell>
          <cell r="R21">
            <v>-48405.538170071741</v>
          </cell>
          <cell r="S21">
            <v>-50429.415949993796</v>
          </cell>
          <cell r="W21">
            <v>-19577</v>
          </cell>
          <cell r="X21">
            <v>-18246</v>
          </cell>
          <cell r="Y21">
            <v>-17744</v>
          </cell>
          <cell r="Z21">
            <v>-16220.400000000001</v>
          </cell>
          <cell r="AA21">
            <v>-18137</v>
          </cell>
          <cell r="AB21">
            <v>-17885</v>
          </cell>
          <cell r="AC21">
            <v>-19561</v>
          </cell>
          <cell r="AD21">
            <v>-17521</v>
          </cell>
          <cell r="AE21">
            <v>-19107</v>
          </cell>
          <cell r="AF21">
            <v>-17680</v>
          </cell>
          <cell r="AG21">
            <v>-19814</v>
          </cell>
          <cell r="AH21">
            <v>-18918</v>
          </cell>
          <cell r="AI21">
            <v>-21210</v>
          </cell>
          <cell r="AJ21">
            <v>-20417</v>
          </cell>
          <cell r="AK21">
            <v>-21989</v>
          </cell>
          <cell r="AL21">
            <v>-20386</v>
          </cell>
          <cell r="AM21">
            <v>-22560.504544058043</v>
          </cell>
          <cell r="AN21">
            <v>-20848.729956979634</v>
          </cell>
        </row>
        <row r="22">
          <cell r="B22" t="str">
            <v>Total operating expense (excl. D&amp;A)</v>
          </cell>
          <cell r="C22" t="str">
            <v>TOT_OPS_EXP</v>
          </cell>
          <cell r="D22" t="str">
            <v>AUD</v>
          </cell>
          <cell r="F22">
            <v>-36968</v>
          </cell>
          <cell r="G22">
            <v>-37173.4</v>
          </cell>
          <cell r="H22">
            <v>-33324.800000000003</v>
          </cell>
          <cell r="I22">
            <v>-34527</v>
          </cell>
          <cell r="J22">
            <v>-35523</v>
          </cell>
          <cell r="K22">
            <v>-35355</v>
          </cell>
          <cell r="L22">
            <v>-37209</v>
          </cell>
          <cell r="M22">
            <v>-40025</v>
          </cell>
          <cell r="N22">
            <v>-40546</v>
          </cell>
          <cell r="O22">
            <v>-41461.349501037679</v>
          </cell>
          <cell r="P22">
            <v>-42597.309115077303</v>
          </cell>
          <cell r="Q22">
            <v>-44352.022664251832</v>
          </cell>
          <cell r="R22">
            <v>-46214.432457431743</v>
          </cell>
          <cell r="S22">
            <v>-48150.666008848195</v>
          </cell>
          <cell r="W22">
            <v>-19247</v>
          </cell>
          <cell r="X22">
            <v>-17926.400000000001</v>
          </cell>
          <cell r="Y22">
            <v>-17423</v>
          </cell>
          <cell r="Z22">
            <v>-15901.800000000001</v>
          </cell>
          <cell r="AA22">
            <v>-17382</v>
          </cell>
          <cell r="AB22">
            <v>-17145</v>
          </cell>
          <cell r="AC22">
            <v>-18779</v>
          </cell>
          <cell r="AD22">
            <v>-16744</v>
          </cell>
          <cell r="AE22">
            <v>-18389</v>
          </cell>
          <cell r="AF22">
            <v>-16966</v>
          </cell>
          <cell r="AG22">
            <v>-19063</v>
          </cell>
          <cell r="AH22">
            <v>-18146</v>
          </cell>
          <cell r="AI22">
            <v>-20420</v>
          </cell>
          <cell r="AJ22">
            <v>-19605</v>
          </cell>
          <cell r="AK22">
            <v>-21061</v>
          </cell>
          <cell r="AL22">
            <v>-19485</v>
          </cell>
          <cell r="AM22">
            <v>-21586.104544058042</v>
          </cell>
          <cell r="AN22">
            <v>-19875.244956979634</v>
          </cell>
        </row>
        <row r="23">
          <cell r="B23" t="str">
            <v>EBITDA</v>
          </cell>
          <cell r="C23" t="str">
            <v>EBITDA_CALC</v>
          </cell>
          <cell r="D23" t="str">
            <v>AUD</v>
          </cell>
          <cell r="F23">
            <v>2157</v>
          </cell>
          <cell r="G23">
            <v>2044.6</v>
          </cell>
          <cell r="H23">
            <v>1964.6</v>
          </cell>
          <cell r="I23">
            <v>3257</v>
          </cell>
          <cell r="J23">
            <v>3432</v>
          </cell>
          <cell r="K23">
            <v>3259</v>
          </cell>
          <cell r="L23">
            <v>3382</v>
          </cell>
          <cell r="M23">
            <v>3659</v>
          </cell>
          <cell r="N23">
            <v>3941</v>
          </cell>
          <cell r="O23">
            <v>4356.1190230570219</v>
          </cell>
          <cell r="P23">
            <v>4637.2420919343176</v>
          </cell>
          <cell r="Q23">
            <v>4872.8580020924701</v>
          </cell>
          <cell r="R23">
            <v>5077.5411687500018</v>
          </cell>
          <cell r="S23">
            <v>5287.9771166431256</v>
          </cell>
          <cell r="W23">
            <v>1109</v>
          </cell>
          <cell r="X23">
            <v>935.6</v>
          </cell>
          <cell r="Y23">
            <v>1043</v>
          </cell>
          <cell r="Z23">
            <v>921.6</v>
          </cell>
          <cell r="AA23">
            <v>1665</v>
          </cell>
          <cell r="AB23">
            <v>1592</v>
          </cell>
          <cell r="AC23">
            <v>1802</v>
          </cell>
          <cell r="AD23">
            <v>1630</v>
          </cell>
          <cell r="AE23">
            <v>1681</v>
          </cell>
          <cell r="AF23">
            <v>1578</v>
          </cell>
          <cell r="AG23">
            <v>1809</v>
          </cell>
          <cell r="AH23">
            <v>1573</v>
          </cell>
          <cell r="AI23">
            <v>1854</v>
          </cell>
          <cell r="AJ23">
            <v>1805</v>
          </cell>
          <cell r="AK23">
            <v>2045</v>
          </cell>
          <cell r="AL23">
            <v>1896</v>
          </cell>
          <cell r="AM23">
            <v>2226.0456972007005</v>
          </cell>
          <cell r="AN23">
            <v>2130.0733258563214</v>
          </cell>
        </row>
        <row r="24">
          <cell r="B24" t="str">
            <v>Depreciation</v>
          </cell>
          <cell r="C24" t="str">
            <v>DEPREC</v>
          </cell>
          <cell r="D24" t="str">
            <v>AUD</v>
          </cell>
          <cell r="F24">
            <v>-643</v>
          </cell>
          <cell r="G24">
            <v>-649.6</v>
          </cell>
          <cell r="H24">
            <v>-639.6</v>
          </cell>
          <cell r="I24">
            <v>-1495</v>
          </cell>
          <cell r="J24">
            <v>-1559</v>
          </cell>
          <cell r="K24">
            <v>-1432</v>
          </cell>
          <cell r="L24">
            <v>-1523</v>
          </cell>
          <cell r="M24">
            <v>-1602</v>
          </cell>
          <cell r="N24">
            <v>-1829</v>
          </cell>
          <cell r="O24">
            <v>-1947.885</v>
          </cell>
          <cell r="P24">
            <v>-2025.8004000000001</v>
          </cell>
          <cell r="Q24">
            <v>-2106.8324160000002</v>
          </cell>
          <cell r="R24">
            <v>-2191.1057126400001</v>
          </cell>
          <cell r="S24">
            <v>-2278.7499411456001</v>
          </cell>
          <cell r="W24">
            <v>-330</v>
          </cell>
          <cell r="X24">
            <v>-319.60000000000002</v>
          </cell>
          <cell r="Y24">
            <v>-321</v>
          </cell>
          <cell r="Z24">
            <v>-318.60000000000002</v>
          </cell>
          <cell r="AA24">
            <v>-755</v>
          </cell>
          <cell r="AB24">
            <v>-740</v>
          </cell>
          <cell r="AC24">
            <v>-782</v>
          </cell>
          <cell r="AD24">
            <v>-777</v>
          </cell>
          <cell r="AE24">
            <v>-718</v>
          </cell>
          <cell r="AF24">
            <v>-714</v>
          </cell>
          <cell r="AG24">
            <v>-751</v>
          </cell>
          <cell r="AH24">
            <v>-772</v>
          </cell>
          <cell r="AI24">
            <v>-790</v>
          </cell>
          <cell r="AJ24">
            <v>-812</v>
          </cell>
          <cell r="AK24">
            <v>-928</v>
          </cell>
          <cell r="AL24">
            <v>-901</v>
          </cell>
          <cell r="AM24">
            <v>-974.40000000000009</v>
          </cell>
          <cell r="AN24">
            <v>-973.4849999999999</v>
          </cell>
        </row>
        <row r="25">
          <cell r="B25" t="str">
            <v>Amortization</v>
          </cell>
          <cell r="C25" t="str">
            <v>GOODWILL_AMORT</v>
          </cell>
          <cell r="D25" t="str">
            <v>AUD</v>
          </cell>
        </row>
        <row r="26">
          <cell r="B26" t="str">
            <v>EBIT, operating profit</v>
          </cell>
          <cell r="C26" t="str">
            <v>EBIT</v>
          </cell>
          <cell r="D26" t="str">
            <v>AUD</v>
          </cell>
          <cell r="F26">
            <v>1514</v>
          </cell>
          <cell r="G26">
            <v>1395</v>
          </cell>
          <cell r="H26">
            <v>1325</v>
          </cell>
          <cell r="I26">
            <v>1762</v>
          </cell>
          <cell r="J26">
            <v>1873</v>
          </cell>
          <cell r="K26">
            <v>1827</v>
          </cell>
          <cell r="L26">
            <v>1859</v>
          </cell>
          <cell r="M26">
            <v>2057</v>
          </cell>
          <cell r="N26">
            <v>2112</v>
          </cell>
          <cell r="O26">
            <v>2408.2340230570221</v>
          </cell>
          <cell r="P26">
            <v>2611.4416919343175</v>
          </cell>
          <cell r="Q26">
            <v>2766.0255860924699</v>
          </cell>
          <cell r="R26">
            <v>2886.4354561100017</v>
          </cell>
          <cell r="S26">
            <v>3009.227175497525</v>
          </cell>
          <cell r="W26">
            <v>779</v>
          </cell>
          <cell r="X26">
            <v>616</v>
          </cell>
          <cell r="Y26">
            <v>722</v>
          </cell>
          <cell r="Z26">
            <v>603</v>
          </cell>
          <cell r="AA26">
            <v>910</v>
          </cell>
          <cell r="AB26">
            <v>852</v>
          </cell>
          <cell r="AC26">
            <v>1020</v>
          </cell>
          <cell r="AD26">
            <v>853</v>
          </cell>
          <cell r="AE26">
            <v>963</v>
          </cell>
          <cell r="AF26">
            <v>864</v>
          </cell>
          <cell r="AG26">
            <v>1058</v>
          </cell>
          <cell r="AH26">
            <v>801</v>
          </cell>
          <cell r="AI26">
            <v>1064</v>
          </cell>
          <cell r="AJ26">
            <v>993</v>
          </cell>
          <cell r="AK26">
            <v>1117</v>
          </cell>
          <cell r="AL26">
            <v>995</v>
          </cell>
          <cell r="AM26">
            <v>1251.6456972007006</v>
          </cell>
          <cell r="AN26">
            <v>1156.5883258563215</v>
          </cell>
        </row>
        <row r="27">
          <cell r="B27" t="str">
            <v>Interest income</v>
          </cell>
          <cell r="C27" t="str">
            <v>INT_INC_IND</v>
          </cell>
          <cell r="D27" t="str">
            <v>AUD</v>
          </cell>
        </row>
        <row r="28">
          <cell r="B28" t="str">
            <v>Interest expense</v>
          </cell>
          <cell r="C28" t="str">
            <v>INT_EXP_IND</v>
          </cell>
          <cell r="D28" t="str">
            <v>AUD</v>
          </cell>
          <cell r="F28">
            <v>0</v>
          </cell>
          <cell r="G28">
            <v>-0.1</v>
          </cell>
          <cell r="H28">
            <v>-41.5</v>
          </cell>
          <cell r="I28">
            <v>-443</v>
          </cell>
          <cell r="J28">
            <v>-427</v>
          </cell>
          <cell r="K28">
            <v>-360</v>
          </cell>
          <cell r="L28">
            <v>-394</v>
          </cell>
          <cell r="M28">
            <v>-442</v>
          </cell>
          <cell r="N28">
            <v>-541</v>
          </cell>
          <cell r="O28">
            <v>-552.75</v>
          </cell>
          <cell r="P28">
            <v>-565.88249999999994</v>
          </cell>
          <cell r="Q28">
            <v>-579.40897500000005</v>
          </cell>
          <cell r="R28">
            <v>-593.34124425000005</v>
          </cell>
          <cell r="S28">
            <v>-607.69148157749999</v>
          </cell>
          <cell r="W28">
            <v>0</v>
          </cell>
          <cell r="X28">
            <v>-0.1</v>
          </cell>
          <cell r="Y28">
            <v>-7</v>
          </cell>
          <cell r="Z28">
            <v>-34.5</v>
          </cell>
          <cell r="AA28">
            <v>-220</v>
          </cell>
          <cell r="AB28">
            <v>-223</v>
          </cell>
          <cell r="AC28">
            <v>-219</v>
          </cell>
          <cell r="AD28">
            <v>-208</v>
          </cell>
          <cell r="AE28">
            <v>-180</v>
          </cell>
          <cell r="AF28">
            <v>-180</v>
          </cell>
          <cell r="AG28">
            <v>-187</v>
          </cell>
          <cell r="AH28">
            <v>-207</v>
          </cell>
          <cell r="AI28">
            <v>-213</v>
          </cell>
          <cell r="AJ28">
            <v>-229</v>
          </cell>
          <cell r="AK28">
            <v>-271</v>
          </cell>
          <cell r="AL28">
            <v>-270</v>
          </cell>
          <cell r="AM28">
            <v>-280</v>
          </cell>
          <cell r="AN28">
            <v>-272.75</v>
          </cell>
        </row>
        <row r="29">
          <cell r="B29" t="str">
            <v>Net interest income/(expense)</v>
          </cell>
          <cell r="C29" t="str">
            <v>NET_INT_EXP</v>
          </cell>
          <cell r="D29" t="str">
            <v>AUD</v>
          </cell>
          <cell r="F29">
            <v>0</v>
          </cell>
          <cell r="G29">
            <v>-0.1</v>
          </cell>
          <cell r="H29">
            <v>-41.5</v>
          </cell>
          <cell r="I29">
            <v>-443</v>
          </cell>
          <cell r="J29">
            <v>-427</v>
          </cell>
          <cell r="K29">
            <v>-360</v>
          </cell>
          <cell r="L29">
            <v>-394</v>
          </cell>
          <cell r="M29">
            <v>-442</v>
          </cell>
          <cell r="N29">
            <v>-541</v>
          </cell>
          <cell r="O29">
            <v>-552.75</v>
          </cell>
          <cell r="P29">
            <v>-565.88249999999994</v>
          </cell>
          <cell r="Q29">
            <v>-579.40897500000005</v>
          </cell>
          <cell r="R29">
            <v>-593.34124425000005</v>
          </cell>
          <cell r="S29">
            <v>-607.69148157749999</v>
          </cell>
          <cell r="W29">
            <v>0</v>
          </cell>
          <cell r="X29">
            <v>-0.1</v>
          </cell>
          <cell r="Y29">
            <v>-7</v>
          </cell>
          <cell r="Z29">
            <v>-34.5</v>
          </cell>
          <cell r="AA29">
            <v>-220</v>
          </cell>
          <cell r="AB29">
            <v>-223</v>
          </cell>
          <cell r="AC29">
            <v>-219</v>
          </cell>
          <cell r="AD29">
            <v>-208</v>
          </cell>
          <cell r="AE29">
            <v>-180</v>
          </cell>
          <cell r="AF29">
            <v>-180</v>
          </cell>
          <cell r="AG29">
            <v>-187</v>
          </cell>
          <cell r="AH29">
            <v>-207</v>
          </cell>
          <cell r="AI29">
            <v>-213</v>
          </cell>
          <cell r="AJ29">
            <v>-229</v>
          </cell>
          <cell r="AK29">
            <v>-271</v>
          </cell>
          <cell r="AL29">
            <v>-270</v>
          </cell>
          <cell r="AM29">
            <v>-280</v>
          </cell>
          <cell r="AN29">
            <v>-272.75</v>
          </cell>
        </row>
        <row r="30">
          <cell r="B30" t="str">
            <v>Income/(loss) from unconsolidated subs &amp; associates</v>
          </cell>
          <cell r="C30" t="str">
            <v>ASSOCIATE</v>
          </cell>
          <cell r="D30" t="str">
            <v>AUD</v>
          </cell>
        </row>
        <row r="31">
          <cell r="B31" t="str">
            <v>Profit/(loss) on disposals of assets, pre-tax</v>
          </cell>
          <cell r="C31" t="str">
            <v>PROFIT_ON_DISP</v>
          </cell>
          <cell r="D31" t="str">
            <v>AUD</v>
          </cell>
        </row>
        <row r="32">
          <cell r="B32" t="str">
            <v>Other non-ops income/(expense)</v>
          </cell>
          <cell r="C32" t="str">
            <v>OTH_COST_INC</v>
          </cell>
          <cell r="D32" t="str">
            <v>AUD</v>
          </cell>
        </row>
        <row r="33">
          <cell r="B33" t="str">
            <v>Pre-tax profit</v>
          </cell>
          <cell r="C33" t="str">
            <v>PT_PROF</v>
          </cell>
          <cell r="D33" t="str">
            <v>AUD</v>
          </cell>
          <cell r="F33">
            <v>1514</v>
          </cell>
          <cell r="G33">
            <v>1394.9</v>
          </cell>
          <cell r="H33">
            <v>1283.5</v>
          </cell>
          <cell r="I33">
            <v>1319</v>
          </cell>
          <cell r="J33">
            <v>1446</v>
          </cell>
          <cell r="K33">
            <v>1467</v>
          </cell>
          <cell r="L33">
            <v>1465</v>
          </cell>
          <cell r="M33">
            <v>1615</v>
          </cell>
          <cell r="N33">
            <v>1571</v>
          </cell>
          <cell r="O33">
            <v>1855.4840230570221</v>
          </cell>
          <cell r="P33">
            <v>2045.5591919343176</v>
          </cell>
          <cell r="Q33">
            <v>2186.6166110924696</v>
          </cell>
          <cell r="R33">
            <v>2293.0942118600015</v>
          </cell>
          <cell r="S33">
            <v>2401.5356939200251</v>
          </cell>
          <cell r="W33">
            <v>779</v>
          </cell>
          <cell r="X33">
            <v>615.9</v>
          </cell>
          <cell r="Y33">
            <v>715</v>
          </cell>
          <cell r="Z33">
            <v>568.5</v>
          </cell>
          <cell r="AA33">
            <v>690</v>
          </cell>
          <cell r="AB33">
            <v>629</v>
          </cell>
          <cell r="AC33">
            <v>801</v>
          </cell>
          <cell r="AD33">
            <v>645</v>
          </cell>
          <cell r="AE33">
            <v>783</v>
          </cell>
          <cell r="AF33">
            <v>684</v>
          </cell>
          <cell r="AG33">
            <v>871</v>
          </cell>
          <cell r="AH33">
            <v>594</v>
          </cell>
          <cell r="AI33">
            <v>851</v>
          </cell>
          <cell r="AJ33">
            <v>764</v>
          </cell>
          <cell r="AK33">
            <v>846</v>
          </cell>
          <cell r="AL33">
            <v>725</v>
          </cell>
          <cell r="AM33">
            <v>971.64569720070062</v>
          </cell>
          <cell r="AN33">
            <v>883.83832585632149</v>
          </cell>
        </row>
        <row r="34">
          <cell r="A34" t="str">
            <v>ANZ Income Statement</v>
          </cell>
        </row>
        <row r="35">
          <cell r="B35" t="str">
            <v>Dividends received</v>
          </cell>
          <cell r="C35" t="str">
            <v>DIVIDENDS_RECEIVED</v>
          </cell>
          <cell r="D35" t="str">
            <v>AUD</v>
          </cell>
        </row>
        <row r="36">
          <cell r="B36" t="str">
            <v>Proceeds arising from the sale of non-current assets</v>
          </cell>
          <cell r="C36" t="str">
            <v>PROCEEDS_NCASSET</v>
          </cell>
          <cell r="D36" t="str">
            <v>AUD</v>
          </cell>
        </row>
        <row r="37">
          <cell r="B37" t="str">
            <v>Total Operating Revenue</v>
          </cell>
          <cell r="C37" t="str">
            <v>TOTAL_OPR_REVENUE</v>
          </cell>
          <cell r="D37" t="str">
            <v>AUD</v>
          </cell>
        </row>
        <row r="38">
          <cell r="B38" t="str">
            <v>Marketing/Advertising</v>
          </cell>
          <cell r="C38" t="str">
            <v>MARKETING_ADVERTISNIG</v>
          </cell>
          <cell r="D38" t="str">
            <v>AUD</v>
          </cell>
        </row>
        <row r="39">
          <cell r="B39" t="str">
            <v>Access and Connection</v>
          </cell>
          <cell r="C39" t="str">
            <v>ACCESS_CONNECTION</v>
          </cell>
          <cell r="D39" t="str">
            <v>AUD</v>
          </cell>
        </row>
        <row r="40">
          <cell r="B40" t="str">
            <v>Selling, General &amp; Admin</v>
          </cell>
          <cell r="C40" t="str">
            <v>SEL_GL_AD_OTHER</v>
          </cell>
          <cell r="D40" t="str">
            <v>AUD</v>
          </cell>
        </row>
        <row r="41">
          <cell r="B41" t="str">
            <v>Labour</v>
          </cell>
          <cell r="C41" t="str">
            <v>LABOUR</v>
          </cell>
          <cell r="D41" t="str">
            <v>AUD</v>
          </cell>
        </row>
        <row r="42">
          <cell r="B42" t="str">
            <v>Share Based Payments</v>
          </cell>
          <cell r="C42" t="str">
            <v>SHARE_BASED_PAYMENTS</v>
          </cell>
          <cell r="D42" t="str">
            <v>AUD</v>
          </cell>
        </row>
        <row r="43">
          <cell r="B43" t="str">
            <v>EBITDA (incl Assoc post tax (where possible) and non-operating profit)</v>
          </cell>
          <cell r="C43" t="str">
            <v>EBITDA_CONSOLIDATED</v>
          </cell>
          <cell r="D43" t="str">
            <v>AUD</v>
          </cell>
        </row>
        <row r="44">
          <cell r="B44" t="str">
            <v>Amortisation of Intangibles</v>
          </cell>
          <cell r="C44" t="str">
            <v>AMORT_OF_INTANGIBLES</v>
          </cell>
          <cell r="D44" t="str">
            <v>AUD</v>
          </cell>
        </row>
        <row r="45">
          <cell r="B45" t="str">
            <v>Amortisation of Goodwill</v>
          </cell>
          <cell r="C45" t="str">
            <v>AMORT_OF_INTANGIBLES_ADJ</v>
          </cell>
          <cell r="D45" t="str">
            <v>AUD</v>
          </cell>
        </row>
        <row r="46">
          <cell r="B46" t="str">
            <v>Total Depreciation/Amortisation</v>
          </cell>
          <cell r="C46" t="str">
            <v>TOTAL_DEPREC_AMORT</v>
          </cell>
          <cell r="D46" t="str">
            <v>AUD</v>
          </cell>
        </row>
        <row r="47">
          <cell r="B47" t="str">
            <v>Consolidated EBIT (pre associates)</v>
          </cell>
          <cell r="C47" t="str">
            <v>EBIT_CONSOLIDATED_PRE_ASSOC</v>
          </cell>
          <cell r="D47" t="str">
            <v>AUD</v>
          </cell>
        </row>
        <row r="48">
          <cell r="B48" t="str">
            <v>EBIT (incl Assoc post tax (where possible) and non-operating profit)</v>
          </cell>
          <cell r="C48" t="str">
            <v>EBIT_CONSOLIDATED</v>
          </cell>
          <cell r="D48" t="str">
            <v>AUD</v>
          </cell>
        </row>
        <row r="49">
          <cell r="B49" t="str">
            <v>Earnings before taxes (pre associates)</v>
          </cell>
          <cell r="C49" t="str">
            <v>OPPL_BTAX_EX_ASSOC</v>
          </cell>
          <cell r="D49" t="str">
            <v>AUD</v>
          </cell>
        </row>
        <row r="50">
          <cell r="B50" t="str">
            <v>Profit or loss before tax on abnormal items</v>
          </cell>
          <cell r="C50" t="str">
            <v>PL_BTAX_ON_AB</v>
          </cell>
          <cell r="D50" t="str">
            <v>AUD</v>
          </cell>
        </row>
        <row r="51">
          <cell r="B51" t="str">
            <v>Profit/Loss on defined benefit plan contribution (Pre Tax)</v>
          </cell>
          <cell r="C51" t="str">
            <v>PROFIT_DEFBEN_PLAN_PRE_TAX</v>
          </cell>
          <cell r="D51" t="str">
            <v>AUD</v>
          </cell>
        </row>
        <row r="52">
          <cell r="B52" t="str">
            <v>Goodwill Asset impairment Charge (Pre Tax)</v>
          </cell>
          <cell r="C52" t="str">
            <v>GWILL_ASSET_IMPAIR_CHG_PRE_TAX</v>
          </cell>
          <cell r="D52" t="str">
            <v>AUD</v>
          </cell>
        </row>
        <row r="53">
          <cell r="B53" t="str">
            <v>Other Asset impairment Charge (Pre Tax)</v>
          </cell>
          <cell r="C53" t="str">
            <v>OTHER_ASSET_IMPAIR_CHG_PRE_TAX</v>
          </cell>
          <cell r="D53" t="str">
            <v>AUD</v>
          </cell>
        </row>
        <row r="54">
          <cell r="B54" t="str">
            <v>Financial instruments/hedging (Pre Tax)</v>
          </cell>
          <cell r="C54" t="str">
            <v>FIN_INSTRUMENT_HEDGE_PRE_TAX</v>
          </cell>
          <cell r="D54" t="str">
            <v>AUD</v>
          </cell>
        </row>
        <row r="55">
          <cell r="B55" t="str">
            <v>Other IFRS adjustments (Pre Tax)</v>
          </cell>
          <cell r="C55" t="str">
            <v>OTHER_IFRS_ADJUST_PRE_TAX</v>
          </cell>
          <cell r="D55" t="str">
            <v>AUD</v>
          </cell>
        </row>
        <row r="56">
          <cell r="B56" t="str">
            <v>Total IFRS Adjustments (Pre Tax)</v>
          </cell>
          <cell r="C56" t="str">
            <v>TOTAL_IFRS_ADJUST_PRE_TAX</v>
          </cell>
          <cell r="D56" t="str">
            <v>AUD</v>
          </cell>
        </row>
        <row r="57">
          <cell r="B57" t="str">
            <v>Profit/Loss on defined benefit plan contribution (Post Tax)</v>
          </cell>
          <cell r="C57" t="str">
            <v>PROFIT_DEFBEN_PLAN_POST_TAX</v>
          </cell>
          <cell r="D57" t="str">
            <v>AUD</v>
          </cell>
        </row>
        <row r="58">
          <cell r="B58" t="str">
            <v>Operating profit or loss before tax (post abnormals)</v>
          </cell>
          <cell r="C58" t="str">
            <v>OPPL_BTAX_POST_AB</v>
          </cell>
          <cell r="D58" t="str">
            <v>AUD</v>
          </cell>
        </row>
        <row r="59">
          <cell r="A59" t="str">
            <v>Additional Income Statement Items</v>
          </cell>
        </row>
        <row r="60">
          <cell r="B60" t="str">
            <v>Operating lease cost</v>
          </cell>
          <cell r="C60" t="str">
            <v>LEASE_PAY</v>
          </cell>
          <cell r="D60" t="str">
            <v>AUD</v>
          </cell>
        </row>
        <row r="61">
          <cell r="B61" t="str">
            <v>Lease payments (deemed interest portion)</v>
          </cell>
          <cell r="C61" t="str">
            <v>LEASE_DEEM_INT</v>
          </cell>
          <cell r="D61" t="str">
            <v>AUD</v>
          </cell>
        </row>
        <row r="62">
          <cell r="B62" t="str">
            <v>Lease payments (deemed depreciation portion)</v>
          </cell>
          <cell r="C62" t="str">
            <v>LEASE_DEEM_DEPR</v>
          </cell>
          <cell r="D62" t="str">
            <v>AUD</v>
          </cell>
        </row>
        <row r="63">
          <cell r="B63" t="str">
            <v>Gross interest charge</v>
          </cell>
          <cell r="C63" t="str">
            <v>NET_INT_CH</v>
          </cell>
          <cell r="D63" t="str">
            <v>AUD</v>
          </cell>
        </row>
        <row r="64">
          <cell r="B64" t="str">
            <v>Income from associates (operating)</v>
          </cell>
          <cell r="C64" t="str">
            <v>ASSOCIATE_OP</v>
          </cell>
          <cell r="D64" t="str">
            <v>AUD</v>
          </cell>
        </row>
        <row r="65">
          <cell r="B65" t="str">
            <v>Other Revenue</v>
          </cell>
          <cell r="C65" t="str">
            <v>OTHER_REVENUE</v>
          </cell>
          <cell r="D65" t="str">
            <v>AUD</v>
          </cell>
        </row>
        <row r="66">
          <cell r="B66" t="str">
            <v>NI impact from a 10% reporting currency depreciation vs USD</v>
          </cell>
          <cell r="C66" t="str">
            <v>FX_USD_NI_SENSITIVITY</v>
          </cell>
          <cell r="D66" t="str">
            <v>AUD</v>
          </cell>
        </row>
        <row r="67">
          <cell r="B67" t="str">
            <v>NI impact from a 10% reporting currency depreciation vs EUR</v>
          </cell>
          <cell r="C67" t="str">
            <v>FX_EUR_NI_SENSITIVITY</v>
          </cell>
          <cell r="D67" t="str">
            <v>AUD</v>
          </cell>
        </row>
        <row r="68">
          <cell r="B68" t="str">
            <v>NI impact from a 10% reporting currency depreciation vs AUD</v>
          </cell>
          <cell r="C68" t="str">
            <v>FX_AUD_NI_SENSITIVITY</v>
          </cell>
          <cell r="D68" t="str">
            <v>AUD</v>
          </cell>
        </row>
        <row r="69">
          <cell r="B69" t="str">
            <v>Depreciation ROU assets   (applicable to IFRS cos.)</v>
          </cell>
          <cell r="C69" t="str">
            <v>DEPR_ROU_ASSETS</v>
          </cell>
          <cell r="D69" t="str">
            <v>AUD</v>
          </cell>
          <cell r="I69">
            <v>-861</v>
          </cell>
          <cell r="J69">
            <v>-903</v>
          </cell>
          <cell r="K69">
            <v>-895</v>
          </cell>
          <cell r="L69">
            <v>-847</v>
          </cell>
          <cell r="M69">
            <v>-830</v>
          </cell>
          <cell r="N69">
            <v>-927</v>
          </cell>
          <cell r="O69">
            <v>-954.81000000000006</v>
          </cell>
          <cell r="P69">
            <v>-988.22834999999998</v>
          </cell>
          <cell r="Q69">
            <v>-1022.8163422499999</v>
          </cell>
          <cell r="R69">
            <v>-1058.6149142287497</v>
          </cell>
          <cell r="S69">
            <v>-1095.6664362267559</v>
          </cell>
        </row>
        <row r="70">
          <cell r="B70" t="str">
            <v>Lease interest charge  (applicable to IFRS cos.)</v>
          </cell>
          <cell r="C70" t="str">
            <v>LEASE_INT_CHG</v>
          </cell>
          <cell r="D70" t="str">
            <v>AUD</v>
          </cell>
          <cell r="I70">
            <v>-399</v>
          </cell>
          <cell r="J70">
            <v>-390</v>
          </cell>
          <cell r="K70">
            <v>-363</v>
          </cell>
          <cell r="L70">
            <v>-372</v>
          </cell>
          <cell r="M70">
            <v>-363</v>
          </cell>
          <cell r="N70">
            <v>-425</v>
          </cell>
          <cell r="O70">
            <v>-437.75</v>
          </cell>
          <cell r="P70">
            <v>-450.88249999999999</v>
          </cell>
          <cell r="Q70">
            <v>-464.408975</v>
          </cell>
          <cell r="R70">
            <v>-478.34124424999999</v>
          </cell>
          <cell r="S70">
            <v>-492.69148157749999</v>
          </cell>
        </row>
        <row r="71">
          <cell r="B71" t="str">
            <v>Lease standard adopted (US GAAP ASC 842/ IFRS 16)</v>
          </cell>
          <cell r="C71" t="str">
            <v>LEASE_ADOPT</v>
          </cell>
          <cell r="E71" t="str">
            <v>Y</v>
          </cell>
        </row>
        <row r="72">
          <cell r="A72" t="str">
            <v>Balance Sheet</v>
          </cell>
        </row>
        <row r="73">
          <cell r="B73" t="str">
            <v>Cash &amp; cash equivalents</v>
          </cell>
          <cell r="C73" t="str">
            <v>CASH_EQ</v>
          </cell>
          <cell r="D73" t="str">
            <v>AUD</v>
          </cell>
          <cell r="G73">
            <v>686.1</v>
          </cell>
          <cell r="H73">
            <v>940.4</v>
          </cell>
          <cell r="I73">
            <v>992</v>
          </cell>
          <cell r="J73">
            <v>787</v>
          </cell>
          <cell r="K73">
            <v>589</v>
          </cell>
          <cell r="L73">
            <v>597</v>
          </cell>
          <cell r="M73">
            <v>675.00000000000011</v>
          </cell>
          <cell r="N73">
            <v>705.00000000000011</v>
          </cell>
          <cell r="O73">
            <v>737.00076684336148</v>
          </cell>
          <cell r="P73">
            <v>781.50581440956341</v>
          </cell>
          <cell r="Q73">
            <v>852.91404561965976</v>
          </cell>
          <cell r="R73">
            <v>931.37742057819071</v>
          </cell>
          <cell r="S73">
            <v>1016.7905340761992</v>
          </cell>
          <cell r="W73">
            <v>669</v>
          </cell>
          <cell r="X73">
            <v>0</v>
          </cell>
          <cell r="Y73">
            <v>484</v>
          </cell>
          <cell r="Z73">
            <v>0</v>
          </cell>
          <cell r="AA73">
            <v>797</v>
          </cell>
          <cell r="AB73">
            <v>0</v>
          </cell>
          <cell r="AC73">
            <v>1178</v>
          </cell>
          <cell r="AD73">
            <v>0</v>
          </cell>
          <cell r="AE73">
            <v>1098</v>
          </cell>
          <cell r="AF73">
            <v>0</v>
          </cell>
          <cell r="AG73">
            <v>698</v>
          </cell>
          <cell r="AH73">
            <v>0</v>
          </cell>
          <cell r="AI73">
            <v>1092</v>
          </cell>
          <cell r="AJ73">
            <v>0</v>
          </cell>
          <cell r="AK73">
            <v>625.00000000000011</v>
          </cell>
          <cell r="AL73">
            <v>0</v>
          </cell>
          <cell r="AM73">
            <v>0</v>
          </cell>
          <cell r="AN73">
            <v>0</v>
          </cell>
        </row>
        <row r="74">
          <cell r="B74" t="str">
            <v>Accounts receivable</v>
          </cell>
          <cell r="C74" t="str">
            <v>DEBTORS</v>
          </cell>
          <cell r="D74" t="str">
            <v>AUD</v>
          </cell>
          <cell r="G74">
            <v>497.2</v>
          </cell>
          <cell r="H74">
            <v>359.7</v>
          </cell>
          <cell r="I74">
            <v>434</v>
          </cell>
          <cell r="J74">
            <v>368</v>
          </cell>
          <cell r="K74">
            <v>470</v>
          </cell>
          <cell r="L74">
            <v>605</v>
          </cell>
          <cell r="M74">
            <v>496</v>
          </cell>
          <cell r="N74">
            <v>487</v>
          </cell>
          <cell r="O74">
            <v>503.09134134276064</v>
          </cell>
          <cell r="P74">
            <v>518.65138974149215</v>
          </cell>
          <cell r="Q74">
            <v>540.50588213631124</v>
          </cell>
          <cell r="R74">
            <v>563.20326379758546</v>
          </cell>
          <cell r="S74">
            <v>586.77442284709309</v>
          </cell>
          <cell r="W74">
            <v>721</v>
          </cell>
          <cell r="X74">
            <v>0</v>
          </cell>
          <cell r="Y74">
            <v>560</v>
          </cell>
          <cell r="Z74">
            <v>0</v>
          </cell>
          <cell r="AA74">
            <v>353</v>
          </cell>
          <cell r="AB74">
            <v>0</v>
          </cell>
          <cell r="AC74">
            <v>415</v>
          </cell>
          <cell r="AD74">
            <v>0</v>
          </cell>
          <cell r="AE74">
            <v>336</v>
          </cell>
          <cell r="AF74">
            <v>0</v>
          </cell>
          <cell r="AG74">
            <v>473</v>
          </cell>
          <cell r="AH74">
            <v>0</v>
          </cell>
          <cell r="AI74">
            <v>553</v>
          </cell>
          <cell r="AJ74">
            <v>0</v>
          </cell>
          <cell r="AK74">
            <v>500</v>
          </cell>
          <cell r="AL74">
            <v>0</v>
          </cell>
          <cell r="AM74">
            <v>0</v>
          </cell>
          <cell r="AN74">
            <v>0</v>
          </cell>
        </row>
        <row r="75">
          <cell r="B75" t="str">
            <v>Inventory</v>
          </cell>
          <cell r="C75" t="str">
            <v>STOCKS</v>
          </cell>
          <cell r="D75" t="str">
            <v>AUD</v>
          </cell>
          <cell r="G75">
            <v>3442.3</v>
          </cell>
          <cell r="H75">
            <v>1964.7</v>
          </cell>
          <cell r="I75">
            <v>2166</v>
          </cell>
          <cell r="J75">
            <v>2107</v>
          </cell>
          <cell r="K75">
            <v>2448</v>
          </cell>
          <cell r="L75">
            <v>2323</v>
          </cell>
          <cell r="M75">
            <v>2703</v>
          </cell>
          <cell r="N75">
            <v>2733</v>
          </cell>
          <cell r="O75">
            <v>2823.303153777751</v>
          </cell>
          <cell r="P75">
            <v>2910.6247395554374</v>
          </cell>
          <cell r="Q75">
            <v>3033.2701763419682</v>
          </cell>
          <cell r="R75">
            <v>3160.6458315375789</v>
          </cell>
          <cell r="S75">
            <v>3292.925046490976</v>
          </cell>
          <cell r="W75">
            <v>3863</v>
          </cell>
          <cell r="X75">
            <v>0</v>
          </cell>
          <cell r="Y75">
            <v>2429</v>
          </cell>
          <cell r="Z75">
            <v>0</v>
          </cell>
          <cell r="AA75">
            <v>2473</v>
          </cell>
          <cell r="AB75">
            <v>0</v>
          </cell>
          <cell r="AC75">
            <v>2423</v>
          </cell>
          <cell r="AD75">
            <v>0</v>
          </cell>
          <cell r="AE75">
            <v>2387</v>
          </cell>
          <cell r="AF75">
            <v>0</v>
          </cell>
          <cell r="AG75">
            <v>2825</v>
          </cell>
          <cell r="AH75">
            <v>0</v>
          </cell>
          <cell r="AI75">
            <v>2868</v>
          </cell>
          <cell r="AJ75">
            <v>0</v>
          </cell>
          <cell r="AK75">
            <v>2957</v>
          </cell>
          <cell r="AL75">
            <v>0</v>
          </cell>
          <cell r="AM75">
            <v>0</v>
          </cell>
          <cell r="AN75">
            <v>0</v>
          </cell>
        </row>
        <row r="76">
          <cell r="B76" t="str">
            <v>Other current assets</v>
          </cell>
          <cell r="C76" t="str">
            <v>OTH_CUR_ASS</v>
          </cell>
          <cell r="D76" t="str">
            <v>AUD</v>
          </cell>
          <cell r="G76">
            <v>99.5</v>
          </cell>
          <cell r="H76">
            <v>141.1</v>
          </cell>
          <cell r="I76">
            <v>187</v>
          </cell>
          <cell r="J76">
            <v>172</v>
          </cell>
          <cell r="K76">
            <v>244</v>
          </cell>
          <cell r="L76">
            <v>227</v>
          </cell>
          <cell r="M76">
            <v>112</v>
          </cell>
          <cell r="N76">
            <v>253</v>
          </cell>
          <cell r="O76">
            <v>253</v>
          </cell>
          <cell r="P76">
            <v>253</v>
          </cell>
          <cell r="Q76">
            <v>253</v>
          </cell>
          <cell r="R76">
            <v>253</v>
          </cell>
          <cell r="S76">
            <v>253</v>
          </cell>
          <cell r="W76">
            <v>224</v>
          </cell>
          <cell r="X76">
            <v>0</v>
          </cell>
          <cell r="Y76">
            <v>243</v>
          </cell>
          <cell r="Z76">
            <v>0</v>
          </cell>
          <cell r="AA76">
            <v>222</v>
          </cell>
          <cell r="AB76">
            <v>0</v>
          </cell>
          <cell r="AC76">
            <v>117</v>
          </cell>
          <cell r="AD76">
            <v>0</v>
          </cell>
          <cell r="AE76">
            <v>154</v>
          </cell>
          <cell r="AF76">
            <v>0</v>
          </cell>
          <cell r="AG76">
            <v>1386</v>
          </cell>
          <cell r="AH76">
            <v>0</v>
          </cell>
          <cell r="AI76">
            <v>168</v>
          </cell>
          <cell r="AJ76">
            <v>0</v>
          </cell>
          <cell r="AK76">
            <v>204</v>
          </cell>
          <cell r="AL76">
            <v>0</v>
          </cell>
          <cell r="AM76">
            <v>0</v>
          </cell>
          <cell r="AN76">
            <v>0</v>
          </cell>
        </row>
        <row r="77">
          <cell r="B77" t="str">
            <v>Total current assets</v>
          </cell>
          <cell r="C77" t="str">
            <v>CUR_ASS</v>
          </cell>
          <cell r="D77" t="str">
            <v>AUD</v>
          </cell>
          <cell r="G77">
            <v>4725.1000000000004</v>
          </cell>
          <cell r="H77">
            <v>3405.9</v>
          </cell>
          <cell r="I77">
            <v>3779</v>
          </cell>
          <cell r="J77">
            <v>3434</v>
          </cell>
          <cell r="K77">
            <v>3751</v>
          </cell>
          <cell r="L77">
            <v>3752</v>
          </cell>
          <cell r="M77">
            <v>3986</v>
          </cell>
          <cell r="N77">
            <v>4178</v>
          </cell>
          <cell r="O77">
            <v>4316.3952619638731</v>
          </cell>
          <cell r="P77">
            <v>4463.7819437064927</v>
          </cell>
          <cell r="Q77">
            <v>4679.6901040979392</v>
          </cell>
          <cell r="R77">
            <v>4908.2265159133549</v>
          </cell>
          <cell r="S77">
            <v>5149.4900034142684</v>
          </cell>
          <cell r="W77">
            <v>5477</v>
          </cell>
          <cell r="X77">
            <v>0</v>
          </cell>
          <cell r="Y77">
            <v>3716</v>
          </cell>
          <cell r="Z77">
            <v>0</v>
          </cell>
          <cell r="AA77">
            <v>3845</v>
          </cell>
          <cell r="AB77">
            <v>0</v>
          </cell>
          <cell r="AC77">
            <v>4133</v>
          </cell>
          <cell r="AD77">
            <v>0</v>
          </cell>
          <cell r="AE77">
            <v>3975</v>
          </cell>
          <cell r="AF77">
            <v>0</v>
          </cell>
          <cell r="AG77">
            <v>5382</v>
          </cell>
          <cell r="AH77">
            <v>0</v>
          </cell>
          <cell r="AI77">
            <v>4681</v>
          </cell>
          <cell r="AJ77">
            <v>0</v>
          </cell>
          <cell r="AK77">
            <v>4286</v>
          </cell>
          <cell r="AL77">
            <v>0</v>
          </cell>
          <cell r="AM77">
            <v>0</v>
          </cell>
          <cell r="AN77">
            <v>0</v>
          </cell>
        </row>
        <row r="78">
          <cell r="B78" t="str">
            <v>Gross fixed assets, PP&amp;E</v>
          </cell>
          <cell r="C78" t="str">
            <v>GR_FIX_ASS</v>
          </cell>
          <cell r="D78" t="str">
            <v>AUD</v>
          </cell>
          <cell r="G78">
            <v>5223</v>
          </cell>
          <cell r="H78">
            <v>7945.2</v>
          </cell>
          <cell r="I78">
            <v>16247</v>
          </cell>
          <cell r="J78">
            <v>16867</v>
          </cell>
          <cell r="K78">
            <v>17659</v>
          </cell>
          <cell r="L78">
            <v>17821</v>
          </cell>
          <cell r="M78">
            <v>19768</v>
          </cell>
          <cell r="N78">
            <v>20811</v>
          </cell>
          <cell r="O78">
            <v>22056.190000000002</v>
          </cell>
          <cell r="P78">
            <v>23353.961650000001</v>
          </cell>
          <cell r="Q78">
            <v>24706.725307749999</v>
          </cell>
          <cell r="R78">
            <v>26117.00779352125</v>
          </cell>
          <cell r="S78">
            <v>27587.458179294495</v>
          </cell>
          <cell r="W78">
            <v>5199</v>
          </cell>
          <cell r="X78">
            <v>0</v>
          </cell>
          <cell r="Y78">
            <v>4201</v>
          </cell>
          <cell r="Z78">
            <v>0</v>
          </cell>
          <cell r="AA78">
            <v>11265</v>
          </cell>
          <cell r="AB78">
            <v>0</v>
          </cell>
          <cell r="AC78">
            <v>11979</v>
          </cell>
          <cell r="AD78">
            <v>0</v>
          </cell>
          <cell r="AE78">
            <v>11594</v>
          </cell>
          <cell r="AF78">
            <v>0</v>
          </cell>
          <cell r="AG78">
            <v>11189</v>
          </cell>
          <cell r="AH78">
            <v>0</v>
          </cell>
          <cell r="AI78">
            <v>11615</v>
          </cell>
          <cell r="AJ78">
            <v>0</v>
          </cell>
          <cell r="AK78">
            <v>12603</v>
          </cell>
          <cell r="AL78">
            <v>0</v>
          </cell>
          <cell r="AM78">
            <v>0</v>
          </cell>
          <cell r="AN78">
            <v>0</v>
          </cell>
        </row>
        <row r="79">
          <cell r="B79" t="str">
            <v>Accumulated depreciation</v>
          </cell>
          <cell r="C79" t="str">
            <v>ACC_DDA</v>
          </cell>
          <cell r="D79" t="str">
            <v>AUD</v>
          </cell>
          <cell r="H79">
            <v>-3826</v>
          </cell>
          <cell r="I79">
            <v>-4460</v>
          </cell>
          <cell r="J79">
            <v>-5116</v>
          </cell>
          <cell r="K79">
            <v>-5653</v>
          </cell>
          <cell r="L79">
            <v>-6329</v>
          </cell>
          <cell r="M79">
            <v>-7101</v>
          </cell>
          <cell r="N79">
            <v>-8003</v>
          </cell>
          <cell r="O79">
            <v>-8996.0750000000007</v>
          </cell>
          <cell r="P79">
            <v>-10033.647050000001</v>
          </cell>
          <cell r="Q79">
            <v>-11117.663123750001</v>
          </cell>
          <cell r="R79">
            <v>-12250.153922161251</v>
          </cell>
          <cell r="S79">
            <v>-13433.237427080096</v>
          </cell>
        </row>
        <row r="80">
          <cell r="B80" t="str">
            <v>Net PP&amp;E</v>
          </cell>
          <cell r="C80" t="str">
            <v>NET_FIX_ASS</v>
          </cell>
          <cell r="D80" t="str">
            <v>AUD</v>
          </cell>
          <cell r="G80">
            <v>5223</v>
          </cell>
          <cell r="H80">
            <v>4119.2</v>
          </cell>
          <cell r="I80">
            <v>11787</v>
          </cell>
          <cell r="J80">
            <v>11751</v>
          </cell>
          <cell r="K80">
            <v>12006</v>
          </cell>
          <cell r="L80">
            <v>11492</v>
          </cell>
          <cell r="M80">
            <v>12667</v>
          </cell>
          <cell r="N80">
            <v>12808</v>
          </cell>
          <cell r="O80">
            <v>13060.115</v>
          </cell>
          <cell r="P80">
            <v>13320.3146</v>
          </cell>
          <cell r="Q80">
            <v>13589.062183999999</v>
          </cell>
          <cell r="R80">
            <v>13866.853871359999</v>
          </cell>
          <cell r="S80">
            <v>14154.2207522144</v>
          </cell>
          <cell r="W80">
            <v>5199</v>
          </cell>
          <cell r="X80">
            <v>0</v>
          </cell>
          <cell r="Y80">
            <v>4201</v>
          </cell>
          <cell r="Z80">
            <v>0</v>
          </cell>
          <cell r="AA80">
            <v>11265</v>
          </cell>
          <cell r="AB80">
            <v>0</v>
          </cell>
          <cell r="AC80">
            <v>11979</v>
          </cell>
          <cell r="AD80">
            <v>0</v>
          </cell>
          <cell r="AE80">
            <v>11594</v>
          </cell>
          <cell r="AF80">
            <v>0</v>
          </cell>
          <cell r="AG80">
            <v>11189</v>
          </cell>
          <cell r="AH80">
            <v>0</v>
          </cell>
          <cell r="AI80">
            <v>11615</v>
          </cell>
          <cell r="AJ80">
            <v>0</v>
          </cell>
          <cell r="AK80">
            <v>12603</v>
          </cell>
          <cell r="AL80">
            <v>0</v>
          </cell>
          <cell r="AM80">
            <v>0</v>
          </cell>
          <cell r="AN80">
            <v>0</v>
          </cell>
        </row>
        <row r="81">
          <cell r="B81" t="str">
            <v>Gross intangibles</v>
          </cell>
          <cell r="C81" t="str">
            <v>GR_INTANG</v>
          </cell>
          <cell r="D81" t="str">
            <v>AUD</v>
          </cell>
          <cell r="G81">
            <v>1965.7</v>
          </cell>
          <cell r="H81">
            <v>1540.6</v>
          </cell>
          <cell r="I81">
            <v>1597</v>
          </cell>
          <cell r="J81">
            <v>1698</v>
          </cell>
          <cell r="K81">
            <v>1864</v>
          </cell>
          <cell r="L81">
            <v>2035</v>
          </cell>
          <cell r="M81">
            <v>2203</v>
          </cell>
          <cell r="N81">
            <v>2246</v>
          </cell>
          <cell r="O81">
            <v>2246</v>
          </cell>
          <cell r="P81">
            <v>2246</v>
          </cell>
          <cell r="Q81">
            <v>2246</v>
          </cell>
          <cell r="R81">
            <v>2246</v>
          </cell>
          <cell r="S81">
            <v>2246</v>
          </cell>
          <cell r="W81">
            <v>1950</v>
          </cell>
          <cell r="X81">
            <v>0</v>
          </cell>
          <cell r="Y81">
            <v>1660</v>
          </cell>
          <cell r="Z81">
            <v>0</v>
          </cell>
          <cell r="AA81">
            <v>1553</v>
          </cell>
          <cell r="AB81">
            <v>0</v>
          </cell>
          <cell r="AC81">
            <v>1620</v>
          </cell>
          <cell r="AD81">
            <v>0</v>
          </cell>
          <cell r="AE81">
            <v>1806</v>
          </cell>
          <cell r="AF81">
            <v>0</v>
          </cell>
          <cell r="AG81">
            <v>1887</v>
          </cell>
          <cell r="AH81">
            <v>0</v>
          </cell>
          <cell r="AI81">
            <v>2094</v>
          </cell>
          <cell r="AJ81">
            <v>0</v>
          </cell>
          <cell r="AK81">
            <v>2247</v>
          </cell>
          <cell r="AL81">
            <v>0</v>
          </cell>
          <cell r="AM81">
            <v>0</v>
          </cell>
          <cell r="AN81">
            <v>0</v>
          </cell>
        </row>
        <row r="82">
          <cell r="B82" t="str">
            <v>Accumulated amortization</v>
          </cell>
          <cell r="C82" t="str">
            <v>ACC_AMORT</v>
          </cell>
          <cell r="D82" t="str">
            <v>AUD</v>
          </cell>
        </row>
        <row r="83">
          <cell r="B83" t="str">
            <v>Net intangible assets</v>
          </cell>
          <cell r="C83" t="str">
            <v>NET_INTANG</v>
          </cell>
          <cell r="D83" t="str">
            <v>AUD</v>
          </cell>
          <cell r="G83">
            <v>1965.7</v>
          </cell>
          <cell r="H83">
            <v>1540.6</v>
          </cell>
          <cell r="I83">
            <v>1597</v>
          </cell>
          <cell r="J83">
            <v>1698</v>
          </cell>
          <cell r="K83">
            <v>1864</v>
          </cell>
          <cell r="L83">
            <v>2035</v>
          </cell>
          <cell r="M83">
            <v>2203</v>
          </cell>
          <cell r="N83">
            <v>2246</v>
          </cell>
          <cell r="O83">
            <v>2246</v>
          </cell>
          <cell r="P83">
            <v>2246</v>
          </cell>
          <cell r="Q83">
            <v>2246</v>
          </cell>
          <cell r="R83">
            <v>2246</v>
          </cell>
          <cell r="S83">
            <v>2246</v>
          </cell>
          <cell r="W83">
            <v>1950</v>
          </cell>
          <cell r="X83">
            <v>0</v>
          </cell>
          <cell r="Y83">
            <v>1660</v>
          </cell>
          <cell r="Z83">
            <v>0</v>
          </cell>
          <cell r="AA83">
            <v>1553</v>
          </cell>
          <cell r="AB83">
            <v>0</v>
          </cell>
          <cell r="AC83">
            <v>1620</v>
          </cell>
          <cell r="AD83">
            <v>0</v>
          </cell>
          <cell r="AE83">
            <v>1806</v>
          </cell>
          <cell r="AF83">
            <v>0</v>
          </cell>
          <cell r="AG83">
            <v>1887</v>
          </cell>
          <cell r="AH83">
            <v>0</v>
          </cell>
          <cell r="AI83">
            <v>2094</v>
          </cell>
          <cell r="AJ83">
            <v>0</v>
          </cell>
          <cell r="AK83">
            <v>2247</v>
          </cell>
          <cell r="AL83">
            <v>0</v>
          </cell>
          <cell r="AM83">
            <v>0</v>
          </cell>
          <cell r="AN83">
            <v>0</v>
          </cell>
        </row>
        <row r="84">
          <cell r="B84" t="str">
            <v>Equity method investments</v>
          </cell>
          <cell r="C84" t="str">
            <v>FIX_ASS_INV</v>
          </cell>
          <cell r="D84" t="str">
            <v>AUD</v>
          </cell>
        </row>
        <row r="85">
          <cell r="B85" t="str">
            <v>Investments in securities</v>
          </cell>
          <cell r="C85" t="str">
            <v>INV_SECUR</v>
          </cell>
          <cell r="D85" t="str">
            <v>AUD</v>
          </cell>
          <cell r="G85">
            <v>0</v>
          </cell>
          <cell r="H85">
            <v>212.3</v>
          </cell>
          <cell r="I85">
            <v>217</v>
          </cell>
          <cell r="J85">
            <v>220</v>
          </cell>
          <cell r="K85">
            <v>219</v>
          </cell>
          <cell r="L85">
            <v>220</v>
          </cell>
          <cell r="M85">
            <v>225</v>
          </cell>
          <cell r="N85">
            <v>240</v>
          </cell>
          <cell r="O85">
            <v>240</v>
          </cell>
          <cell r="P85">
            <v>240</v>
          </cell>
          <cell r="Q85">
            <v>240</v>
          </cell>
          <cell r="R85">
            <v>240</v>
          </cell>
          <cell r="S85">
            <v>240</v>
          </cell>
          <cell r="W85">
            <v>0</v>
          </cell>
          <cell r="X85">
            <v>0</v>
          </cell>
          <cell r="Y85">
            <v>12</v>
          </cell>
          <cell r="Z85">
            <v>0</v>
          </cell>
          <cell r="AA85">
            <v>221</v>
          </cell>
          <cell r="AB85">
            <v>0</v>
          </cell>
          <cell r="AC85">
            <v>220</v>
          </cell>
          <cell r="AD85">
            <v>0</v>
          </cell>
          <cell r="AE85">
            <v>221</v>
          </cell>
          <cell r="AF85">
            <v>0</v>
          </cell>
          <cell r="AG85">
            <v>226</v>
          </cell>
          <cell r="AH85">
            <v>0</v>
          </cell>
          <cell r="AI85">
            <v>237</v>
          </cell>
          <cell r="AJ85">
            <v>0</v>
          </cell>
          <cell r="AK85">
            <v>239</v>
          </cell>
          <cell r="AL85">
            <v>0</v>
          </cell>
          <cell r="AM85">
            <v>0</v>
          </cell>
          <cell r="AN85">
            <v>0</v>
          </cell>
        </row>
        <row r="86">
          <cell r="B86" t="str">
            <v>Other long-term assets</v>
          </cell>
          <cell r="C86" t="str">
            <v>OTH_LT_ASS</v>
          </cell>
          <cell r="D86" t="str">
            <v>AUD</v>
          </cell>
          <cell r="G86">
            <v>630.9</v>
          </cell>
          <cell r="H86">
            <v>499</v>
          </cell>
          <cell r="I86">
            <v>969</v>
          </cell>
          <cell r="J86">
            <v>1020</v>
          </cell>
          <cell r="K86">
            <v>996</v>
          </cell>
          <cell r="L86">
            <v>793</v>
          </cell>
          <cell r="M86">
            <v>789</v>
          </cell>
          <cell r="N86">
            <v>822</v>
          </cell>
          <cell r="O86">
            <v>822</v>
          </cell>
          <cell r="P86">
            <v>822</v>
          </cell>
          <cell r="Q86">
            <v>822</v>
          </cell>
          <cell r="R86">
            <v>822</v>
          </cell>
          <cell r="S86">
            <v>822</v>
          </cell>
          <cell r="W86">
            <v>853</v>
          </cell>
          <cell r="X86">
            <v>0</v>
          </cell>
          <cell r="Y86">
            <v>561</v>
          </cell>
          <cell r="Z86">
            <v>0</v>
          </cell>
          <cell r="AA86">
            <v>890</v>
          </cell>
          <cell r="AB86">
            <v>0</v>
          </cell>
          <cell r="AC86">
            <v>1007</v>
          </cell>
          <cell r="AD86">
            <v>0</v>
          </cell>
          <cell r="AE86">
            <v>996</v>
          </cell>
          <cell r="AF86">
            <v>0</v>
          </cell>
          <cell r="AG86">
            <v>784</v>
          </cell>
          <cell r="AH86">
            <v>0</v>
          </cell>
          <cell r="AI86">
            <v>858</v>
          </cell>
          <cell r="AJ86">
            <v>0</v>
          </cell>
          <cell r="AK86">
            <v>824</v>
          </cell>
          <cell r="AL86">
            <v>0</v>
          </cell>
          <cell r="AM86">
            <v>0</v>
          </cell>
          <cell r="AN86">
            <v>0</v>
          </cell>
        </row>
        <row r="87">
          <cell r="B87" t="str">
            <v>Total assets</v>
          </cell>
          <cell r="C87" t="str">
            <v>TOT_ASSET</v>
          </cell>
          <cell r="D87" t="str">
            <v>AUD</v>
          </cell>
          <cell r="G87">
            <v>12544.7</v>
          </cell>
          <cell r="H87">
            <v>9777</v>
          </cell>
          <cell r="I87">
            <v>18349</v>
          </cell>
          <cell r="J87">
            <v>18123</v>
          </cell>
          <cell r="K87">
            <v>18836</v>
          </cell>
          <cell r="L87">
            <v>18292</v>
          </cell>
          <cell r="M87">
            <v>19870</v>
          </cell>
          <cell r="N87">
            <v>20294</v>
          </cell>
          <cell r="O87">
            <v>20684.510261963871</v>
          </cell>
          <cell r="P87">
            <v>21092.096543706492</v>
          </cell>
          <cell r="Q87">
            <v>21576.752288097938</v>
          </cell>
          <cell r="R87">
            <v>22083.080387273352</v>
          </cell>
          <cell r="S87">
            <v>22611.710755628672</v>
          </cell>
          <cell r="W87">
            <v>13479</v>
          </cell>
          <cell r="X87">
            <v>0</v>
          </cell>
          <cell r="Y87">
            <v>10150</v>
          </cell>
          <cell r="Z87">
            <v>0</v>
          </cell>
          <cell r="AA87">
            <v>17774</v>
          </cell>
          <cell r="AB87">
            <v>0</v>
          </cell>
          <cell r="AC87">
            <v>18959</v>
          </cell>
          <cell r="AD87">
            <v>0</v>
          </cell>
          <cell r="AE87">
            <v>18592</v>
          </cell>
          <cell r="AF87">
            <v>0</v>
          </cell>
          <cell r="AG87">
            <v>19468</v>
          </cell>
          <cell r="AH87">
            <v>0</v>
          </cell>
          <cell r="AI87">
            <v>19485</v>
          </cell>
          <cell r="AJ87">
            <v>0</v>
          </cell>
          <cell r="AK87">
            <v>20199</v>
          </cell>
          <cell r="AL87">
            <v>0</v>
          </cell>
          <cell r="AM87">
            <v>0</v>
          </cell>
          <cell r="AN87">
            <v>0</v>
          </cell>
        </row>
        <row r="88">
          <cell r="B88" t="str">
            <v>Accounts payable</v>
          </cell>
          <cell r="C88" t="str">
            <v>ACC_PAY_GQ</v>
          </cell>
          <cell r="D88" t="str">
            <v>AUD</v>
          </cell>
          <cell r="G88">
            <v>8008.5</v>
          </cell>
          <cell r="H88">
            <v>3379.9</v>
          </cell>
          <cell r="I88">
            <v>3737</v>
          </cell>
          <cell r="J88">
            <v>3660</v>
          </cell>
          <cell r="K88">
            <v>4335</v>
          </cell>
          <cell r="L88">
            <v>4434</v>
          </cell>
          <cell r="M88">
            <v>4584</v>
          </cell>
          <cell r="N88">
            <v>4637</v>
          </cell>
          <cell r="O88">
            <v>4790.2146813272711</v>
          </cell>
          <cell r="P88">
            <v>4938.3706247049258</v>
          </cell>
          <cell r="Q88">
            <v>5146.459497876951</v>
          </cell>
          <cell r="R88">
            <v>5362.5739922575021</v>
          </cell>
          <cell r="S88">
            <v>5587.0082109691384</v>
          </cell>
          <cell r="W88">
            <v>7796</v>
          </cell>
          <cell r="X88">
            <v>0</v>
          </cell>
          <cell r="Y88">
            <v>3991</v>
          </cell>
          <cell r="Z88">
            <v>0</v>
          </cell>
          <cell r="AA88">
            <v>3665</v>
          </cell>
          <cell r="AB88">
            <v>0</v>
          </cell>
          <cell r="AC88">
            <v>4173</v>
          </cell>
          <cell r="AD88">
            <v>0</v>
          </cell>
          <cell r="AE88">
            <v>4282</v>
          </cell>
          <cell r="AF88">
            <v>0</v>
          </cell>
          <cell r="AG88">
            <v>4978</v>
          </cell>
          <cell r="AH88">
            <v>0</v>
          </cell>
          <cell r="AI88">
            <v>5020</v>
          </cell>
          <cell r="AJ88">
            <v>0</v>
          </cell>
          <cell r="AK88">
            <v>4208</v>
          </cell>
          <cell r="AL88">
            <v>0</v>
          </cell>
          <cell r="AM88">
            <v>0</v>
          </cell>
          <cell r="AN88">
            <v>0</v>
          </cell>
        </row>
        <row r="89">
          <cell r="B89" t="str">
            <v>Short-term debt</v>
          </cell>
          <cell r="C89" t="str">
            <v>SHORT_T_DEBT</v>
          </cell>
          <cell r="D89" t="str">
            <v>AUD</v>
          </cell>
          <cell r="G89">
            <v>0</v>
          </cell>
          <cell r="H89">
            <v>0</v>
          </cell>
          <cell r="I89">
            <v>0</v>
          </cell>
          <cell r="J89">
            <v>0</v>
          </cell>
          <cell r="K89">
            <v>0</v>
          </cell>
          <cell r="L89">
            <v>0</v>
          </cell>
          <cell r="M89">
            <v>0</v>
          </cell>
          <cell r="N89">
            <v>150</v>
          </cell>
          <cell r="O89">
            <v>150</v>
          </cell>
          <cell r="P89">
            <v>150</v>
          </cell>
          <cell r="Q89">
            <v>150</v>
          </cell>
          <cell r="R89">
            <v>150</v>
          </cell>
          <cell r="S89">
            <v>150</v>
          </cell>
          <cell r="W89">
            <v>0</v>
          </cell>
          <cell r="X89">
            <v>0</v>
          </cell>
          <cell r="Y89">
            <v>0</v>
          </cell>
          <cell r="Z89">
            <v>0</v>
          </cell>
          <cell r="AA89">
            <v>8</v>
          </cell>
          <cell r="AB89">
            <v>0</v>
          </cell>
          <cell r="AC89">
            <v>0</v>
          </cell>
          <cell r="AD89">
            <v>0</v>
          </cell>
          <cell r="AE89">
            <v>0</v>
          </cell>
          <cell r="AF89">
            <v>0</v>
          </cell>
          <cell r="AG89">
            <v>0</v>
          </cell>
          <cell r="AH89">
            <v>0</v>
          </cell>
          <cell r="AI89">
            <v>0</v>
          </cell>
          <cell r="AJ89">
            <v>0</v>
          </cell>
          <cell r="AK89">
            <v>150</v>
          </cell>
          <cell r="AL89">
            <v>0</v>
          </cell>
          <cell r="AM89">
            <v>0</v>
          </cell>
          <cell r="AN89">
            <v>0</v>
          </cell>
        </row>
        <row r="90">
          <cell r="B90" t="str">
            <v>Current lease liabilities (op lease: US GAAP)</v>
          </cell>
          <cell r="C90" t="str">
            <v>ST_LEASE_LIAB</v>
          </cell>
          <cell r="D90" t="str">
            <v>AUD</v>
          </cell>
          <cell r="G90">
            <v>0</v>
          </cell>
          <cell r="H90">
            <v>167.6</v>
          </cell>
          <cell r="I90">
            <v>885</v>
          </cell>
          <cell r="J90">
            <v>897</v>
          </cell>
          <cell r="K90">
            <v>914</v>
          </cell>
          <cell r="L90">
            <v>820</v>
          </cell>
          <cell r="M90">
            <v>911</v>
          </cell>
          <cell r="N90">
            <v>928</v>
          </cell>
          <cell r="O90">
            <v>928</v>
          </cell>
          <cell r="P90">
            <v>928</v>
          </cell>
          <cell r="Q90">
            <v>928</v>
          </cell>
          <cell r="R90">
            <v>928</v>
          </cell>
          <cell r="S90">
            <v>928</v>
          </cell>
          <cell r="W90">
            <v>0</v>
          </cell>
          <cell r="X90">
            <v>0</v>
          </cell>
          <cell r="Y90">
            <v>0</v>
          </cell>
          <cell r="Z90">
            <v>0</v>
          </cell>
          <cell r="AA90">
            <v>1205</v>
          </cell>
          <cell r="AB90">
            <v>0</v>
          </cell>
          <cell r="AC90">
            <v>910</v>
          </cell>
          <cell r="AD90">
            <v>0</v>
          </cell>
          <cell r="AE90">
            <v>905</v>
          </cell>
          <cell r="AF90">
            <v>0</v>
          </cell>
          <cell r="AG90">
            <v>795</v>
          </cell>
          <cell r="AH90">
            <v>0</v>
          </cell>
          <cell r="AI90">
            <v>815</v>
          </cell>
          <cell r="AJ90">
            <v>0</v>
          </cell>
          <cell r="AK90">
            <v>914</v>
          </cell>
          <cell r="AL90">
            <v>0</v>
          </cell>
          <cell r="AM90">
            <v>0</v>
          </cell>
          <cell r="AN90">
            <v>0</v>
          </cell>
        </row>
        <row r="91">
          <cell r="B91" t="str">
            <v>Other current liabilities</v>
          </cell>
          <cell r="C91" t="str">
            <v>OTH_CUR_LIABS</v>
          </cell>
          <cell r="D91" t="str">
            <v>AUD</v>
          </cell>
          <cell r="G91">
            <v>972.4</v>
          </cell>
          <cell r="H91">
            <v>743.9</v>
          </cell>
          <cell r="I91">
            <v>1059</v>
          </cell>
          <cell r="J91">
            <v>1262</v>
          </cell>
          <cell r="K91">
            <v>1166</v>
          </cell>
          <cell r="L91">
            <v>1154</v>
          </cell>
          <cell r="M91">
            <v>1276</v>
          </cell>
          <cell r="N91">
            <v>1141</v>
          </cell>
          <cell r="O91">
            <v>1141</v>
          </cell>
          <cell r="P91">
            <v>1141</v>
          </cell>
          <cell r="Q91">
            <v>1141</v>
          </cell>
          <cell r="R91">
            <v>1141</v>
          </cell>
          <cell r="S91">
            <v>1141</v>
          </cell>
          <cell r="W91">
            <v>1084</v>
          </cell>
          <cell r="X91">
            <v>0</v>
          </cell>
          <cell r="Y91">
            <v>1014</v>
          </cell>
          <cell r="Z91">
            <v>0</v>
          </cell>
          <cell r="AA91">
            <v>980</v>
          </cell>
          <cell r="AB91">
            <v>0</v>
          </cell>
          <cell r="AC91">
            <v>1181</v>
          </cell>
          <cell r="AD91">
            <v>0</v>
          </cell>
          <cell r="AE91">
            <v>1158</v>
          </cell>
          <cell r="AF91">
            <v>0</v>
          </cell>
          <cell r="AG91">
            <v>1922</v>
          </cell>
          <cell r="AH91">
            <v>0</v>
          </cell>
          <cell r="AI91">
            <v>1215</v>
          </cell>
          <cell r="AJ91">
            <v>0</v>
          </cell>
          <cell r="AK91">
            <v>1147</v>
          </cell>
          <cell r="AL91">
            <v>0</v>
          </cell>
          <cell r="AM91">
            <v>0</v>
          </cell>
          <cell r="AN91">
            <v>0</v>
          </cell>
        </row>
        <row r="92">
          <cell r="B92" t="str">
            <v>Total current liabilities</v>
          </cell>
          <cell r="C92" t="str">
            <v>SHORT_TERM_LIABS</v>
          </cell>
          <cell r="D92" t="str">
            <v>AUD</v>
          </cell>
          <cell r="G92">
            <v>8980.9</v>
          </cell>
          <cell r="H92">
            <v>4291.4000000000005</v>
          </cell>
          <cell r="I92">
            <v>5681</v>
          </cell>
          <cell r="J92">
            <v>5819</v>
          </cell>
          <cell r="K92">
            <v>6415</v>
          </cell>
          <cell r="L92">
            <v>6408</v>
          </cell>
          <cell r="M92">
            <v>6771</v>
          </cell>
          <cell r="N92">
            <v>6856</v>
          </cell>
          <cell r="O92">
            <v>7009.2146813272711</v>
          </cell>
          <cell r="P92">
            <v>7157.3706247049258</v>
          </cell>
          <cell r="Q92">
            <v>7365.459497876951</v>
          </cell>
          <cell r="R92">
            <v>7581.5739922575021</v>
          </cell>
          <cell r="S92">
            <v>7806.0082109691384</v>
          </cell>
          <cell r="W92">
            <v>8880</v>
          </cell>
          <cell r="X92">
            <v>0</v>
          </cell>
          <cell r="Y92">
            <v>5005</v>
          </cell>
          <cell r="Z92">
            <v>0</v>
          </cell>
          <cell r="AA92">
            <v>5858</v>
          </cell>
          <cell r="AB92">
            <v>0</v>
          </cell>
          <cell r="AC92">
            <v>6264</v>
          </cell>
          <cell r="AD92">
            <v>0</v>
          </cell>
          <cell r="AE92">
            <v>6345</v>
          </cell>
          <cell r="AF92">
            <v>0</v>
          </cell>
          <cell r="AG92">
            <v>7695</v>
          </cell>
          <cell r="AH92">
            <v>0</v>
          </cell>
          <cell r="AI92">
            <v>7050</v>
          </cell>
          <cell r="AJ92">
            <v>0</v>
          </cell>
          <cell r="AK92">
            <v>6419</v>
          </cell>
          <cell r="AL92">
            <v>0</v>
          </cell>
          <cell r="AM92">
            <v>0</v>
          </cell>
          <cell r="AN92">
            <v>0</v>
          </cell>
        </row>
        <row r="93">
          <cell r="B93" t="str">
            <v>Long-term  debt</v>
          </cell>
          <cell r="C93" t="str">
            <v>LT_DEBT</v>
          </cell>
          <cell r="D93" t="str">
            <v>AUD</v>
          </cell>
          <cell r="G93">
            <v>0</v>
          </cell>
          <cell r="H93">
            <v>1460</v>
          </cell>
          <cell r="I93">
            <v>1354</v>
          </cell>
          <cell r="J93">
            <v>1142</v>
          </cell>
          <cell r="K93">
            <v>1095</v>
          </cell>
          <cell r="L93">
            <v>1118</v>
          </cell>
          <cell r="M93">
            <v>1652</v>
          </cell>
          <cell r="N93">
            <v>1834</v>
          </cell>
          <cell r="O93">
            <v>1834</v>
          </cell>
          <cell r="P93">
            <v>1834</v>
          </cell>
          <cell r="Q93">
            <v>1834</v>
          </cell>
          <cell r="R93">
            <v>1834</v>
          </cell>
          <cell r="S93">
            <v>1834</v>
          </cell>
          <cell r="W93">
            <v>0</v>
          </cell>
          <cell r="X93">
            <v>0</v>
          </cell>
          <cell r="Y93">
            <v>1630</v>
          </cell>
          <cell r="Z93">
            <v>0</v>
          </cell>
          <cell r="AA93">
            <v>1355</v>
          </cell>
          <cell r="AB93">
            <v>0</v>
          </cell>
          <cell r="AC93">
            <v>1140</v>
          </cell>
          <cell r="AD93">
            <v>0</v>
          </cell>
          <cell r="AE93">
            <v>1044</v>
          </cell>
          <cell r="AF93">
            <v>0</v>
          </cell>
          <cell r="AG93">
            <v>1060</v>
          </cell>
          <cell r="AH93">
            <v>0</v>
          </cell>
          <cell r="AI93">
            <v>1666</v>
          </cell>
          <cell r="AJ93">
            <v>0</v>
          </cell>
          <cell r="AK93">
            <v>2126</v>
          </cell>
          <cell r="AL93">
            <v>0</v>
          </cell>
          <cell r="AM93">
            <v>0</v>
          </cell>
          <cell r="AN93">
            <v>0</v>
          </cell>
        </row>
        <row r="94">
          <cell r="B94" t="str">
            <v>Non-current lease liabilities (op lease: US GAAP)</v>
          </cell>
          <cell r="C94" t="str">
            <v>LT_LEASE_LIAB</v>
          </cell>
          <cell r="D94" t="str">
            <v>AUD</v>
          </cell>
          <cell r="G94">
            <v>41.8</v>
          </cell>
          <cell r="H94">
            <v>71</v>
          </cell>
          <cell r="I94">
            <v>8198</v>
          </cell>
          <cell r="J94">
            <v>7859</v>
          </cell>
          <cell r="K94">
            <v>7767</v>
          </cell>
          <cell r="L94">
            <v>7029</v>
          </cell>
          <cell r="M94">
            <v>7506</v>
          </cell>
          <cell r="N94">
            <v>7415</v>
          </cell>
          <cell r="O94">
            <v>7458.45</v>
          </cell>
          <cell r="P94">
            <v>7504.0724999999993</v>
          </cell>
          <cell r="Q94">
            <v>7551.9761249999992</v>
          </cell>
          <cell r="R94">
            <v>7602.2749312499991</v>
          </cell>
          <cell r="S94">
            <v>7655.0886778124986</v>
          </cell>
          <cell r="W94">
            <v>272</v>
          </cell>
          <cell r="X94">
            <v>0</v>
          </cell>
          <cell r="Y94">
            <v>589</v>
          </cell>
          <cell r="Z94">
            <v>0</v>
          </cell>
          <cell r="AA94">
            <v>464</v>
          </cell>
          <cell r="AB94">
            <v>0</v>
          </cell>
          <cell r="AC94">
            <v>481</v>
          </cell>
          <cell r="AD94">
            <v>0</v>
          </cell>
          <cell r="AE94">
            <v>459</v>
          </cell>
          <cell r="AF94">
            <v>0</v>
          </cell>
          <cell r="AG94">
            <v>369</v>
          </cell>
          <cell r="AH94">
            <v>0</v>
          </cell>
          <cell r="AI94">
            <v>319</v>
          </cell>
          <cell r="AJ94">
            <v>0</v>
          </cell>
          <cell r="AK94">
            <v>362</v>
          </cell>
          <cell r="AL94">
            <v>0</v>
          </cell>
          <cell r="AM94">
            <v>0</v>
          </cell>
          <cell r="AN94">
            <v>0</v>
          </cell>
        </row>
        <row r="95">
          <cell r="B95" t="str">
            <v>Other long-term liabilities</v>
          </cell>
          <cell r="C95" t="str">
            <v>OTH_LT_CRED_GQ</v>
          </cell>
          <cell r="D95" t="str">
            <v>AUD</v>
          </cell>
          <cell r="G95">
            <v>272.39999999999998</v>
          </cell>
          <cell r="H95">
            <v>598.4</v>
          </cell>
          <cell r="I95">
            <v>501</v>
          </cell>
          <cell r="J95">
            <v>490</v>
          </cell>
          <cell r="K95">
            <v>435</v>
          </cell>
          <cell r="L95">
            <v>381</v>
          </cell>
          <cell r="M95">
            <v>324</v>
          </cell>
          <cell r="N95">
            <v>383</v>
          </cell>
          <cell r="O95">
            <v>383</v>
          </cell>
          <cell r="P95">
            <v>383</v>
          </cell>
          <cell r="Q95">
            <v>383</v>
          </cell>
          <cell r="R95">
            <v>383</v>
          </cell>
          <cell r="S95">
            <v>383</v>
          </cell>
          <cell r="W95">
            <v>190</v>
          </cell>
          <cell r="X95">
            <v>0</v>
          </cell>
          <cell r="Y95">
            <v>254</v>
          </cell>
          <cell r="Z95">
            <v>0</v>
          </cell>
          <cell r="AA95">
            <v>7578</v>
          </cell>
          <cell r="AB95">
            <v>0</v>
          </cell>
          <cell r="AC95">
            <v>8282</v>
          </cell>
          <cell r="AD95">
            <v>0</v>
          </cell>
          <cell r="AE95">
            <v>7735</v>
          </cell>
          <cell r="AF95">
            <v>0</v>
          </cell>
          <cell r="AG95">
            <v>6965</v>
          </cell>
          <cell r="AH95">
            <v>0</v>
          </cell>
          <cell r="AI95">
            <v>6913</v>
          </cell>
          <cell r="AJ95">
            <v>0</v>
          </cell>
          <cell r="AK95">
            <v>7528</v>
          </cell>
          <cell r="AL95">
            <v>0</v>
          </cell>
          <cell r="AM95">
            <v>0</v>
          </cell>
          <cell r="AN95">
            <v>0</v>
          </cell>
        </row>
        <row r="96">
          <cell r="B96" t="str">
            <v>Total long-term liabilities</v>
          </cell>
          <cell r="C96" t="str">
            <v>TOT_LT_LIAB</v>
          </cell>
          <cell r="D96" t="str">
            <v>AUD</v>
          </cell>
          <cell r="G96">
            <v>314.2</v>
          </cell>
          <cell r="H96">
            <v>2129.4</v>
          </cell>
          <cell r="I96">
            <v>10053</v>
          </cell>
          <cell r="J96">
            <v>9491</v>
          </cell>
          <cell r="K96">
            <v>9297</v>
          </cell>
          <cell r="L96">
            <v>8528</v>
          </cell>
          <cell r="M96">
            <v>9482</v>
          </cell>
          <cell r="N96">
            <v>9632</v>
          </cell>
          <cell r="O96">
            <v>9675.4500000000007</v>
          </cell>
          <cell r="P96">
            <v>9721.0724999999984</v>
          </cell>
          <cell r="Q96">
            <v>9768.9761249999992</v>
          </cell>
          <cell r="R96">
            <v>9819.2749312499982</v>
          </cell>
          <cell r="S96">
            <v>9872.0886778124986</v>
          </cell>
          <cell r="W96">
            <v>462</v>
          </cell>
          <cell r="X96">
            <v>0</v>
          </cell>
          <cell r="Y96">
            <v>2473</v>
          </cell>
          <cell r="Z96">
            <v>0</v>
          </cell>
          <cell r="AA96">
            <v>9397</v>
          </cell>
          <cell r="AB96">
            <v>0</v>
          </cell>
          <cell r="AC96">
            <v>9903</v>
          </cell>
          <cell r="AD96">
            <v>0</v>
          </cell>
          <cell r="AE96">
            <v>9238</v>
          </cell>
          <cell r="AF96">
            <v>0</v>
          </cell>
          <cell r="AG96">
            <v>8394</v>
          </cell>
          <cell r="AH96">
            <v>0</v>
          </cell>
          <cell r="AI96">
            <v>8898</v>
          </cell>
          <cell r="AJ96">
            <v>0</v>
          </cell>
          <cell r="AK96">
            <v>10016</v>
          </cell>
          <cell r="AL96">
            <v>0</v>
          </cell>
          <cell r="AM96">
            <v>0</v>
          </cell>
          <cell r="AN96">
            <v>0</v>
          </cell>
        </row>
        <row r="97">
          <cell r="B97" t="str">
            <v>Total liabilities</v>
          </cell>
          <cell r="C97" t="str">
            <v>TOT_LIAB</v>
          </cell>
          <cell r="D97" t="str">
            <v>AUD</v>
          </cell>
          <cell r="G97">
            <v>9295.1</v>
          </cell>
          <cell r="H97">
            <v>6420.8000000000011</v>
          </cell>
          <cell r="I97">
            <v>15734</v>
          </cell>
          <cell r="J97">
            <v>15310</v>
          </cell>
          <cell r="K97">
            <v>15712</v>
          </cell>
          <cell r="L97">
            <v>14936</v>
          </cell>
          <cell r="M97">
            <v>16253</v>
          </cell>
          <cell r="N97">
            <v>16488</v>
          </cell>
          <cell r="O97">
            <v>16684.664681327271</v>
          </cell>
          <cell r="P97">
            <v>16878.443124704925</v>
          </cell>
          <cell r="Q97">
            <v>17134.43562287695</v>
          </cell>
          <cell r="R97">
            <v>17400.848923507499</v>
          </cell>
          <cell r="S97">
            <v>17678.096888781638</v>
          </cell>
          <cell r="W97">
            <v>9342</v>
          </cell>
          <cell r="X97">
            <v>0</v>
          </cell>
          <cell r="Y97">
            <v>7478</v>
          </cell>
          <cell r="Z97">
            <v>0</v>
          </cell>
          <cell r="AA97">
            <v>15255</v>
          </cell>
          <cell r="AB97">
            <v>0</v>
          </cell>
          <cell r="AC97">
            <v>16167</v>
          </cell>
          <cell r="AD97">
            <v>0</v>
          </cell>
          <cell r="AE97">
            <v>15583</v>
          </cell>
          <cell r="AF97">
            <v>0</v>
          </cell>
          <cell r="AG97">
            <v>16089</v>
          </cell>
          <cell r="AH97">
            <v>0</v>
          </cell>
          <cell r="AI97">
            <v>15948</v>
          </cell>
          <cell r="AJ97">
            <v>0</v>
          </cell>
          <cell r="AK97">
            <v>16435</v>
          </cell>
          <cell r="AL97">
            <v>0</v>
          </cell>
          <cell r="AM97">
            <v>0</v>
          </cell>
          <cell r="AN97">
            <v>0</v>
          </cell>
        </row>
        <row r="98">
          <cell r="B98" t="str">
            <v>Preferred shares</v>
          </cell>
          <cell r="C98" t="str">
            <v>PREF_SH</v>
          </cell>
          <cell r="D98" t="str">
            <v>AUD</v>
          </cell>
        </row>
        <row r="99">
          <cell r="B99" t="str">
            <v>Total common equity</v>
          </cell>
          <cell r="C99" t="str">
            <v>ORD_SH_FUND</v>
          </cell>
          <cell r="D99" t="str">
            <v>AUD</v>
          </cell>
          <cell r="G99">
            <v>3249.6000000000004</v>
          </cell>
          <cell r="H99">
            <v>3357.1</v>
          </cell>
          <cell r="I99">
            <v>2615</v>
          </cell>
          <cell r="J99">
            <v>2813</v>
          </cell>
          <cell r="K99">
            <v>3124</v>
          </cell>
          <cell r="L99">
            <v>3356</v>
          </cell>
          <cell r="M99">
            <v>3617</v>
          </cell>
          <cell r="N99">
            <v>3806</v>
          </cell>
          <cell r="O99">
            <v>3999.8455806366055</v>
          </cell>
          <cell r="P99">
            <v>4213.65341900157</v>
          </cell>
          <cell r="Q99">
            <v>4442.3166652209911</v>
          </cell>
          <cell r="R99">
            <v>4682.2314637658565</v>
          </cell>
          <cell r="S99">
            <v>4933.613866847033</v>
          </cell>
          <cell r="W99">
            <v>4137</v>
          </cell>
          <cell r="X99">
            <v>0</v>
          </cell>
          <cell r="Y99">
            <v>2672</v>
          </cell>
          <cell r="Z99">
            <v>0</v>
          </cell>
          <cell r="AA99">
            <v>2519</v>
          </cell>
          <cell r="AB99">
            <v>0</v>
          </cell>
          <cell r="AC99">
            <v>2792</v>
          </cell>
          <cell r="AD99">
            <v>0</v>
          </cell>
          <cell r="AE99">
            <v>3009</v>
          </cell>
          <cell r="AF99">
            <v>0</v>
          </cell>
          <cell r="AG99">
            <v>3379</v>
          </cell>
          <cell r="AH99">
            <v>0</v>
          </cell>
          <cell r="AI99">
            <v>3537</v>
          </cell>
          <cell r="AJ99">
            <v>0</v>
          </cell>
          <cell r="AK99">
            <v>3764</v>
          </cell>
          <cell r="AL99">
            <v>0</v>
          </cell>
          <cell r="AM99">
            <v>0</v>
          </cell>
          <cell r="AN99">
            <v>0</v>
          </cell>
        </row>
        <row r="100">
          <cell r="B100" t="str">
            <v>Minority interest</v>
          </cell>
          <cell r="C100" t="str">
            <v>MINORITIES</v>
          </cell>
          <cell r="D100" t="str">
            <v>AUD</v>
          </cell>
        </row>
        <row r="101">
          <cell r="B101" t="str">
            <v>Total shareholders' equity</v>
          </cell>
          <cell r="C101" t="str">
            <v>EQ</v>
          </cell>
          <cell r="D101" t="str">
            <v>AUD</v>
          </cell>
          <cell r="G101">
            <v>3249.6000000000004</v>
          </cell>
          <cell r="H101">
            <v>3357.1</v>
          </cell>
          <cell r="I101">
            <v>2615</v>
          </cell>
          <cell r="J101">
            <v>2813</v>
          </cell>
          <cell r="K101">
            <v>3124</v>
          </cell>
          <cell r="L101">
            <v>3356</v>
          </cell>
          <cell r="M101">
            <v>3617</v>
          </cell>
          <cell r="N101">
            <v>3806</v>
          </cell>
          <cell r="O101">
            <v>3999.8455806366055</v>
          </cell>
          <cell r="P101">
            <v>4213.65341900157</v>
          </cell>
          <cell r="Q101">
            <v>4442.3166652209911</v>
          </cell>
          <cell r="R101">
            <v>4682.2314637658565</v>
          </cell>
          <cell r="S101">
            <v>4933.613866847033</v>
          </cell>
          <cell r="W101">
            <v>4137</v>
          </cell>
          <cell r="X101">
            <v>0</v>
          </cell>
          <cell r="Y101">
            <v>2672</v>
          </cell>
          <cell r="Z101">
            <v>0</v>
          </cell>
          <cell r="AA101">
            <v>2519</v>
          </cell>
          <cell r="AB101">
            <v>0</v>
          </cell>
          <cell r="AC101">
            <v>2792</v>
          </cell>
          <cell r="AD101">
            <v>0</v>
          </cell>
          <cell r="AE101">
            <v>3009</v>
          </cell>
          <cell r="AF101">
            <v>0</v>
          </cell>
          <cell r="AG101">
            <v>3379</v>
          </cell>
          <cell r="AH101">
            <v>0</v>
          </cell>
          <cell r="AI101">
            <v>3537</v>
          </cell>
          <cell r="AJ101">
            <v>0</v>
          </cell>
          <cell r="AK101">
            <v>3764</v>
          </cell>
          <cell r="AL101">
            <v>0</v>
          </cell>
          <cell r="AM101">
            <v>0</v>
          </cell>
          <cell r="AN101">
            <v>0</v>
          </cell>
        </row>
        <row r="102">
          <cell r="B102" t="str">
            <v>Total liabilities and equity</v>
          </cell>
          <cell r="C102" t="str">
            <v>TOT_LIAB_EQ</v>
          </cell>
          <cell r="D102" t="str">
            <v>AUD</v>
          </cell>
          <cell r="G102">
            <v>12544.7</v>
          </cell>
          <cell r="H102">
            <v>9777.9000000000015</v>
          </cell>
          <cell r="I102">
            <v>18349</v>
          </cell>
          <cell r="J102">
            <v>18123</v>
          </cell>
          <cell r="K102">
            <v>18836</v>
          </cell>
          <cell r="L102">
            <v>18292</v>
          </cell>
          <cell r="M102">
            <v>19870</v>
          </cell>
          <cell r="N102">
            <v>20294</v>
          </cell>
          <cell r="O102">
            <v>20684.510261963878</v>
          </cell>
          <cell r="P102">
            <v>21092.096543706495</v>
          </cell>
          <cell r="Q102">
            <v>21576.752288097941</v>
          </cell>
          <cell r="R102">
            <v>22083.080387273356</v>
          </cell>
          <cell r="S102">
            <v>22611.710755628672</v>
          </cell>
          <cell r="W102">
            <v>13479</v>
          </cell>
          <cell r="X102">
            <v>0</v>
          </cell>
          <cell r="Y102">
            <v>10150</v>
          </cell>
          <cell r="Z102">
            <v>0</v>
          </cell>
          <cell r="AA102">
            <v>17774</v>
          </cell>
          <cell r="AB102">
            <v>0</v>
          </cell>
          <cell r="AC102">
            <v>18959</v>
          </cell>
          <cell r="AD102">
            <v>0</v>
          </cell>
          <cell r="AE102">
            <v>18592</v>
          </cell>
          <cell r="AF102">
            <v>0</v>
          </cell>
          <cell r="AG102">
            <v>19468</v>
          </cell>
          <cell r="AH102">
            <v>0</v>
          </cell>
          <cell r="AI102">
            <v>19485</v>
          </cell>
          <cell r="AJ102">
            <v>0</v>
          </cell>
          <cell r="AK102">
            <v>20199</v>
          </cell>
          <cell r="AL102">
            <v>0</v>
          </cell>
          <cell r="AM102">
            <v>0</v>
          </cell>
          <cell r="AN102">
            <v>0</v>
          </cell>
        </row>
        <row r="103">
          <cell r="B103" t="str">
            <v>Reserves</v>
          </cell>
          <cell r="C103" t="str">
            <v>RESERVES</v>
          </cell>
          <cell r="D103" t="str">
            <v>AUD</v>
          </cell>
          <cell r="G103">
            <v>38.799999999999997</v>
          </cell>
          <cell r="H103">
            <v>42</v>
          </cell>
          <cell r="I103">
            <v>43</v>
          </cell>
          <cell r="J103">
            <v>69</v>
          </cell>
          <cell r="K103">
            <v>95</v>
          </cell>
          <cell r="L103">
            <v>104</v>
          </cell>
          <cell r="M103">
            <v>103</v>
          </cell>
          <cell r="N103">
            <v>106</v>
          </cell>
          <cell r="O103">
            <v>106</v>
          </cell>
          <cell r="P103">
            <v>106</v>
          </cell>
          <cell r="Q103">
            <v>106</v>
          </cell>
          <cell r="R103">
            <v>106</v>
          </cell>
          <cell r="S103">
            <v>106</v>
          </cell>
          <cell r="W103">
            <v>39</v>
          </cell>
          <cell r="X103">
            <v>0</v>
          </cell>
          <cell r="Y103">
            <v>51</v>
          </cell>
          <cell r="Z103">
            <v>0</v>
          </cell>
          <cell r="AA103">
            <v>40</v>
          </cell>
          <cell r="AB103">
            <v>0</v>
          </cell>
          <cell r="AC103">
            <v>48</v>
          </cell>
          <cell r="AD103">
            <v>0</v>
          </cell>
          <cell r="AE103">
            <v>72</v>
          </cell>
          <cell r="AF103">
            <v>0</v>
          </cell>
          <cell r="AG103">
            <v>93</v>
          </cell>
          <cell r="AH103">
            <v>0</v>
          </cell>
          <cell r="AI103">
            <v>91</v>
          </cell>
          <cell r="AJ103">
            <v>0</v>
          </cell>
          <cell r="AK103">
            <v>92</v>
          </cell>
          <cell r="AL103">
            <v>0</v>
          </cell>
          <cell r="AM103">
            <v>0</v>
          </cell>
          <cell r="AN103">
            <v>0</v>
          </cell>
        </row>
        <row r="104">
          <cell r="B104" t="str">
            <v>Retained profits or accumulated losses</v>
          </cell>
          <cell r="C104" t="str">
            <v>RETAIN_PROFIT_LOSS</v>
          </cell>
          <cell r="D104" t="str">
            <v>AUD</v>
          </cell>
          <cell r="G104">
            <v>1018.2</v>
          </cell>
          <cell r="H104">
            <v>1687.3</v>
          </cell>
          <cell r="I104">
            <v>961</v>
          </cell>
          <cell r="J104">
            <v>1159</v>
          </cell>
          <cell r="K104">
            <v>1393</v>
          </cell>
          <cell r="L104">
            <v>1608</v>
          </cell>
          <cell r="M104">
            <v>1842</v>
          </cell>
          <cell r="N104">
            <v>1996</v>
          </cell>
          <cell r="O104">
            <v>2189.8455806366055</v>
          </cell>
          <cell r="P104">
            <v>2403.65341900157</v>
          </cell>
          <cell r="Q104">
            <v>2632.3166652209916</v>
          </cell>
          <cell r="R104">
            <v>2872.231463765856</v>
          </cell>
          <cell r="S104">
            <v>3123.613866847033</v>
          </cell>
          <cell r="W104">
            <v>1905</v>
          </cell>
          <cell r="X104">
            <v>0</v>
          </cell>
          <cell r="Y104">
            <v>990</v>
          </cell>
          <cell r="Z104">
            <v>0</v>
          </cell>
          <cell r="AA104">
            <v>871</v>
          </cell>
          <cell r="AB104">
            <v>0</v>
          </cell>
          <cell r="AC104">
            <v>1154</v>
          </cell>
          <cell r="AD104">
            <v>0</v>
          </cell>
          <cell r="AE104">
            <v>1335</v>
          </cell>
          <cell r="AF104">
            <v>0</v>
          </cell>
          <cell r="AG104">
            <v>1635</v>
          </cell>
          <cell r="AH104">
            <v>0</v>
          </cell>
          <cell r="AI104">
            <v>1795</v>
          </cell>
          <cell r="AJ104">
            <v>0</v>
          </cell>
          <cell r="AK104">
            <v>1989</v>
          </cell>
          <cell r="AL104">
            <v>0</v>
          </cell>
          <cell r="AM104">
            <v>0</v>
          </cell>
          <cell r="AN104">
            <v>0</v>
          </cell>
        </row>
        <row r="105">
          <cell r="A105" t="str">
            <v>ANZ Balance Sheet</v>
          </cell>
        </row>
        <row r="106">
          <cell r="B106" t="str">
            <v>Other receivables (Current assets)</v>
          </cell>
          <cell r="C106" t="str">
            <v>OTHER_RECEIVABLES</v>
          </cell>
          <cell r="D106" t="str">
            <v>AUD</v>
          </cell>
        </row>
        <row r="107">
          <cell r="B107" t="str">
            <v>Investments (Current assets)</v>
          </cell>
          <cell r="C107" t="str">
            <v>INVESTMENTS</v>
          </cell>
          <cell r="D107" t="str">
            <v>AUD</v>
          </cell>
        </row>
        <row r="108">
          <cell r="B108" t="str">
            <v>Financial Instruments/Hedging (Current assets)</v>
          </cell>
          <cell r="C108" t="str">
            <v>FIN_INSTR_HEDGE_CURRENT</v>
          </cell>
          <cell r="D108" t="str">
            <v>AUD</v>
          </cell>
        </row>
        <row r="109">
          <cell r="B109" t="str">
            <v>Other (Misc. Current assets)</v>
          </cell>
          <cell r="C109" t="str">
            <v>CUR_ASS_MISC</v>
          </cell>
          <cell r="D109" t="str">
            <v>AUD</v>
          </cell>
        </row>
        <row r="110">
          <cell r="B110" t="str">
            <v>Trade debtors (Non current assets)</v>
          </cell>
          <cell r="C110" t="str">
            <v>NCASSET_TRADE_DEBTORS</v>
          </cell>
          <cell r="D110" t="str">
            <v>AUD</v>
          </cell>
        </row>
        <row r="111">
          <cell r="B111" t="str">
            <v>Other receivables (Non current assets)</v>
          </cell>
          <cell r="C111" t="str">
            <v>NCASSET_RECEIVABLES</v>
          </cell>
          <cell r="D111" t="str">
            <v>AUD</v>
          </cell>
        </row>
        <row r="112">
          <cell r="B112" t="str">
            <v>Investments (Non current assets)</v>
          </cell>
          <cell r="C112" t="str">
            <v>NCASSET_INVESTMENT</v>
          </cell>
          <cell r="D112" t="str">
            <v>AUD</v>
          </cell>
        </row>
        <row r="113">
          <cell r="B113" t="str">
            <v>Inventories</v>
          </cell>
          <cell r="C113" t="str">
            <v>NCASSET_INVENTORIES</v>
          </cell>
          <cell r="D113" t="str">
            <v>AUD</v>
          </cell>
        </row>
        <row r="114">
          <cell r="B114" t="str">
            <v>Land &amp; Buildings (Net of Dep'n)</v>
          </cell>
          <cell r="C114" t="str">
            <v>LAND_BUILDINGS</v>
          </cell>
          <cell r="D114" t="str">
            <v>AUD</v>
          </cell>
        </row>
        <row r="115">
          <cell r="B115" t="str">
            <v>Plant And Equipment (Net of Dep'n)</v>
          </cell>
          <cell r="C115" t="str">
            <v>PLANT_EQUIP</v>
          </cell>
          <cell r="D115" t="str">
            <v>AUD</v>
          </cell>
        </row>
        <row r="116">
          <cell r="B116" t="str">
            <v>Research &amp; Development - Capitalised (Net of Amort)</v>
          </cell>
          <cell r="C116" t="str">
            <v>R_AND_D_CAP</v>
          </cell>
          <cell r="D116" t="str">
            <v>AUD</v>
          </cell>
        </row>
        <row r="117">
          <cell r="B117" t="str">
            <v>Goodwill (Net of Amort)</v>
          </cell>
          <cell r="C117" t="str">
            <v>GOODWILL_NET_AMNT</v>
          </cell>
          <cell r="D117" t="str">
            <v>AUD</v>
          </cell>
        </row>
        <row r="118">
          <cell r="B118" t="str">
            <v>Other Intangibles - Depreciable (Net of Amort)</v>
          </cell>
          <cell r="C118" t="str">
            <v>OTHER_INTANGIBLES_DEPREC</v>
          </cell>
          <cell r="D118" t="str">
            <v>AUD</v>
          </cell>
        </row>
        <row r="119">
          <cell r="B119" t="str">
            <v>Other Intangibles - Non-Depreciable (Net of Amort)</v>
          </cell>
          <cell r="C119" t="str">
            <v>OTHER_INTANGIBLES_NON_DEPREC</v>
          </cell>
          <cell r="D119" t="str">
            <v>AUD</v>
          </cell>
        </row>
        <row r="120">
          <cell r="B120" t="str">
            <v>Defined Benefit Surplus</v>
          </cell>
          <cell r="C120" t="str">
            <v>DEFINED_BENEFIT_SURPLUS</v>
          </cell>
          <cell r="D120" t="str">
            <v>AUD</v>
          </cell>
        </row>
        <row r="121">
          <cell r="B121" t="str">
            <v>Financial Instruments/Hedging (Non current assets)</v>
          </cell>
          <cell r="C121" t="str">
            <v>FIN_INSTR_HEDGE_NON_CURRENT</v>
          </cell>
          <cell r="D121" t="str">
            <v>AUD</v>
          </cell>
        </row>
        <row r="122">
          <cell r="B122" t="str">
            <v>Other (Misc. non current assets)</v>
          </cell>
          <cell r="C122" t="str">
            <v>NCASSET_MISC</v>
          </cell>
          <cell r="D122" t="str">
            <v>AUD</v>
          </cell>
        </row>
        <row r="123">
          <cell r="B123" t="str">
            <v>Total Non Current Assets</v>
          </cell>
          <cell r="C123" t="str">
            <v>TOTAL_NONCURR_ASSETS</v>
          </cell>
          <cell r="D123" t="str">
            <v>AUD</v>
          </cell>
        </row>
        <row r="124">
          <cell r="B124" t="str">
            <v>Other Creditors (Current liabilities)</v>
          </cell>
          <cell r="C124" t="str">
            <v>OTHER_CREDITORS</v>
          </cell>
          <cell r="D124" t="str">
            <v>AUD</v>
          </cell>
        </row>
        <row r="125">
          <cell r="B125" t="str">
            <v>Bank Overdraft</v>
          </cell>
          <cell r="C125" t="str">
            <v>BANK_ODRAFT</v>
          </cell>
          <cell r="D125" t="str">
            <v>AUD</v>
          </cell>
        </row>
        <row r="126">
          <cell r="B126" t="str">
            <v>Borrowings</v>
          </cell>
          <cell r="C126" t="str">
            <v>BORROWINGS</v>
          </cell>
          <cell r="D126" t="str">
            <v>AUD</v>
          </cell>
        </row>
        <row r="127">
          <cell r="B127" t="str">
            <v>Provisions (Current liabilities)</v>
          </cell>
          <cell r="C127" t="str">
            <v>PROVISIONS</v>
          </cell>
          <cell r="D127" t="str">
            <v>AUD</v>
          </cell>
        </row>
        <row r="128">
          <cell r="B128" t="str">
            <v>Financial Instruments/Hedging (Current liab)</v>
          </cell>
          <cell r="C128" t="str">
            <v>FIN_INSTR_HEDGE_CURR_LIABILITY</v>
          </cell>
          <cell r="D128" t="str">
            <v>AUD</v>
          </cell>
        </row>
        <row r="129">
          <cell r="B129" t="str">
            <v>Other (Misc. current liabilities)</v>
          </cell>
          <cell r="C129" t="str">
            <v>CUR_LIABS_MISC</v>
          </cell>
          <cell r="D129" t="str">
            <v>AUD</v>
          </cell>
        </row>
        <row r="130">
          <cell r="B130" t="str">
            <v>Trade Creditors (Non current liabilities)</v>
          </cell>
          <cell r="C130" t="str">
            <v>NCLIAB_TRADE_CREDITORS</v>
          </cell>
          <cell r="D130" t="str">
            <v>AUD</v>
          </cell>
        </row>
        <row r="131">
          <cell r="B131" t="str">
            <v>Other Creditors (Non current liabilities)</v>
          </cell>
          <cell r="C131" t="str">
            <v>NCLIAB_OTHER_CREDITORS</v>
          </cell>
          <cell r="D131" t="str">
            <v>AUD</v>
          </cell>
        </row>
        <row r="132">
          <cell r="B132" t="str">
            <v>Provisions (Non current liabilities)</v>
          </cell>
          <cell r="C132" t="str">
            <v>NCLIAB_PROVISIONS</v>
          </cell>
          <cell r="D132" t="str">
            <v>AUD</v>
          </cell>
        </row>
        <row r="133">
          <cell r="B133" t="str">
            <v>Defined Benefit Obligation</v>
          </cell>
          <cell r="C133" t="str">
            <v>DEFINED_BENEFIT_OBLIGATION</v>
          </cell>
          <cell r="D133" t="str">
            <v>AUD</v>
          </cell>
        </row>
        <row r="134">
          <cell r="B134" t="str">
            <v>Financial Instruments/Hedging (Non current liab)</v>
          </cell>
          <cell r="C134" t="str">
            <v>FIN_INSTR_HEDGE_NON_CURR_LIAB</v>
          </cell>
          <cell r="D134" t="str">
            <v>AUD</v>
          </cell>
        </row>
        <row r="135">
          <cell r="B135" t="str">
            <v>Other (Misc. non current liabilities)</v>
          </cell>
          <cell r="C135" t="str">
            <v>NCLIAB_MISC</v>
          </cell>
          <cell r="D135" t="str">
            <v>AUD</v>
          </cell>
        </row>
        <row r="136">
          <cell r="B136" t="str">
            <v>Ordinary Capital</v>
          </cell>
          <cell r="C136" t="str">
            <v>ORD_SHARE_CAPITAL</v>
          </cell>
          <cell r="D136" t="str">
            <v>AUD</v>
          </cell>
        </row>
        <row r="137">
          <cell r="B137" t="str">
            <v>Net Assets</v>
          </cell>
          <cell r="C137" t="str">
            <v>NET_ASSETS</v>
          </cell>
          <cell r="D137" t="str">
            <v>AUD</v>
          </cell>
        </row>
        <row r="138">
          <cell r="B138" t="str">
            <v>Net Tangible Assets</v>
          </cell>
          <cell r="C138" t="str">
            <v>NET_TANGIBLE_ASSETS</v>
          </cell>
          <cell r="D138" t="str">
            <v>AUD</v>
          </cell>
        </row>
        <row r="139">
          <cell r="A139" t="str">
            <v>Additional Balance Sheet Items</v>
          </cell>
        </row>
        <row r="140">
          <cell r="B140" t="str">
            <v>Total US$ debt (in US$)</v>
          </cell>
          <cell r="C140" t="str">
            <v>TOT_USD_DEBT</v>
          </cell>
          <cell r="F140">
            <v>0</v>
          </cell>
          <cell r="G140">
            <v>0</v>
          </cell>
          <cell r="H140">
            <v>0</v>
          </cell>
          <cell r="I140">
            <v>0</v>
          </cell>
          <cell r="J140">
            <v>0</v>
          </cell>
          <cell r="K140">
            <v>0</v>
          </cell>
          <cell r="L140">
            <v>0</v>
          </cell>
          <cell r="M140">
            <v>0</v>
          </cell>
          <cell r="N140">
            <v>0</v>
          </cell>
          <cell r="O140">
            <v>0</v>
          </cell>
          <cell r="P140">
            <v>0</v>
          </cell>
          <cell r="Q140">
            <v>0</v>
          </cell>
          <cell r="R140">
            <v>0</v>
          </cell>
          <cell r="S140">
            <v>0</v>
          </cell>
        </row>
        <row r="141">
          <cell r="B141" t="str">
            <v>% US$ debt hedged (principal)</v>
          </cell>
          <cell r="C141" t="str">
            <v>TOT_PCT_USD_DEBT_HEDGED</v>
          </cell>
        </row>
        <row r="142">
          <cell r="B142" t="str">
            <v>% Floating debt (local currency debt)</v>
          </cell>
          <cell r="C142" t="str">
            <v>FLOATING_PCT_LOCAL_DEBT</v>
          </cell>
          <cell r="F142">
            <v>1</v>
          </cell>
          <cell r="G142">
            <v>1</v>
          </cell>
          <cell r="H142">
            <v>1</v>
          </cell>
          <cell r="I142">
            <v>1</v>
          </cell>
          <cell r="J142">
            <v>1</v>
          </cell>
          <cell r="K142">
            <v>1</v>
          </cell>
          <cell r="L142">
            <v>1</v>
          </cell>
          <cell r="M142">
            <v>1</v>
          </cell>
          <cell r="N142">
            <v>1</v>
          </cell>
          <cell r="O142">
            <v>1</v>
          </cell>
          <cell r="P142">
            <v>1</v>
          </cell>
          <cell r="Q142">
            <v>1</v>
          </cell>
          <cell r="R142">
            <v>1</v>
          </cell>
          <cell r="S142">
            <v>1</v>
          </cell>
        </row>
        <row r="143">
          <cell r="B143" t="str">
            <v>% floating debt hedged (rates)</v>
          </cell>
          <cell r="C143" t="str">
            <v>FLOATING_PCT_LOCAL_DEBT_HEDGED</v>
          </cell>
        </row>
        <row r="144">
          <cell r="B144" t="str">
            <v>Net debt</v>
          </cell>
          <cell r="C144" t="str">
            <v>NET_DEBT</v>
          </cell>
          <cell r="D144" t="str">
            <v>AUD</v>
          </cell>
          <cell r="G144">
            <v>-644.30000000000007</v>
          </cell>
          <cell r="H144">
            <v>758.19999999999993</v>
          </cell>
          <cell r="I144">
            <v>9445</v>
          </cell>
          <cell r="J144">
            <v>9111</v>
          </cell>
          <cell r="K144">
            <v>9187</v>
          </cell>
          <cell r="L144">
            <v>8370</v>
          </cell>
          <cell r="M144">
            <v>9394</v>
          </cell>
          <cell r="N144">
            <v>9622</v>
          </cell>
          <cell r="O144">
            <v>9633.4492331566398</v>
          </cell>
          <cell r="P144">
            <v>9634.5666855904346</v>
          </cell>
          <cell r="Q144">
            <v>9611.0620793803391</v>
          </cell>
          <cell r="R144">
            <v>9582.897510671808</v>
          </cell>
          <cell r="S144">
            <v>9550.2981437362996</v>
          </cell>
          <cell r="W144">
            <v>-397</v>
          </cell>
          <cell r="X144">
            <v>0</v>
          </cell>
          <cell r="Y144">
            <v>1735</v>
          </cell>
          <cell r="Z144">
            <v>0</v>
          </cell>
          <cell r="AA144">
            <v>2235</v>
          </cell>
          <cell r="AB144">
            <v>0</v>
          </cell>
          <cell r="AC144">
            <v>1353</v>
          </cell>
          <cell r="AD144">
            <v>0</v>
          </cell>
          <cell r="AE144">
            <v>1310</v>
          </cell>
          <cell r="AF144">
            <v>0</v>
          </cell>
          <cell r="AG144">
            <v>1526</v>
          </cell>
          <cell r="AH144">
            <v>0</v>
          </cell>
          <cell r="AI144">
            <v>1708</v>
          </cell>
          <cell r="AJ144">
            <v>0</v>
          </cell>
          <cell r="AK144">
            <v>2927</v>
          </cell>
          <cell r="AL144">
            <v>0</v>
          </cell>
          <cell r="AM144">
            <v>0</v>
          </cell>
          <cell r="AN144">
            <v>0</v>
          </cell>
        </row>
        <row r="145">
          <cell r="B145" t="str">
            <v>Capitalized operating leases (off-balance sheet)</v>
          </cell>
          <cell r="C145" t="str">
            <v>CAP_LEASES</v>
          </cell>
          <cell r="D145" t="str">
            <v>AUD</v>
          </cell>
        </row>
        <row r="146">
          <cell r="B146" t="str">
            <v>Deferred income taxes</v>
          </cell>
          <cell r="C146" t="str">
            <v>DEF_INC_TAX</v>
          </cell>
          <cell r="D146" t="str">
            <v>AUD</v>
          </cell>
        </row>
        <row r="147">
          <cell r="B147" t="str">
            <v>Associates (mkt value) used in EV calculation</v>
          </cell>
          <cell r="C147" t="str">
            <v>MV_ASSOCIATES</v>
          </cell>
          <cell r="D147" t="str">
            <v>AUD</v>
          </cell>
        </row>
        <row r="148">
          <cell r="B148" t="str">
            <v>Net debt adjustment</v>
          </cell>
          <cell r="C148" t="str">
            <v>NET_DEBT_ADJ</v>
          </cell>
          <cell r="D148" t="str">
            <v>AUD</v>
          </cell>
        </row>
        <row r="149">
          <cell r="B149" t="str">
            <v>Company borrowing margin</v>
          </cell>
          <cell r="C149" t="str">
            <v>CO_BOR_MARGIN</v>
          </cell>
        </row>
        <row r="150">
          <cell r="B150" t="str">
            <v>Unfunded pensions &amp; other provisions</v>
          </cell>
          <cell r="C150" t="str">
            <v>UNF_PENS</v>
          </cell>
          <cell r="D150" t="str">
            <v>AUD</v>
          </cell>
        </row>
        <row r="151">
          <cell r="B151" t="str">
            <v>Unfunded pension liabilities (off balance sheet)</v>
          </cell>
          <cell r="C151" t="str">
            <v>UNF_PENS_OFF</v>
          </cell>
          <cell r="D151" t="str">
            <v>AUD</v>
          </cell>
        </row>
        <row r="152">
          <cell r="B152" t="str">
            <v>Unfunded pension liabilities &amp; other, used in EV</v>
          </cell>
          <cell r="C152" t="str">
            <v>UNF_PENS_LIAB_OTH</v>
          </cell>
          <cell r="D152" t="str">
            <v>AUD</v>
          </cell>
        </row>
        <row r="153">
          <cell r="B153" t="str">
            <v>Adjustment for unfunded pensions &amp; goodwill</v>
          </cell>
          <cell r="C153" t="str">
            <v>ADJ_UNF_PENS_GOOD</v>
          </cell>
          <cell r="D153" t="str">
            <v>AUD</v>
          </cell>
        </row>
        <row r="154">
          <cell r="B154" t="str">
            <v>Other GCI adjustments</v>
          </cell>
          <cell r="C154" t="str">
            <v>OTH_GCI_ADJ</v>
          </cell>
          <cell r="D154" t="str">
            <v>AUD</v>
          </cell>
        </row>
        <row r="155">
          <cell r="B155" t="str">
            <v>GCI inflator</v>
          </cell>
          <cell r="C155" t="str">
            <v>GCI_INFL</v>
          </cell>
        </row>
        <row r="156">
          <cell r="B156" t="str">
            <v>Minority interest</v>
          </cell>
          <cell r="C156" t="str">
            <v>BAL_MINO_INT</v>
          </cell>
          <cell r="D156" t="str">
            <v>AUD</v>
          </cell>
          <cell r="G156">
            <v>0</v>
          </cell>
          <cell r="H156">
            <v>0</v>
          </cell>
          <cell r="I156">
            <v>0</v>
          </cell>
          <cell r="J156">
            <v>0</v>
          </cell>
          <cell r="K156">
            <v>0</v>
          </cell>
          <cell r="L156">
            <v>0</v>
          </cell>
          <cell r="M156">
            <v>0</v>
          </cell>
          <cell r="N156">
            <v>0</v>
          </cell>
          <cell r="O156">
            <v>0</v>
          </cell>
          <cell r="P156">
            <v>0</v>
          </cell>
          <cell r="Q156">
            <v>0</v>
          </cell>
          <cell r="R156">
            <v>0</v>
          </cell>
          <cell r="S156">
            <v>0</v>
          </cell>
          <cell r="W156">
            <v>0</v>
          </cell>
          <cell r="X156">
            <v>0</v>
          </cell>
          <cell r="Y156">
            <v>0</v>
          </cell>
          <cell r="Z156">
            <v>0</v>
          </cell>
          <cell r="AA156">
            <v>0</v>
          </cell>
          <cell r="AB156">
            <v>0</v>
          </cell>
          <cell r="AC156">
            <v>0</v>
          </cell>
          <cell r="AD156">
            <v>0</v>
          </cell>
          <cell r="AE156">
            <v>0</v>
          </cell>
          <cell r="AF156">
            <v>0</v>
          </cell>
          <cell r="AG156">
            <v>0</v>
          </cell>
          <cell r="AH156">
            <v>0</v>
          </cell>
          <cell r="AI156">
            <v>0</v>
          </cell>
          <cell r="AJ156">
            <v>0</v>
          </cell>
          <cell r="AK156">
            <v>0</v>
          </cell>
          <cell r="AL156">
            <v>0</v>
          </cell>
          <cell r="AM156">
            <v>0</v>
          </cell>
          <cell r="AN156">
            <v>0</v>
          </cell>
        </row>
        <row r="157">
          <cell r="B157" t="str">
            <v>Right-of-use assets (op lease assets under US GAAP)</v>
          </cell>
          <cell r="C157" t="str">
            <v>ROU_ASSET</v>
          </cell>
          <cell r="D157" t="str">
            <v>AUD</v>
          </cell>
          <cell r="G157">
            <v>0</v>
          </cell>
          <cell r="H157">
            <v>0</v>
          </cell>
          <cell r="I157">
            <v>7660</v>
          </cell>
          <cell r="J157">
            <v>7288</v>
          </cell>
          <cell r="K157">
            <v>7199</v>
          </cell>
          <cell r="L157">
            <v>6507</v>
          </cell>
          <cell r="M157">
            <v>7048</v>
          </cell>
          <cell r="N157">
            <v>6942</v>
          </cell>
          <cell r="O157">
            <v>6987.19</v>
          </cell>
          <cell r="P157">
            <v>7048.9616499999993</v>
          </cell>
          <cell r="Q157">
            <v>7128.6453077499991</v>
          </cell>
          <cell r="R157">
            <v>7227.6553935212496</v>
          </cell>
          <cell r="S157">
            <v>7347.4952072944943</v>
          </cell>
          <cell r="W157">
            <v>0</v>
          </cell>
          <cell r="X157">
            <v>0</v>
          </cell>
          <cell r="Y157">
            <v>0</v>
          </cell>
          <cell r="Z157">
            <v>0</v>
          </cell>
          <cell r="AA157">
            <v>7347</v>
          </cell>
          <cell r="AB157">
            <v>0</v>
          </cell>
          <cell r="AC157">
            <v>7703</v>
          </cell>
          <cell r="AD157">
            <v>0</v>
          </cell>
          <cell r="AE157">
            <v>7162</v>
          </cell>
          <cell r="AF157">
            <v>0</v>
          </cell>
          <cell r="AG157">
            <v>6434</v>
          </cell>
          <cell r="AH157">
            <v>0</v>
          </cell>
          <cell r="AI157">
            <v>6363</v>
          </cell>
          <cell r="AJ157">
            <v>0</v>
          </cell>
          <cell r="AK157">
            <v>7041</v>
          </cell>
          <cell r="AL157">
            <v>0</v>
          </cell>
          <cell r="AM157">
            <v>0</v>
          </cell>
          <cell r="AN157">
            <v>0</v>
          </cell>
        </row>
        <row r="158">
          <cell r="A158" t="str">
            <v>Cash Flow Statement</v>
          </cell>
        </row>
        <row r="159">
          <cell r="B159" t="str">
            <v>Minority interest add-back</v>
          </cell>
          <cell r="C159" t="str">
            <v>CF_INC_MINORITY</v>
          </cell>
          <cell r="D159" t="str">
            <v>AUD</v>
          </cell>
        </row>
        <row r="160">
          <cell r="B160" t="str">
            <v>Depreciation &amp; amortization add-back</v>
          </cell>
          <cell r="C160" t="str">
            <v>DEPR_AMORT</v>
          </cell>
          <cell r="D160" t="str">
            <v>AUD</v>
          </cell>
          <cell r="G160">
            <v>649.6</v>
          </cell>
          <cell r="H160">
            <v>639.6</v>
          </cell>
          <cell r="I160">
            <v>1495</v>
          </cell>
          <cell r="J160">
            <v>1559</v>
          </cell>
          <cell r="K160">
            <v>1432</v>
          </cell>
          <cell r="L160">
            <v>1523</v>
          </cell>
          <cell r="M160">
            <v>1602</v>
          </cell>
          <cell r="N160">
            <v>1829</v>
          </cell>
          <cell r="O160">
            <v>1947.885</v>
          </cell>
          <cell r="P160">
            <v>2025.8004000000001</v>
          </cell>
          <cell r="Q160">
            <v>2106.8324160000002</v>
          </cell>
          <cell r="R160">
            <v>2191.1057126400001</v>
          </cell>
          <cell r="S160">
            <v>2278.7499411456001</v>
          </cell>
          <cell r="W160">
            <v>330</v>
          </cell>
          <cell r="X160">
            <v>319.60000000000002</v>
          </cell>
          <cell r="Y160">
            <v>321</v>
          </cell>
          <cell r="Z160">
            <v>318.60000000000002</v>
          </cell>
          <cell r="AA160">
            <v>755</v>
          </cell>
          <cell r="AB160">
            <v>740</v>
          </cell>
          <cell r="AC160">
            <v>782</v>
          </cell>
          <cell r="AD160">
            <v>777</v>
          </cell>
          <cell r="AE160">
            <v>718</v>
          </cell>
          <cell r="AF160">
            <v>714</v>
          </cell>
          <cell r="AG160">
            <v>751</v>
          </cell>
          <cell r="AH160">
            <v>772</v>
          </cell>
          <cell r="AI160">
            <v>790</v>
          </cell>
          <cell r="AJ160">
            <v>812</v>
          </cell>
          <cell r="AK160">
            <v>928</v>
          </cell>
          <cell r="AL160">
            <v>901</v>
          </cell>
          <cell r="AM160">
            <v>0</v>
          </cell>
          <cell r="AN160">
            <v>0</v>
          </cell>
        </row>
        <row r="161">
          <cell r="B161" t="str">
            <v>(Increase)/decrease in working capital</v>
          </cell>
          <cell r="C161" t="str">
            <v>WORK_CAP</v>
          </cell>
          <cell r="D161" t="str">
            <v>AUD</v>
          </cell>
          <cell r="G161">
            <v>4069</v>
          </cell>
          <cell r="H161">
            <v>-3013.5</v>
          </cell>
          <cell r="I161">
            <v>81.5</v>
          </cell>
          <cell r="J161">
            <v>48</v>
          </cell>
          <cell r="K161">
            <v>232</v>
          </cell>
          <cell r="L161">
            <v>89</v>
          </cell>
          <cell r="M161">
            <v>-121</v>
          </cell>
          <cell r="N161">
            <v>32</v>
          </cell>
          <cell r="O161">
            <v>46.820186206759445</v>
          </cell>
          <cell r="P161">
            <v>45.274309201236974</v>
          </cell>
          <cell r="Q161">
            <v>63.588943990675034</v>
          </cell>
          <cell r="R161">
            <v>66.041457523666395</v>
          </cell>
          <cell r="S161">
            <v>68.583844708731249</v>
          </cell>
          <cell r="W161">
            <v>-3212</v>
          </cell>
          <cell r="X161">
            <v>7281</v>
          </cell>
          <cell r="Y161">
            <v>3067</v>
          </cell>
          <cell r="Z161">
            <v>-6080.5</v>
          </cell>
          <cell r="AA161">
            <v>216.5</v>
          </cell>
          <cell r="AB161">
            <v>-135</v>
          </cell>
          <cell r="AC161">
            <v>-198</v>
          </cell>
          <cell r="AD161">
            <v>246</v>
          </cell>
          <cell r="AE161">
            <v>-374</v>
          </cell>
          <cell r="AF161">
            <v>606</v>
          </cell>
          <cell r="AG161">
            <v>-263</v>
          </cell>
          <cell r="AH161">
            <v>352</v>
          </cell>
          <cell r="AI161">
            <v>-93</v>
          </cell>
          <cell r="AJ161">
            <v>-28</v>
          </cell>
          <cell r="AK161">
            <v>634</v>
          </cell>
          <cell r="AL161">
            <v>-602</v>
          </cell>
          <cell r="AM161">
            <v>0</v>
          </cell>
          <cell r="AN161">
            <v>0</v>
          </cell>
        </row>
        <row r="162">
          <cell r="B162" t="str">
            <v>Other operating cash flow items</v>
          </cell>
          <cell r="C162" t="str">
            <v>OTH_OP_CF</v>
          </cell>
          <cell r="D162" t="str">
            <v>AUD</v>
          </cell>
          <cell r="G162">
            <v>-4203.7000000000025</v>
          </cell>
          <cell r="H162">
            <v>3323.9</v>
          </cell>
          <cell r="I162">
            <v>-786.5</v>
          </cell>
          <cell r="J162">
            <v>-643</v>
          </cell>
          <cell r="K162">
            <v>-801</v>
          </cell>
          <cell r="L162">
            <v>-664</v>
          </cell>
          <cell r="M162">
            <v>-745</v>
          </cell>
          <cell r="N162">
            <v>-1037</v>
          </cell>
          <cell r="O162">
            <v>-1109.3952069171066</v>
          </cell>
          <cell r="P162">
            <v>-1179.5502575802952</v>
          </cell>
          <cell r="Q162">
            <v>-1235.3939583277411</v>
          </cell>
          <cell r="R162">
            <v>-1281.2695078080005</v>
          </cell>
          <cell r="S162">
            <v>-1328.1521897535076</v>
          </cell>
          <cell r="W162">
            <v>3330</v>
          </cell>
          <cell r="X162">
            <v>-7533.7000000000025</v>
          </cell>
          <cell r="Y162">
            <v>-2396</v>
          </cell>
          <cell r="Z162">
            <v>5719.9</v>
          </cell>
          <cell r="AA162">
            <v>-857.5</v>
          </cell>
          <cell r="AB162">
            <v>71</v>
          </cell>
          <cell r="AC162">
            <v>132</v>
          </cell>
          <cell r="AD162">
            <v>-775</v>
          </cell>
          <cell r="AE162">
            <v>296</v>
          </cell>
          <cell r="AF162">
            <v>-1097</v>
          </cell>
          <cell r="AG162">
            <v>47</v>
          </cell>
          <cell r="AH162">
            <v>-711</v>
          </cell>
          <cell r="AI162">
            <v>-257</v>
          </cell>
          <cell r="AJ162">
            <v>-488</v>
          </cell>
          <cell r="AK162">
            <v>-1829</v>
          </cell>
          <cell r="AL162">
            <v>792</v>
          </cell>
          <cell r="AM162">
            <v>0</v>
          </cell>
          <cell r="AN162">
            <v>0</v>
          </cell>
        </row>
        <row r="163">
          <cell r="B163" t="str">
            <v>Cash flow from operating activities</v>
          </cell>
          <cell r="C163" t="str">
            <v>CF_OPS</v>
          </cell>
          <cell r="D163" t="str">
            <v>AUD</v>
          </cell>
          <cell r="G163">
            <v>1909.8999999999969</v>
          </cell>
          <cell r="H163">
            <v>2275</v>
          </cell>
          <cell r="I163">
            <v>2552</v>
          </cell>
          <cell r="J163">
            <v>2837</v>
          </cell>
          <cell r="K163">
            <v>2690</v>
          </cell>
          <cell r="L163">
            <v>2807</v>
          </cell>
          <cell r="M163">
            <v>2793</v>
          </cell>
          <cell r="N163">
            <v>2936</v>
          </cell>
          <cell r="O163">
            <v>3293.5440023466745</v>
          </cell>
          <cell r="P163">
            <v>3502.9661435552598</v>
          </cell>
          <cell r="Q163">
            <v>3701.0529877554036</v>
          </cell>
          <cell r="R163">
            <v>3862.3131184656677</v>
          </cell>
          <cell r="S163">
            <v>4028.4087715983496</v>
          </cell>
          <cell r="W163">
            <v>1227</v>
          </cell>
          <cell r="X163">
            <v>682.89999999999691</v>
          </cell>
          <cell r="Y163">
            <v>1714</v>
          </cell>
          <cell r="Z163">
            <v>561</v>
          </cell>
          <cell r="AA163">
            <v>1024</v>
          </cell>
          <cell r="AB163">
            <v>1528</v>
          </cell>
          <cell r="AC163">
            <v>1736</v>
          </cell>
          <cell r="AD163">
            <v>1101</v>
          </cell>
          <cell r="AE163">
            <v>1603</v>
          </cell>
          <cell r="AF163">
            <v>1087</v>
          </cell>
          <cell r="AG163">
            <v>1593</v>
          </cell>
          <cell r="AH163">
            <v>1214</v>
          </cell>
          <cell r="AI163">
            <v>1504</v>
          </cell>
          <cell r="AJ163">
            <v>1289</v>
          </cell>
          <cell r="AK163">
            <v>850</v>
          </cell>
          <cell r="AL163">
            <v>2086</v>
          </cell>
          <cell r="AM163">
            <v>0</v>
          </cell>
          <cell r="AN163">
            <v>0</v>
          </cell>
        </row>
        <row r="164">
          <cell r="B164" t="str">
            <v>Capital expenditures, Capex</v>
          </cell>
          <cell r="C164" t="str">
            <v>CAPEX</v>
          </cell>
          <cell r="D164" t="str">
            <v>AUD</v>
          </cell>
          <cell r="G164">
            <v>-714.7</v>
          </cell>
          <cell r="H164">
            <v>-1104</v>
          </cell>
          <cell r="I164">
            <v>-833</v>
          </cell>
          <cell r="J164">
            <v>-1279</v>
          </cell>
          <cell r="K164">
            <v>-1272</v>
          </cell>
          <cell r="L164">
            <v>-1514</v>
          </cell>
          <cell r="M164">
            <v>-1671</v>
          </cell>
          <cell r="N164">
            <v>-1487</v>
          </cell>
          <cell r="O164">
            <v>-1200</v>
          </cell>
          <cell r="P164">
            <v>-1236</v>
          </cell>
          <cell r="Q164">
            <v>-1273.08</v>
          </cell>
          <cell r="R164">
            <v>-1311.2724000000001</v>
          </cell>
          <cell r="S164">
            <v>-1350.610572</v>
          </cell>
          <cell r="W164">
            <v>-377</v>
          </cell>
          <cell r="X164">
            <v>-337.70000000000005</v>
          </cell>
          <cell r="Y164">
            <v>-556</v>
          </cell>
          <cell r="Z164">
            <v>-548</v>
          </cell>
          <cell r="AA164">
            <v>-372</v>
          </cell>
          <cell r="AB164">
            <v>-461</v>
          </cell>
          <cell r="AC164">
            <v>-615</v>
          </cell>
          <cell r="AD164">
            <v>-664</v>
          </cell>
          <cell r="AE164">
            <v>-451</v>
          </cell>
          <cell r="AF164">
            <v>-821</v>
          </cell>
          <cell r="AG164">
            <v>-667</v>
          </cell>
          <cell r="AH164">
            <v>-847</v>
          </cell>
          <cell r="AI164">
            <v>-863</v>
          </cell>
          <cell r="AJ164">
            <v>-808</v>
          </cell>
          <cell r="AK164">
            <v>-657</v>
          </cell>
          <cell r="AL164">
            <v>-830</v>
          </cell>
          <cell r="AM164">
            <v>0</v>
          </cell>
          <cell r="AN164">
            <v>0</v>
          </cell>
        </row>
        <row r="165">
          <cell r="B165" t="str">
            <v>Acquisitions</v>
          </cell>
          <cell r="C165" t="str">
            <v>ACQ</v>
          </cell>
          <cell r="D165" t="str">
            <v>AUD</v>
          </cell>
          <cell r="G165">
            <v>-0.8</v>
          </cell>
          <cell r="H165">
            <v>-8</v>
          </cell>
          <cell r="I165">
            <v>-36</v>
          </cell>
          <cell r="J165">
            <v>-8</v>
          </cell>
          <cell r="K165">
            <v>-6</v>
          </cell>
          <cell r="L165">
            <v>-14</v>
          </cell>
          <cell r="M165">
            <v>-97</v>
          </cell>
          <cell r="N165">
            <v>-20</v>
          </cell>
          <cell r="O165">
            <v>0</v>
          </cell>
          <cell r="P165">
            <v>0</v>
          </cell>
          <cell r="Q165">
            <v>0</v>
          </cell>
          <cell r="R165">
            <v>0</v>
          </cell>
          <cell r="S165">
            <v>0</v>
          </cell>
          <cell r="W165">
            <v>0</v>
          </cell>
          <cell r="X165">
            <v>-0.8</v>
          </cell>
          <cell r="Y165">
            <v>-8</v>
          </cell>
          <cell r="Z165">
            <v>0</v>
          </cell>
          <cell r="AA165">
            <v>-9</v>
          </cell>
          <cell r="AB165">
            <v>-27</v>
          </cell>
          <cell r="AC165">
            <v>-4</v>
          </cell>
          <cell r="AD165">
            <v>-4</v>
          </cell>
          <cell r="AE165">
            <v>-3</v>
          </cell>
          <cell r="AF165">
            <v>-3</v>
          </cell>
          <cell r="AG165">
            <v>-12</v>
          </cell>
          <cell r="AH165">
            <v>-2</v>
          </cell>
          <cell r="AI165">
            <v>-23</v>
          </cell>
          <cell r="AJ165">
            <v>-74</v>
          </cell>
          <cell r="AK165">
            <v>-16</v>
          </cell>
          <cell r="AL165">
            <v>-4</v>
          </cell>
          <cell r="AM165">
            <v>0</v>
          </cell>
          <cell r="AN165">
            <v>0</v>
          </cell>
        </row>
        <row r="166">
          <cell r="B166" t="str">
            <v>Divestitures</v>
          </cell>
          <cell r="C166" t="str">
            <v>DIVEST</v>
          </cell>
          <cell r="D166" t="str">
            <v>AUD</v>
          </cell>
          <cell r="G166">
            <v>213</v>
          </cell>
          <cell r="H166">
            <v>288</v>
          </cell>
          <cell r="I166">
            <v>211</v>
          </cell>
          <cell r="J166">
            <v>181</v>
          </cell>
          <cell r="K166">
            <v>136</v>
          </cell>
          <cell r="L166">
            <v>248</v>
          </cell>
          <cell r="M166">
            <v>255</v>
          </cell>
          <cell r="N166">
            <v>205</v>
          </cell>
          <cell r="O166">
            <v>0</v>
          </cell>
          <cell r="P166">
            <v>0</v>
          </cell>
          <cell r="Q166">
            <v>0</v>
          </cell>
          <cell r="R166">
            <v>0</v>
          </cell>
          <cell r="S166">
            <v>0</v>
          </cell>
          <cell r="W166">
            <v>92</v>
          </cell>
          <cell r="X166">
            <v>121</v>
          </cell>
          <cell r="Y166">
            <v>88</v>
          </cell>
          <cell r="Z166">
            <v>200</v>
          </cell>
          <cell r="AA166">
            <v>221</v>
          </cell>
          <cell r="AB166">
            <v>-10</v>
          </cell>
          <cell r="AC166">
            <v>112</v>
          </cell>
          <cell r="AD166">
            <v>69</v>
          </cell>
          <cell r="AE166">
            <v>77</v>
          </cell>
          <cell r="AF166">
            <v>59</v>
          </cell>
          <cell r="AG166">
            <v>101</v>
          </cell>
          <cell r="AH166">
            <v>147</v>
          </cell>
          <cell r="AI166">
            <v>188</v>
          </cell>
          <cell r="AJ166">
            <v>67</v>
          </cell>
          <cell r="AK166">
            <v>125</v>
          </cell>
          <cell r="AL166">
            <v>80</v>
          </cell>
          <cell r="AM166">
            <v>0</v>
          </cell>
          <cell r="AN166">
            <v>0</v>
          </cell>
        </row>
        <row r="167">
          <cell r="B167" t="str">
            <v>Other investing cash flow items</v>
          </cell>
          <cell r="C167" t="str">
            <v>OTH_INV_CF</v>
          </cell>
          <cell r="D167" t="str">
            <v>AUD</v>
          </cell>
          <cell r="G167">
            <v>0</v>
          </cell>
          <cell r="H167">
            <v>544</v>
          </cell>
          <cell r="I167">
            <v>0</v>
          </cell>
          <cell r="J167">
            <v>0</v>
          </cell>
          <cell r="K167">
            <v>0</v>
          </cell>
          <cell r="L167">
            <v>280</v>
          </cell>
          <cell r="M167">
            <v>0</v>
          </cell>
          <cell r="N167">
            <v>-62</v>
          </cell>
          <cell r="O167">
            <v>0</v>
          </cell>
          <cell r="P167">
            <v>0</v>
          </cell>
          <cell r="Q167">
            <v>0</v>
          </cell>
          <cell r="R167">
            <v>0</v>
          </cell>
          <cell r="S167">
            <v>0</v>
          </cell>
          <cell r="W167">
            <v>0</v>
          </cell>
          <cell r="X167">
            <v>0</v>
          </cell>
          <cell r="Y167">
            <v>359</v>
          </cell>
          <cell r="Z167">
            <v>185</v>
          </cell>
          <cell r="AA167">
            <v>0</v>
          </cell>
          <cell r="AB167">
            <v>0</v>
          </cell>
          <cell r="AC167">
            <v>0</v>
          </cell>
          <cell r="AD167">
            <v>0</v>
          </cell>
          <cell r="AE167">
            <v>0</v>
          </cell>
          <cell r="AF167">
            <v>0</v>
          </cell>
          <cell r="AG167">
            <v>0</v>
          </cell>
          <cell r="AH167">
            <v>280</v>
          </cell>
          <cell r="AI167">
            <v>0</v>
          </cell>
          <cell r="AJ167">
            <v>0</v>
          </cell>
          <cell r="AK167">
            <v>-37</v>
          </cell>
          <cell r="AL167">
            <v>-25</v>
          </cell>
          <cell r="AM167">
            <v>0</v>
          </cell>
          <cell r="AN167">
            <v>0</v>
          </cell>
        </row>
        <row r="168">
          <cell r="B168" t="str">
            <v>Cash flow from investing</v>
          </cell>
          <cell r="C168" t="str">
            <v>CF_INV</v>
          </cell>
          <cell r="D168" t="str">
            <v>AUD</v>
          </cell>
          <cell r="G168">
            <v>-502.50000000000006</v>
          </cell>
          <cell r="H168">
            <v>-280</v>
          </cell>
          <cell r="I168">
            <v>-658</v>
          </cell>
          <cell r="J168">
            <v>-1106</v>
          </cell>
          <cell r="K168">
            <v>-1142</v>
          </cell>
          <cell r="L168">
            <v>-1000</v>
          </cell>
          <cell r="M168">
            <v>-1513</v>
          </cell>
          <cell r="N168">
            <v>-1364</v>
          </cell>
          <cell r="O168">
            <v>-1200</v>
          </cell>
          <cell r="P168">
            <v>-1236</v>
          </cell>
          <cell r="Q168">
            <v>-1273.08</v>
          </cell>
          <cell r="R168">
            <v>-1311.2724000000001</v>
          </cell>
          <cell r="S168">
            <v>-1350.610572</v>
          </cell>
          <cell r="W168">
            <v>-285</v>
          </cell>
          <cell r="X168">
            <v>-217.50000000000006</v>
          </cell>
          <cell r="Y168">
            <v>-117</v>
          </cell>
          <cell r="Z168">
            <v>-163</v>
          </cell>
          <cell r="AA168">
            <v>-160</v>
          </cell>
          <cell r="AB168">
            <v>-498</v>
          </cell>
          <cell r="AC168">
            <v>-507</v>
          </cell>
          <cell r="AD168">
            <v>-599</v>
          </cell>
          <cell r="AE168">
            <v>-377</v>
          </cell>
          <cell r="AF168">
            <v>-765</v>
          </cell>
          <cell r="AG168">
            <v>-578</v>
          </cell>
          <cell r="AH168">
            <v>-422</v>
          </cell>
          <cell r="AI168">
            <v>-698</v>
          </cell>
          <cell r="AJ168">
            <v>-815</v>
          </cell>
          <cell r="AK168">
            <v>-585</v>
          </cell>
          <cell r="AL168">
            <v>-779</v>
          </cell>
          <cell r="AM168">
            <v>0</v>
          </cell>
          <cell r="AN168">
            <v>0</v>
          </cell>
        </row>
        <row r="169">
          <cell r="B169" t="str">
            <v>Dividends paid</v>
          </cell>
          <cell r="C169" t="str">
            <v>DIV_PAID</v>
          </cell>
          <cell r="D169" t="str">
            <v>AUD</v>
          </cell>
          <cell r="G169">
            <v>0</v>
          </cell>
          <cell r="H169">
            <v>0</v>
          </cell>
          <cell r="I169">
            <v>-873</v>
          </cell>
          <cell r="J169">
            <v>-807</v>
          </cell>
          <cell r="K169">
            <v>-798</v>
          </cell>
          <cell r="L169">
            <v>-844</v>
          </cell>
          <cell r="M169">
            <v>-853</v>
          </cell>
          <cell r="N169">
            <v>-889</v>
          </cell>
          <cell r="O169">
            <v>-1104.9932355033097</v>
          </cell>
          <cell r="P169">
            <v>-1218.0835959890576</v>
          </cell>
          <cell r="Q169">
            <v>-1301.9683815453072</v>
          </cell>
          <cell r="R169">
            <v>-1365.2511497571363</v>
          </cell>
          <cell r="S169">
            <v>-1429.6925826628406</v>
          </cell>
          <cell r="W169">
            <v>0</v>
          </cell>
          <cell r="X169">
            <v>0</v>
          </cell>
          <cell r="Y169">
            <v>0</v>
          </cell>
          <cell r="Z169">
            <v>0</v>
          </cell>
          <cell r="AA169">
            <v>-474</v>
          </cell>
          <cell r="AB169">
            <v>-399</v>
          </cell>
          <cell r="AC169">
            <v>-367</v>
          </cell>
          <cell r="AD169">
            <v>-440</v>
          </cell>
          <cell r="AE169">
            <v>-373</v>
          </cell>
          <cell r="AF169">
            <v>-425</v>
          </cell>
          <cell r="AG169">
            <v>-382</v>
          </cell>
          <cell r="AH169">
            <v>-462</v>
          </cell>
          <cell r="AI169">
            <v>-388</v>
          </cell>
          <cell r="AJ169">
            <v>-465</v>
          </cell>
          <cell r="AK169">
            <v>-412</v>
          </cell>
          <cell r="AL169">
            <v>-477</v>
          </cell>
          <cell r="AM169">
            <v>0</v>
          </cell>
          <cell r="AN169">
            <v>0</v>
          </cell>
        </row>
        <row r="170">
          <cell r="B170" t="str">
            <v>Common stock issuance/(repurchase)</v>
          </cell>
          <cell r="C170" t="str">
            <v>SH_REPUR</v>
          </cell>
          <cell r="D170" t="str">
            <v>AUD</v>
          </cell>
          <cell r="G170">
            <v>0</v>
          </cell>
          <cell r="H170">
            <v>-27</v>
          </cell>
          <cell r="I170">
            <v>-17</v>
          </cell>
          <cell r="J170">
            <v>-26</v>
          </cell>
          <cell r="K170">
            <v>0</v>
          </cell>
          <cell r="L170">
            <v>-71</v>
          </cell>
          <cell r="M170">
            <v>-40</v>
          </cell>
          <cell r="N170">
            <v>-42</v>
          </cell>
          <cell r="O170">
            <v>0</v>
          </cell>
          <cell r="P170">
            <v>0</v>
          </cell>
          <cell r="Q170">
            <v>0</v>
          </cell>
          <cell r="R170">
            <v>0</v>
          </cell>
          <cell r="S170">
            <v>0</v>
          </cell>
          <cell r="W170">
            <v>0</v>
          </cell>
          <cell r="X170">
            <v>0</v>
          </cell>
          <cell r="Y170">
            <v>-24</v>
          </cell>
          <cell r="Z170">
            <v>-3</v>
          </cell>
          <cell r="AA170">
            <v>-20</v>
          </cell>
          <cell r="AB170">
            <v>3</v>
          </cell>
          <cell r="AC170">
            <v>-21</v>
          </cell>
          <cell r="AD170">
            <v>-5</v>
          </cell>
          <cell r="AE170">
            <v>0</v>
          </cell>
          <cell r="AF170">
            <v>0</v>
          </cell>
          <cell r="AG170">
            <v>-27</v>
          </cell>
          <cell r="AH170">
            <v>-44</v>
          </cell>
          <cell r="AI170">
            <v>-38</v>
          </cell>
          <cell r="AJ170">
            <v>-2</v>
          </cell>
          <cell r="AK170">
            <v>-43</v>
          </cell>
          <cell r="AL170">
            <v>1</v>
          </cell>
          <cell r="AM170">
            <v>0</v>
          </cell>
          <cell r="AN170">
            <v>0</v>
          </cell>
        </row>
        <row r="171">
          <cell r="B171" t="str">
            <v>Increase/(decrease) in total debt</v>
          </cell>
          <cell r="C171" t="str">
            <v>CHG_LT_DEBT</v>
          </cell>
          <cell r="D171" t="str">
            <v>AUD</v>
          </cell>
          <cell r="G171">
            <v>-131</v>
          </cell>
          <cell r="H171">
            <v>-2048</v>
          </cell>
          <cell r="I171">
            <v>-106</v>
          </cell>
          <cell r="J171">
            <v>-212</v>
          </cell>
          <cell r="K171">
            <v>-47</v>
          </cell>
          <cell r="L171">
            <v>23</v>
          </cell>
          <cell r="M171">
            <v>525</v>
          </cell>
          <cell r="N171">
            <v>300</v>
          </cell>
          <cell r="O171">
            <v>0</v>
          </cell>
          <cell r="P171">
            <v>0</v>
          </cell>
          <cell r="Q171">
            <v>0</v>
          </cell>
          <cell r="R171">
            <v>0</v>
          </cell>
          <cell r="S171">
            <v>0</v>
          </cell>
          <cell r="W171">
            <v>-711</v>
          </cell>
          <cell r="X171">
            <v>580</v>
          </cell>
          <cell r="Y171">
            <v>-1878</v>
          </cell>
          <cell r="Z171">
            <v>-170</v>
          </cell>
          <cell r="AA171">
            <v>-105</v>
          </cell>
          <cell r="AB171">
            <v>-1</v>
          </cell>
          <cell r="AC171">
            <v>-214</v>
          </cell>
          <cell r="AD171">
            <v>2</v>
          </cell>
          <cell r="AE171">
            <v>-98</v>
          </cell>
          <cell r="AF171">
            <v>51</v>
          </cell>
          <cell r="AG171">
            <v>-34</v>
          </cell>
          <cell r="AH171">
            <v>57</v>
          </cell>
          <cell r="AI171">
            <v>525</v>
          </cell>
          <cell r="AJ171">
            <v>0</v>
          </cell>
          <cell r="AK171">
            <v>618</v>
          </cell>
          <cell r="AL171">
            <v>-318</v>
          </cell>
          <cell r="AM171">
            <v>0</v>
          </cell>
          <cell r="AN171">
            <v>0</v>
          </cell>
        </row>
        <row r="172">
          <cell r="B172" t="str">
            <v>Lease principal payments  (applicable to IFRS cos.)</v>
          </cell>
          <cell r="C172" t="str">
            <v>LEASE_PRINCIPAL_CASH</v>
          </cell>
          <cell r="D172" t="str">
            <v>AUD</v>
          </cell>
          <cell r="G172">
            <v>0</v>
          </cell>
          <cell r="H172">
            <v>0</v>
          </cell>
          <cell r="I172">
            <v>-846</v>
          </cell>
          <cell r="J172">
            <v>-891</v>
          </cell>
          <cell r="K172">
            <v>-901</v>
          </cell>
          <cell r="L172">
            <v>-907</v>
          </cell>
          <cell r="M172">
            <v>-834</v>
          </cell>
          <cell r="N172">
            <v>-911</v>
          </cell>
          <cell r="O172">
            <v>-956.55000000000007</v>
          </cell>
          <cell r="P172">
            <v>-1004.3775000000002</v>
          </cell>
          <cell r="Q172">
            <v>-1054.5963750000003</v>
          </cell>
          <cell r="R172">
            <v>-1107.3261937500004</v>
          </cell>
          <cell r="S172">
            <v>-1162.6925034375004</v>
          </cell>
          <cell r="W172">
            <v>0</v>
          </cell>
          <cell r="X172">
            <v>0</v>
          </cell>
          <cell r="Y172">
            <v>0</v>
          </cell>
          <cell r="Z172">
            <v>0</v>
          </cell>
          <cell r="AA172">
            <v>-416</v>
          </cell>
          <cell r="AB172">
            <v>-430</v>
          </cell>
          <cell r="AC172">
            <v>-441</v>
          </cell>
          <cell r="AD172">
            <v>-450</v>
          </cell>
          <cell r="AE172">
            <v>-444</v>
          </cell>
          <cell r="AF172">
            <v>-457</v>
          </cell>
          <cell r="AG172">
            <v>-458</v>
          </cell>
          <cell r="AH172">
            <v>-449</v>
          </cell>
          <cell r="AI172">
            <v>-410</v>
          </cell>
          <cell r="AJ172">
            <v>-424</v>
          </cell>
          <cell r="AK172">
            <v>-453</v>
          </cell>
          <cell r="AL172">
            <v>-458</v>
          </cell>
          <cell r="AM172">
            <v>0</v>
          </cell>
          <cell r="AN172">
            <v>0</v>
          </cell>
        </row>
        <row r="173">
          <cell r="B173" t="str">
            <v>Other financing cash flow items</v>
          </cell>
          <cell r="C173" t="str">
            <v>OTH_FIN_CF</v>
          </cell>
          <cell r="D173" t="str">
            <v>AUD</v>
          </cell>
          <cell r="G173">
            <v>-1106</v>
          </cell>
          <cell r="H173">
            <v>464</v>
          </cell>
          <cell r="I173">
            <v>0</v>
          </cell>
          <cell r="J173">
            <v>0</v>
          </cell>
          <cell r="K173">
            <v>0</v>
          </cell>
          <cell r="L173">
            <v>0</v>
          </cell>
          <cell r="M173">
            <v>0</v>
          </cell>
          <cell r="N173">
            <v>0</v>
          </cell>
          <cell r="O173">
            <v>0</v>
          </cell>
          <cell r="P173">
            <v>0</v>
          </cell>
          <cell r="Q173">
            <v>0</v>
          </cell>
          <cell r="R173">
            <v>0</v>
          </cell>
          <cell r="S173">
            <v>0</v>
          </cell>
          <cell r="W173">
            <v>0</v>
          </cell>
          <cell r="X173">
            <v>-1106</v>
          </cell>
          <cell r="Y173">
            <v>464</v>
          </cell>
          <cell r="Z173">
            <v>0</v>
          </cell>
          <cell r="AA173">
            <v>0</v>
          </cell>
          <cell r="AB173">
            <v>0</v>
          </cell>
          <cell r="AC173">
            <v>0</v>
          </cell>
          <cell r="AD173">
            <v>0</v>
          </cell>
          <cell r="AE173">
            <v>0</v>
          </cell>
          <cell r="AF173">
            <v>0</v>
          </cell>
          <cell r="AG173">
            <v>0</v>
          </cell>
          <cell r="AH173">
            <v>0</v>
          </cell>
          <cell r="AI173">
            <v>0</v>
          </cell>
          <cell r="AJ173">
            <v>0</v>
          </cell>
          <cell r="AK173">
            <v>0</v>
          </cell>
          <cell r="AL173">
            <v>0</v>
          </cell>
          <cell r="AM173">
            <v>0</v>
          </cell>
          <cell r="AN173">
            <v>0</v>
          </cell>
        </row>
        <row r="174">
          <cell r="B174" t="str">
            <v>Cash flow from financing</v>
          </cell>
          <cell r="C174" t="str">
            <v>CF_FIN</v>
          </cell>
          <cell r="D174" t="str">
            <v>AUD</v>
          </cell>
          <cell r="G174">
            <v>-1237</v>
          </cell>
          <cell r="H174">
            <v>-1611</v>
          </cell>
          <cell r="I174">
            <v>-1842</v>
          </cell>
          <cell r="J174">
            <v>-1936</v>
          </cell>
          <cell r="K174">
            <v>-1746</v>
          </cell>
          <cell r="L174">
            <v>-1799</v>
          </cell>
          <cell r="M174">
            <v>-1202</v>
          </cell>
          <cell r="N174">
            <v>-1542</v>
          </cell>
          <cell r="O174">
            <v>-2061.5432355033099</v>
          </cell>
          <cell r="P174">
            <v>-2222.4610959890579</v>
          </cell>
          <cell r="Q174">
            <v>-2356.5647565453073</v>
          </cell>
          <cell r="R174">
            <v>-2472.5773435071369</v>
          </cell>
          <cell r="S174">
            <v>-2592.3850861003411</v>
          </cell>
          <cell r="W174">
            <v>-711</v>
          </cell>
          <cell r="X174">
            <v>-526</v>
          </cell>
          <cell r="Y174">
            <v>-1438</v>
          </cell>
          <cell r="Z174">
            <v>-173</v>
          </cell>
          <cell r="AA174">
            <v>-1015</v>
          </cell>
          <cell r="AB174">
            <v>-827</v>
          </cell>
          <cell r="AC174">
            <v>-1043</v>
          </cell>
          <cell r="AD174">
            <v>-893</v>
          </cell>
          <cell r="AE174">
            <v>-915</v>
          </cell>
          <cell r="AF174">
            <v>-831</v>
          </cell>
          <cell r="AG174">
            <v>-901</v>
          </cell>
          <cell r="AH174">
            <v>-898</v>
          </cell>
          <cell r="AI174">
            <v>-311</v>
          </cell>
          <cell r="AJ174">
            <v>-891</v>
          </cell>
          <cell r="AK174">
            <v>-290</v>
          </cell>
          <cell r="AL174">
            <v>-1252</v>
          </cell>
          <cell r="AM174">
            <v>0</v>
          </cell>
          <cell r="AN174">
            <v>0</v>
          </cell>
        </row>
        <row r="175">
          <cell r="B175" t="str">
            <v>Effective Foreign Exchange Impact</v>
          </cell>
          <cell r="C175" t="str">
            <v>CF_FX</v>
          </cell>
          <cell r="D175" t="str">
            <v>AUD</v>
          </cell>
        </row>
        <row r="176">
          <cell r="B176" t="str">
            <v>Total cash flow</v>
          </cell>
          <cell r="C176" t="str">
            <v>TOT_CF</v>
          </cell>
          <cell r="D176" t="str">
            <v>AUD</v>
          </cell>
          <cell r="G176">
            <v>170.39999999999691</v>
          </cell>
          <cell r="H176">
            <v>384</v>
          </cell>
          <cell r="I176">
            <v>52</v>
          </cell>
          <cell r="J176">
            <v>-205</v>
          </cell>
          <cell r="K176">
            <v>-198</v>
          </cell>
          <cell r="L176">
            <v>8</v>
          </cell>
          <cell r="M176">
            <v>78</v>
          </cell>
          <cell r="N176">
            <v>30</v>
          </cell>
          <cell r="O176">
            <v>32.000766843364545</v>
          </cell>
          <cell r="P176">
            <v>44.505047566201938</v>
          </cell>
          <cell r="Q176">
            <v>71.408231210096346</v>
          </cell>
          <cell r="R176">
            <v>78.463374958530949</v>
          </cell>
          <cell r="S176">
            <v>85.413113498008443</v>
          </cell>
          <cell r="W176">
            <v>231</v>
          </cell>
          <cell r="X176">
            <v>-60.600000000003092</v>
          </cell>
          <cell r="Y176">
            <v>159</v>
          </cell>
          <cell r="Z176">
            <v>225</v>
          </cell>
          <cell r="AA176">
            <v>-151</v>
          </cell>
          <cell r="AB176">
            <v>203</v>
          </cell>
          <cell r="AC176">
            <v>186</v>
          </cell>
          <cell r="AD176">
            <v>-391</v>
          </cell>
          <cell r="AE176">
            <v>311</v>
          </cell>
          <cell r="AF176">
            <v>-509</v>
          </cell>
          <cell r="AG176">
            <v>114</v>
          </cell>
          <cell r="AH176">
            <v>-106</v>
          </cell>
          <cell r="AI176">
            <v>495</v>
          </cell>
          <cell r="AJ176">
            <v>-417</v>
          </cell>
          <cell r="AK176">
            <v>-25</v>
          </cell>
          <cell r="AL176">
            <v>55</v>
          </cell>
          <cell r="AM176">
            <v>0</v>
          </cell>
          <cell r="AN176">
            <v>0</v>
          </cell>
        </row>
        <row r="177">
          <cell r="A177" t="str">
            <v>ANZ Cash Flow Statement</v>
          </cell>
        </row>
        <row r="178">
          <cell r="B178" t="str">
            <v>Receipts from customers</v>
          </cell>
          <cell r="C178" t="str">
            <v>CUSTOMER_RECEIPTS</v>
          </cell>
          <cell r="D178" t="str">
            <v>AUD</v>
          </cell>
        </row>
        <row r="179">
          <cell r="B179" t="str">
            <v>Payments to suppliers and employees</v>
          </cell>
          <cell r="C179" t="str">
            <v>SUPPLIER_EMPLOYEE_PAYS</v>
          </cell>
          <cell r="D179" t="str">
            <v>AUD</v>
          </cell>
        </row>
        <row r="180">
          <cell r="B180" t="str">
            <v>Interest and other items of similar nature received</v>
          </cell>
          <cell r="C180" t="str">
            <v>INT_OTHERS_RECEIVED</v>
          </cell>
          <cell r="D180" t="str">
            <v>AUD</v>
          </cell>
        </row>
        <row r="181">
          <cell r="B181" t="str">
            <v>Other (Misc. operating cash flow items)</v>
          </cell>
          <cell r="C181" t="str">
            <v>CF_OPS_MISC</v>
          </cell>
          <cell r="D181" t="str">
            <v>AUD</v>
          </cell>
        </row>
        <row r="182">
          <cell r="B182" t="str">
            <v>Payment for the purchase of operating businesses</v>
          </cell>
          <cell r="C182" t="str">
            <v>PROCEEDS_PURCH_OPER_BUS</v>
          </cell>
          <cell r="D182" t="str">
            <v>AUD</v>
          </cell>
        </row>
        <row r="183">
          <cell r="B183" t="str">
            <v>Payment for purchases of equity investments</v>
          </cell>
          <cell r="C183" t="str">
            <v>PURCH_EQUITY_INVESTS</v>
          </cell>
          <cell r="D183" t="str">
            <v>AUD</v>
          </cell>
        </row>
        <row r="184">
          <cell r="B184" t="str">
            <v>Proceeds from the sale of property, plant and equipment</v>
          </cell>
          <cell r="C184" t="str">
            <v>SALE_PROP_PLANT_EQUIP</v>
          </cell>
          <cell r="D184" t="str">
            <v>AUD</v>
          </cell>
        </row>
        <row r="185">
          <cell r="B185" t="str">
            <v>Proceeds from the sale of equity investments</v>
          </cell>
          <cell r="C185" t="str">
            <v>PROCEEDS_SALE_EQUITY_INV</v>
          </cell>
          <cell r="D185" t="str">
            <v>AUD</v>
          </cell>
        </row>
        <row r="186">
          <cell r="B186" t="str">
            <v>Proceeds from the sale of operating businesses</v>
          </cell>
          <cell r="C186" t="str">
            <v>PROCEEDS_SALE_OPER_BUS</v>
          </cell>
          <cell r="D186" t="str">
            <v>AUD</v>
          </cell>
        </row>
        <row r="187">
          <cell r="B187" t="str">
            <v>Loans to other entities</v>
          </cell>
          <cell r="C187" t="str">
            <v>LOANS_OTHER_ENTITIES</v>
          </cell>
          <cell r="D187" t="str">
            <v>AUD</v>
          </cell>
        </row>
        <row r="188">
          <cell r="B188" t="str">
            <v>Loans repaid by other entities</v>
          </cell>
          <cell r="C188" t="str">
            <v>LOAN_REPAID_OTHER_ENTS</v>
          </cell>
          <cell r="D188" t="str">
            <v>AUD</v>
          </cell>
        </row>
        <row r="189">
          <cell r="B189" t="str">
            <v>Other Investing CFs</v>
          </cell>
          <cell r="C189" t="str">
            <v>CF_INV_MISC</v>
          </cell>
          <cell r="D189" t="str">
            <v>AUD</v>
          </cell>
        </row>
        <row r="190">
          <cell r="B190" t="str">
            <v>Proceeds from borrowings</v>
          </cell>
          <cell r="C190" t="str">
            <v>PROCEEDS_BORROWINGS</v>
          </cell>
          <cell r="D190" t="str">
            <v>AUD</v>
          </cell>
        </row>
        <row r="191">
          <cell r="B191" t="str">
            <v>Repayment of borrowings</v>
          </cell>
          <cell r="C191" t="str">
            <v>REPAY_BORROWINGS</v>
          </cell>
          <cell r="D191" t="str">
            <v>AUD</v>
          </cell>
        </row>
        <row r="192">
          <cell r="A192" t="str">
            <v>Additional Cash Flow Items</v>
          </cell>
        </row>
        <row r="193">
          <cell r="B193" t="str">
            <v>Associate and JV add-back</v>
          </cell>
          <cell r="C193" t="str">
            <v>ASSOC_JV_ADDBK</v>
          </cell>
          <cell r="D193" t="str">
            <v>AUD</v>
          </cell>
        </row>
        <row r="194">
          <cell r="B194" t="str">
            <v>Profit/(loss) on sale of assets</v>
          </cell>
          <cell r="C194" t="str">
            <v>PL_SALE_ASSETS</v>
          </cell>
          <cell r="D194" t="str">
            <v>AUD</v>
          </cell>
        </row>
        <row r="195">
          <cell r="B195" t="str">
            <v>Other non-cash adjustments</v>
          </cell>
          <cell r="C195" t="str">
            <v>OTH_NONCASH_ADJ</v>
          </cell>
          <cell r="D195" t="str">
            <v>AUD</v>
          </cell>
        </row>
        <row r="196">
          <cell r="B196" t="str">
            <v>Other DACF adjustments</v>
          </cell>
          <cell r="C196" t="str">
            <v>OTH_DACF_ADJ</v>
          </cell>
          <cell r="D196" t="str">
            <v>AUD</v>
          </cell>
        </row>
        <row r="197">
          <cell r="B197" t="str">
            <v>Cash interest expense</v>
          </cell>
          <cell r="C197" t="str">
            <v>CASH_INT_EXP</v>
          </cell>
          <cell r="D197" t="str">
            <v>AUD</v>
          </cell>
        </row>
        <row r="198">
          <cell r="B198" t="str">
            <v>Cash tax expense</v>
          </cell>
          <cell r="C198" t="str">
            <v>CASH_TAX_EXP</v>
          </cell>
          <cell r="D198" t="str">
            <v>AUD</v>
          </cell>
        </row>
        <row r="199">
          <cell r="B199" t="str">
            <v>Dividends received from associates/JVs</v>
          </cell>
          <cell r="C199" t="str">
            <v>DIVDS_ASSOC_JV</v>
          </cell>
          <cell r="D199" t="str">
            <v>AUD</v>
          </cell>
        </row>
        <row r="200">
          <cell r="B200" t="str">
            <v>Capex maintenance</v>
          </cell>
          <cell r="C200" t="str">
            <v>CAPEX_MAINTENANCE</v>
          </cell>
          <cell r="D200" t="str">
            <v>AUD</v>
          </cell>
        </row>
        <row r="201">
          <cell r="B201" t="str">
            <v>Capex expansion</v>
          </cell>
          <cell r="C201" t="str">
            <v>CAPEX_EXPANSION</v>
          </cell>
          <cell r="D201" t="str">
            <v>AUD</v>
          </cell>
        </row>
        <row r="202">
          <cell r="B202" t="str">
            <v>Non-PP&amp;E capex</v>
          </cell>
          <cell r="C202" t="str">
            <v>NONPPE_CAPEX</v>
          </cell>
          <cell r="D202" t="str">
            <v>AUD</v>
          </cell>
        </row>
        <row r="203">
          <cell r="B203" t="str">
            <v>Dividends paid to minorities</v>
          </cell>
          <cell r="C203" t="str">
            <v>DIVDS_PD_MINORITIES</v>
          </cell>
          <cell r="D203" t="str">
            <v>AUD</v>
          </cell>
        </row>
        <row r="204">
          <cell r="A204" t="str">
            <v>Other Items</v>
          </cell>
        </row>
        <row r="205">
          <cell r="B205" t="str">
            <v>Number of employees</v>
          </cell>
          <cell r="C205" t="str">
            <v>EMPLOYEES</v>
          </cell>
        </row>
        <row r="206">
          <cell r="A206" t="str">
            <v>ANZ Other Items</v>
          </cell>
        </row>
        <row r="207">
          <cell r="B207" t="str">
            <v>Balance Of Franking Credits</v>
          </cell>
          <cell r="C207" t="str">
            <v>BAL_OF_FRANK_CREDITS</v>
          </cell>
          <cell r="D207" t="str">
            <v>AUD</v>
          </cell>
        </row>
        <row r="208">
          <cell r="B208" t="str">
            <v>Market Value of Net Other Stake Holders</v>
          </cell>
          <cell r="C208" t="str">
            <v>MV_NET_OTHER_STAKEHOLDERS</v>
          </cell>
          <cell r="D208" t="str">
            <v>AUD</v>
          </cell>
        </row>
        <row r="209">
          <cell r="B209" t="str">
            <v>Market Value of Convertible Notes</v>
          </cell>
          <cell r="C209" t="str">
            <v>MV_CONVERTIBLE_NOTES</v>
          </cell>
          <cell r="D209" t="str">
            <v>AUD</v>
          </cell>
        </row>
        <row r="210">
          <cell r="B210" t="str">
            <v>Television licences &amp; mastheads</v>
          </cell>
          <cell r="C210" t="str">
            <v>TV_LICENCES_MASTERHEADS</v>
          </cell>
          <cell r="D210" t="str">
            <v>AUD</v>
          </cell>
        </row>
        <row r="211">
          <cell r="B211" t="str">
            <v>Cost of Debt</v>
          </cell>
          <cell r="C211" t="str">
            <v>COST_OF_DEBT_DCF</v>
          </cell>
        </row>
        <row r="212">
          <cell r="B212" t="str">
            <v>Debt to Equity (Market Values)</v>
          </cell>
          <cell r="C212" t="str">
            <v>DEBT_TO_EQUITY_MKT_VALUES_DCF</v>
          </cell>
        </row>
        <row r="213">
          <cell r="B213" t="str">
            <v>Capital at End of Year - Adjusted total capital employed</v>
          </cell>
          <cell r="C213" t="str">
            <v>TOTAL_CAPITAL_EMPLOYED_ADJ</v>
          </cell>
          <cell r="D213" t="str">
            <v>AUD</v>
          </cell>
        </row>
        <row r="214">
          <cell r="B214" t="str">
            <v>Average Capital Employed</v>
          </cell>
          <cell r="C214" t="str">
            <v>AVG_CAPITAL_EMPLOYED_ADJ</v>
          </cell>
          <cell r="D214" t="str">
            <v>AUD</v>
          </cell>
        </row>
        <row r="215">
          <cell r="A215" t="str">
            <v>Geographical Breakdown</v>
          </cell>
        </row>
        <row r="216">
          <cell r="B216" t="str">
            <v>Sales - % Canada</v>
          </cell>
          <cell r="C216" t="str">
            <v>SALES_CANADA</v>
          </cell>
        </row>
        <row r="217">
          <cell r="B217" t="str">
            <v>Sales - % United States</v>
          </cell>
          <cell r="C217" t="str">
            <v>SALES_US</v>
          </cell>
        </row>
        <row r="218">
          <cell r="B218" t="str">
            <v>Sales - % Other North Americas</v>
          </cell>
          <cell r="C218" t="str">
            <v>SALES_OTH_NO_AMER</v>
          </cell>
        </row>
        <row r="219">
          <cell r="B219" t="str">
            <v>Sales - % Argentina</v>
          </cell>
          <cell r="C219" t="str">
            <v>SALES_ARGENTINA</v>
          </cell>
        </row>
        <row r="220">
          <cell r="B220" t="str">
            <v>Sales - % Brazil</v>
          </cell>
          <cell r="C220" t="str">
            <v>SALES_BRAZIL</v>
          </cell>
        </row>
        <row r="221">
          <cell r="B221" t="str">
            <v>Sales - % Chile</v>
          </cell>
          <cell r="C221" t="str">
            <v>SALES_CHILE</v>
          </cell>
        </row>
        <row r="222">
          <cell r="B222" t="str">
            <v>Sales - % Colombia</v>
          </cell>
          <cell r="C222" t="str">
            <v>SALES_COLOMBIA</v>
          </cell>
        </row>
        <row r="223">
          <cell r="B223" t="str">
            <v>Sales - % Mexico</v>
          </cell>
          <cell r="C223" t="str">
            <v>SALES_MEXICO</v>
          </cell>
        </row>
        <row r="224">
          <cell r="B224" t="str">
            <v>Sales - % Venezuela</v>
          </cell>
          <cell r="C224" t="str">
            <v>SALES_VENEZUELA</v>
          </cell>
        </row>
        <row r="225">
          <cell r="B225" t="str">
            <v>Sales - % Other Latin Americas</v>
          </cell>
          <cell r="C225" t="str">
            <v>SALES_OTH_LATAM</v>
          </cell>
        </row>
        <row r="226">
          <cell r="B226" t="str">
            <v>Sales - % Austria</v>
          </cell>
          <cell r="C226" t="str">
            <v>SALES_AUSTRIA</v>
          </cell>
        </row>
        <row r="227">
          <cell r="B227" t="str">
            <v>Sales - % Belgium</v>
          </cell>
          <cell r="C227" t="str">
            <v>SALES_BEL</v>
          </cell>
        </row>
        <row r="228">
          <cell r="B228" t="str">
            <v>Sales - % France</v>
          </cell>
          <cell r="C228" t="str">
            <v>SALES_FRA</v>
          </cell>
        </row>
        <row r="229">
          <cell r="B229" t="str">
            <v>Sales - % Germany</v>
          </cell>
          <cell r="C229" t="str">
            <v>SALES_GER</v>
          </cell>
        </row>
        <row r="230">
          <cell r="B230" t="str">
            <v>Sales - % Greece</v>
          </cell>
          <cell r="C230" t="str">
            <v>SALES_GRE</v>
          </cell>
        </row>
        <row r="231">
          <cell r="B231" t="str">
            <v>Sales - % Ireland</v>
          </cell>
          <cell r="C231" t="str">
            <v>SALES_IRE</v>
          </cell>
        </row>
        <row r="232">
          <cell r="B232" t="str">
            <v>Sales - % Italy</v>
          </cell>
          <cell r="C232" t="str">
            <v>SALES_ITA</v>
          </cell>
        </row>
        <row r="233">
          <cell r="B233" t="str">
            <v>Sales - % Netherlands</v>
          </cell>
          <cell r="C233" t="str">
            <v>SALES_NETH</v>
          </cell>
        </row>
        <row r="234">
          <cell r="B234" t="str">
            <v>Sales - % Norway</v>
          </cell>
          <cell r="C234" t="str">
            <v>SALES_NOR</v>
          </cell>
        </row>
        <row r="235">
          <cell r="B235" t="str">
            <v>Sales - % Portugal</v>
          </cell>
          <cell r="C235" t="str">
            <v>SALES_POR</v>
          </cell>
        </row>
        <row r="236">
          <cell r="B236" t="str">
            <v>Sales - % Spain</v>
          </cell>
          <cell r="C236" t="str">
            <v>SALES_SPA</v>
          </cell>
        </row>
        <row r="237">
          <cell r="B237" t="str">
            <v>Sales - % Sweden</v>
          </cell>
          <cell r="C237" t="str">
            <v>SALES_SWE</v>
          </cell>
        </row>
        <row r="238">
          <cell r="B238" t="str">
            <v>Sales - % Switzerland</v>
          </cell>
          <cell r="C238" t="str">
            <v>SALES_SWIT</v>
          </cell>
        </row>
        <row r="239">
          <cell r="B239" t="str">
            <v>Sales - % UK</v>
          </cell>
          <cell r="C239" t="str">
            <v>SALES_UK</v>
          </cell>
        </row>
        <row r="240">
          <cell r="B240" t="str">
            <v>Sales - % Other Western Europe</v>
          </cell>
          <cell r="C240" t="str">
            <v>SALES_OTH_WEST_EURO</v>
          </cell>
        </row>
        <row r="241">
          <cell r="B241" t="str">
            <v>Sales - % Poland</v>
          </cell>
          <cell r="C241" t="str">
            <v>SALES_POLAND</v>
          </cell>
        </row>
        <row r="242">
          <cell r="B242" t="str">
            <v>Sales - % Russia</v>
          </cell>
          <cell r="C242" t="str">
            <v>SALES_RUSSIA</v>
          </cell>
        </row>
        <row r="243">
          <cell r="B243" t="str">
            <v>Sales - % Turkey</v>
          </cell>
          <cell r="C243" t="str">
            <v>SALES_TURKEY</v>
          </cell>
        </row>
        <row r="244">
          <cell r="B244" t="str">
            <v>Sales - % Other CEE</v>
          </cell>
          <cell r="C244" t="str">
            <v>SALES_OTH_CEE</v>
          </cell>
        </row>
        <row r="245">
          <cell r="B245" t="str">
            <v>Sales - % Saudi Arabia</v>
          </cell>
          <cell r="C245" t="str">
            <v>SALES_SAUDI_ARABIA</v>
          </cell>
        </row>
        <row r="246">
          <cell r="B246" t="str">
            <v>Sales - % United Arab Emirates</v>
          </cell>
          <cell r="C246" t="str">
            <v>SALES_UAE</v>
          </cell>
        </row>
        <row r="247">
          <cell r="B247" t="str">
            <v>Sales - % Other Middle East</v>
          </cell>
          <cell r="C247" t="str">
            <v>SALES_OTH_ME</v>
          </cell>
        </row>
        <row r="248">
          <cell r="B248" t="str">
            <v>Sales - % Nigeria</v>
          </cell>
          <cell r="C248" t="str">
            <v>SALES_NIGERIA</v>
          </cell>
        </row>
        <row r="249">
          <cell r="B249" t="str">
            <v>Sales - % South Africa</v>
          </cell>
          <cell r="C249" t="str">
            <v>SALES_SO_AFRICA</v>
          </cell>
        </row>
        <row r="250">
          <cell r="B250" t="str">
            <v>Sales - % Other Africa</v>
          </cell>
          <cell r="C250" t="str">
            <v>SALES_OTH_AFRICA</v>
          </cell>
        </row>
        <row r="251">
          <cell r="B251" t="str">
            <v>Sales - % Hong Kong</v>
          </cell>
          <cell r="C251" t="str">
            <v>SALES_HONG_KONG</v>
          </cell>
        </row>
        <row r="252">
          <cell r="B252" t="str">
            <v>Sales - % Japan</v>
          </cell>
          <cell r="C252" t="str">
            <v>SALES_JAPAN</v>
          </cell>
        </row>
        <row r="253">
          <cell r="B253" t="str">
            <v>Sales - % Singapore</v>
          </cell>
          <cell r="C253" t="str">
            <v>SALES_SINGAPORE</v>
          </cell>
        </row>
        <row r="254">
          <cell r="B254" t="str">
            <v>Sales - % South Korea</v>
          </cell>
          <cell r="C254" t="str">
            <v>SALES_SK</v>
          </cell>
        </row>
        <row r="255">
          <cell r="B255" t="str">
            <v>Sales - % Taiwan</v>
          </cell>
          <cell r="C255" t="str">
            <v>SALES_TAIWAN</v>
          </cell>
        </row>
        <row r="256">
          <cell r="B256" t="str">
            <v>Sales - % Other Developed Asia</v>
          </cell>
          <cell r="C256" t="str">
            <v>SALES_OTH_DEV_ASIA</v>
          </cell>
        </row>
        <row r="257">
          <cell r="B257" t="str">
            <v>Sales - % China</v>
          </cell>
          <cell r="C257" t="str">
            <v>SALES_CHINA</v>
          </cell>
        </row>
        <row r="258">
          <cell r="B258" t="str">
            <v>Sales - % India</v>
          </cell>
          <cell r="C258" t="str">
            <v>SALES_INDIA</v>
          </cell>
        </row>
        <row r="259">
          <cell r="B259" t="str">
            <v>Sales - % Indonesia</v>
          </cell>
          <cell r="C259" t="str">
            <v>SALES_INDONESIA</v>
          </cell>
        </row>
        <row r="260">
          <cell r="B260" t="str">
            <v>Sales - % Thailand</v>
          </cell>
          <cell r="C260" t="str">
            <v>SALES_THAILAND</v>
          </cell>
        </row>
        <row r="261">
          <cell r="B261" t="str">
            <v>Sales - % Other Emerging Asia</v>
          </cell>
          <cell r="C261" t="str">
            <v>SALES_OTH_EMERG_ASIA</v>
          </cell>
        </row>
        <row r="262">
          <cell r="B262" t="str">
            <v>Sales - % Australia</v>
          </cell>
          <cell r="C262" t="str">
            <v>SALES_AUSTRA</v>
          </cell>
          <cell r="F262">
            <v>1</v>
          </cell>
          <cell r="G262">
            <v>1</v>
          </cell>
          <cell r="H262">
            <v>1</v>
          </cell>
          <cell r="I262">
            <v>1</v>
          </cell>
          <cell r="J262">
            <v>1</v>
          </cell>
          <cell r="K262">
            <v>1</v>
          </cell>
          <cell r="L262">
            <v>1</v>
          </cell>
          <cell r="M262">
            <v>1</v>
          </cell>
          <cell r="N262">
            <v>1</v>
          </cell>
          <cell r="O262">
            <v>1</v>
          </cell>
          <cell r="P262">
            <v>1</v>
          </cell>
          <cell r="Q262">
            <v>1</v>
          </cell>
          <cell r="R262">
            <v>1</v>
          </cell>
          <cell r="S262">
            <v>1</v>
          </cell>
          <cell r="U262">
            <v>1</v>
          </cell>
          <cell r="V262">
            <v>1</v>
          </cell>
          <cell r="W262">
            <v>1</v>
          </cell>
          <cell r="X262">
            <v>1</v>
          </cell>
          <cell r="Y262">
            <v>1</v>
          </cell>
          <cell r="Z262">
            <v>1</v>
          </cell>
          <cell r="AA262">
            <v>1</v>
          </cell>
          <cell r="AB262">
            <v>1</v>
          </cell>
          <cell r="AC262">
            <v>1</v>
          </cell>
          <cell r="AD262">
            <v>1</v>
          </cell>
          <cell r="AE262">
            <v>1</v>
          </cell>
          <cell r="AF262">
            <v>1</v>
          </cell>
          <cell r="AG262">
            <v>1</v>
          </cell>
          <cell r="AH262">
            <v>1</v>
          </cell>
          <cell r="AI262">
            <v>1</v>
          </cell>
          <cell r="AJ262">
            <v>1</v>
          </cell>
          <cell r="AK262">
            <v>1</v>
          </cell>
          <cell r="AL262">
            <v>1</v>
          </cell>
          <cell r="AM262">
            <v>1</v>
          </cell>
          <cell r="AN262">
            <v>1</v>
          </cell>
        </row>
        <row r="263">
          <cell r="B263" t="str">
            <v>Sales - % New Zealand</v>
          </cell>
          <cell r="C263" t="str">
            <v>SALES_NZ</v>
          </cell>
        </row>
        <row r="264">
          <cell r="B264" t="str">
            <v>Sales - % Others</v>
          </cell>
          <cell r="C264" t="str">
            <v>SALES_OTHER</v>
          </cell>
        </row>
        <row r="265">
          <cell r="B265" t="str">
            <v>% of CoGS from U.S. (GS estimate)</v>
          </cell>
          <cell r="C265" t="str">
            <v>COGS_PCT_US</v>
          </cell>
        </row>
        <row r="266">
          <cell r="B266" t="str">
            <v>% of CoGS from non-U.S. (GS estimate)</v>
          </cell>
          <cell r="C266" t="str">
            <v>COGS_PCT_ROW</v>
          </cell>
          <cell r="F266">
            <v>1</v>
          </cell>
          <cell r="G266">
            <v>1</v>
          </cell>
          <cell r="H266">
            <v>1</v>
          </cell>
          <cell r="I266">
            <v>1</v>
          </cell>
          <cell r="J266">
            <v>1</v>
          </cell>
          <cell r="K266">
            <v>1</v>
          </cell>
          <cell r="L266">
            <v>1</v>
          </cell>
          <cell r="M266">
            <v>1</v>
          </cell>
          <cell r="N266">
            <v>1</v>
          </cell>
          <cell r="O266">
            <v>1</v>
          </cell>
          <cell r="P266">
            <v>1</v>
          </cell>
          <cell r="Q266">
            <v>1</v>
          </cell>
          <cell r="R266">
            <v>1</v>
          </cell>
          <cell r="S266">
            <v>1</v>
          </cell>
          <cell r="U266">
            <v>1</v>
          </cell>
          <cell r="V266">
            <v>1</v>
          </cell>
          <cell r="W266">
            <v>1</v>
          </cell>
          <cell r="X266">
            <v>1</v>
          </cell>
          <cell r="Y266">
            <v>1</v>
          </cell>
          <cell r="Z266">
            <v>1</v>
          </cell>
          <cell r="AA266">
            <v>1</v>
          </cell>
          <cell r="AB266">
            <v>1</v>
          </cell>
          <cell r="AC266">
            <v>1</v>
          </cell>
          <cell r="AD266">
            <v>1</v>
          </cell>
          <cell r="AE266">
            <v>1</v>
          </cell>
          <cell r="AF266">
            <v>1</v>
          </cell>
          <cell r="AG266">
            <v>1</v>
          </cell>
          <cell r="AH266">
            <v>1</v>
          </cell>
          <cell r="AI266">
            <v>1</v>
          </cell>
          <cell r="AJ266">
            <v>1</v>
          </cell>
          <cell r="AK266">
            <v>1</v>
          </cell>
          <cell r="AL266">
            <v>1</v>
          </cell>
          <cell r="AM266">
            <v>1</v>
          </cell>
          <cell r="AN266">
            <v>1</v>
          </cell>
        </row>
        <row r="267">
          <cell r="B267" t="str">
            <v>% of SG&amp;A from U.S. (GS estimate)</v>
          </cell>
          <cell r="C267" t="str">
            <v>SGA_PCT_US</v>
          </cell>
        </row>
        <row r="268">
          <cell r="B268" t="str">
            <v>% of SG&amp;A from non-U.S. (GS estimate)</v>
          </cell>
          <cell r="C268" t="str">
            <v>SGA_PCT_ROW</v>
          </cell>
          <cell r="F268">
            <v>1</v>
          </cell>
          <cell r="G268">
            <v>1</v>
          </cell>
          <cell r="H268">
            <v>1</v>
          </cell>
          <cell r="I268">
            <v>1</v>
          </cell>
          <cell r="J268">
            <v>1</v>
          </cell>
          <cell r="K268">
            <v>1</v>
          </cell>
          <cell r="L268">
            <v>1</v>
          </cell>
          <cell r="M268">
            <v>1</v>
          </cell>
          <cell r="N268">
            <v>1</v>
          </cell>
          <cell r="O268">
            <v>1</v>
          </cell>
          <cell r="P268">
            <v>1</v>
          </cell>
          <cell r="Q268">
            <v>1</v>
          </cell>
          <cell r="R268">
            <v>1</v>
          </cell>
          <cell r="S268">
            <v>1</v>
          </cell>
          <cell r="U268">
            <v>1</v>
          </cell>
          <cell r="V268">
            <v>1</v>
          </cell>
          <cell r="W268">
            <v>1</v>
          </cell>
          <cell r="X268">
            <v>1</v>
          </cell>
          <cell r="Y268">
            <v>1</v>
          </cell>
          <cell r="Z268">
            <v>1</v>
          </cell>
          <cell r="AA268">
            <v>1</v>
          </cell>
          <cell r="AB268">
            <v>1</v>
          </cell>
          <cell r="AC268">
            <v>1</v>
          </cell>
          <cell r="AD268">
            <v>1</v>
          </cell>
          <cell r="AE268">
            <v>1</v>
          </cell>
          <cell r="AF268">
            <v>1</v>
          </cell>
          <cell r="AG268">
            <v>1</v>
          </cell>
          <cell r="AH268">
            <v>1</v>
          </cell>
          <cell r="AI268">
            <v>1</v>
          </cell>
          <cell r="AJ268">
            <v>1</v>
          </cell>
          <cell r="AK268">
            <v>1</v>
          </cell>
          <cell r="AL268">
            <v>1</v>
          </cell>
          <cell r="AM268">
            <v>1</v>
          </cell>
          <cell r="AN268">
            <v>1</v>
          </cell>
        </row>
        <row r="269">
          <cell r="B269" t="str">
            <v>Sales -% Consumer (C)</v>
          </cell>
          <cell r="C269" t="str">
            <v>SALES_CONS</v>
          </cell>
          <cell r="F269">
            <v>1</v>
          </cell>
          <cell r="G269">
            <v>1</v>
          </cell>
          <cell r="H269">
            <v>1</v>
          </cell>
          <cell r="I269">
            <v>1</v>
          </cell>
          <cell r="J269">
            <v>1</v>
          </cell>
          <cell r="K269">
            <v>1</v>
          </cell>
          <cell r="L269">
            <v>1</v>
          </cell>
          <cell r="M269">
            <v>1</v>
          </cell>
          <cell r="N269">
            <v>1</v>
          </cell>
          <cell r="O269">
            <v>1</v>
          </cell>
          <cell r="P269">
            <v>1</v>
          </cell>
          <cell r="Q269">
            <v>1</v>
          </cell>
          <cell r="R269">
            <v>1</v>
          </cell>
          <cell r="S269">
            <v>1</v>
          </cell>
          <cell r="U269">
            <v>1</v>
          </cell>
          <cell r="V269">
            <v>1</v>
          </cell>
          <cell r="W269">
            <v>1</v>
          </cell>
          <cell r="X269">
            <v>1</v>
          </cell>
          <cell r="Y269">
            <v>1</v>
          </cell>
          <cell r="Z269">
            <v>1</v>
          </cell>
          <cell r="AA269">
            <v>1</v>
          </cell>
          <cell r="AB269">
            <v>1</v>
          </cell>
          <cell r="AC269">
            <v>1</v>
          </cell>
          <cell r="AD269">
            <v>1</v>
          </cell>
          <cell r="AE269">
            <v>1</v>
          </cell>
          <cell r="AF269">
            <v>1</v>
          </cell>
          <cell r="AG269">
            <v>1</v>
          </cell>
          <cell r="AH269">
            <v>1</v>
          </cell>
          <cell r="AI269">
            <v>1</v>
          </cell>
          <cell r="AJ269">
            <v>1</v>
          </cell>
          <cell r="AK269">
            <v>1</v>
          </cell>
          <cell r="AL269">
            <v>1</v>
          </cell>
          <cell r="AM269">
            <v>1</v>
          </cell>
          <cell r="AN269">
            <v>1</v>
          </cell>
        </row>
        <row r="270">
          <cell r="B270" t="str">
            <v>Sales -% Industry (I)</v>
          </cell>
          <cell r="C270" t="str">
            <v>SALES_IND</v>
          </cell>
        </row>
        <row r="271">
          <cell r="B271" t="str">
            <v>Sales -% Government (G)</v>
          </cell>
          <cell r="C271" t="str">
            <v>SALES_GOV</v>
          </cell>
        </row>
        <row r="272">
          <cell r="B272" t="str">
            <v>Sales - % Industry Sub-Segment: Financial Services</v>
          </cell>
          <cell r="C272" t="str">
            <v>SALES_FINAN</v>
          </cell>
          <cell r="F272">
            <v>0</v>
          </cell>
          <cell r="G272">
            <v>0</v>
          </cell>
          <cell r="H272">
            <v>0</v>
          </cell>
          <cell r="I272">
            <v>0</v>
          </cell>
          <cell r="J272">
            <v>0</v>
          </cell>
          <cell r="K272">
            <v>0</v>
          </cell>
          <cell r="L272">
            <v>0</v>
          </cell>
          <cell r="M272">
            <v>0</v>
          </cell>
          <cell r="N272">
            <v>0</v>
          </cell>
          <cell r="O272">
            <v>0</v>
          </cell>
          <cell r="P272">
            <v>0</v>
          </cell>
          <cell r="Q272">
            <v>0</v>
          </cell>
          <cell r="R272">
            <v>0</v>
          </cell>
          <cell r="S272">
            <v>0</v>
          </cell>
          <cell r="U272">
            <v>0</v>
          </cell>
          <cell r="V272">
            <v>0</v>
          </cell>
          <cell r="W272">
            <v>0</v>
          </cell>
          <cell r="X272">
            <v>0</v>
          </cell>
          <cell r="Y272">
            <v>0</v>
          </cell>
          <cell r="Z272">
            <v>0</v>
          </cell>
          <cell r="AA272">
            <v>0</v>
          </cell>
          <cell r="AB272">
            <v>0</v>
          </cell>
          <cell r="AC272">
            <v>0</v>
          </cell>
          <cell r="AD272">
            <v>0</v>
          </cell>
          <cell r="AE272">
            <v>0</v>
          </cell>
          <cell r="AF272">
            <v>0</v>
          </cell>
          <cell r="AG272">
            <v>0</v>
          </cell>
          <cell r="AH272">
            <v>0</v>
          </cell>
          <cell r="AI272">
            <v>0</v>
          </cell>
          <cell r="AJ272">
            <v>0</v>
          </cell>
          <cell r="AK272">
            <v>0</v>
          </cell>
          <cell r="AL272">
            <v>0</v>
          </cell>
          <cell r="AM272">
            <v>0</v>
          </cell>
          <cell r="AN272">
            <v>0</v>
          </cell>
        </row>
        <row r="273">
          <cell r="B273" t="str">
            <v>Sales - % Industry Sub-Segment: Oil &amp; Gas</v>
          </cell>
          <cell r="C273" t="str">
            <v>SALES_OIL_GAS</v>
          </cell>
          <cell r="F273">
            <v>0</v>
          </cell>
          <cell r="G273">
            <v>0</v>
          </cell>
          <cell r="H273">
            <v>0</v>
          </cell>
          <cell r="I273">
            <v>0</v>
          </cell>
          <cell r="J273">
            <v>0</v>
          </cell>
          <cell r="K273">
            <v>0</v>
          </cell>
          <cell r="L273">
            <v>0</v>
          </cell>
          <cell r="M273">
            <v>0</v>
          </cell>
          <cell r="N273">
            <v>0</v>
          </cell>
          <cell r="O273">
            <v>0</v>
          </cell>
          <cell r="P273">
            <v>0</v>
          </cell>
          <cell r="Q273">
            <v>0</v>
          </cell>
          <cell r="R273">
            <v>0</v>
          </cell>
          <cell r="S273">
            <v>0</v>
          </cell>
          <cell r="U273">
            <v>0</v>
          </cell>
          <cell r="V273">
            <v>0</v>
          </cell>
          <cell r="W273">
            <v>0</v>
          </cell>
          <cell r="X273">
            <v>0</v>
          </cell>
          <cell r="Y273">
            <v>0</v>
          </cell>
          <cell r="Z273">
            <v>0</v>
          </cell>
          <cell r="AA273">
            <v>0</v>
          </cell>
          <cell r="AB273">
            <v>0</v>
          </cell>
          <cell r="AC273">
            <v>0</v>
          </cell>
          <cell r="AD273">
            <v>0</v>
          </cell>
          <cell r="AE273">
            <v>0</v>
          </cell>
          <cell r="AF273">
            <v>0</v>
          </cell>
          <cell r="AG273">
            <v>0</v>
          </cell>
          <cell r="AH273">
            <v>0</v>
          </cell>
          <cell r="AI273">
            <v>0</v>
          </cell>
          <cell r="AJ273">
            <v>0</v>
          </cell>
          <cell r="AK273">
            <v>0</v>
          </cell>
          <cell r="AL273">
            <v>0</v>
          </cell>
          <cell r="AM273">
            <v>0</v>
          </cell>
          <cell r="AN273">
            <v>0</v>
          </cell>
        </row>
        <row r="274">
          <cell r="A274" t="str">
            <v>Commodities Exposure - Sales</v>
          </cell>
        </row>
        <row r="275">
          <cell r="B275" t="str">
            <v>Sales - % Oil/Petrol/Fuel</v>
          </cell>
          <cell r="C275" t="str">
            <v>SALES_OIL_PETRO_FUEL</v>
          </cell>
        </row>
        <row r="276">
          <cell r="B276" t="str">
            <v>Sales - % Tobacco leaf</v>
          </cell>
          <cell r="C276" t="str">
            <v>SALES_TOBACCO_LEAF</v>
          </cell>
        </row>
        <row r="277">
          <cell r="B277" t="str">
            <v>Sales - % Other commodity</v>
          </cell>
          <cell r="C277" t="str">
            <v>SALES_OTH_COMMODITY</v>
          </cell>
        </row>
        <row r="278">
          <cell r="B278" t="str">
            <v>Sales - % Other (Non-Commodity) sales sources</v>
          </cell>
          <cell r="C278" t="str">
            <v>SALES_OTH_SALES_SOURCES</v>
          </cell>
        </row>
        <row r="279">
          <cell r="A279" t="str">
            <v>Commodities Exposure - Expense</v>
          </cell>
        </row>
        <row r="280">
          <cell r="B280" t="str">
            <v>Expense - % Oil/Petrol/Fuel</v>
          </cell>
          <cell r="C280" t="str">
            <v>EXP_OIL_PETRO_FUEL</v>
          </cell>
        </row>
        <row r="281">
          <cell r="B281" t="str">
            <v>Expense - % Oil derivatives/NGLs/plastics</v>
          </cell>
          <cell r="C281" t="str">
            <v>EXP_OIL_DERIV_NGLS_PLASTICS</v>
          </cell>
        </row>
        <row r="282">
          <cell r="B282" t="str">
            <v>Expense - % Paper/pulp</v>
          </cell>
          <cell r="C282" t="str">
            <v>EXP_PAPER_PULP</v>
          </cell>
        </row>
        <row r="283">
          <cell r="B283" t="str">
            <v>Expense - % Wheat</v>
          </cell>
          <cell r="C283" t="str">
            <v>EXP_WHEAT</v>
          </cell>
        </row>
        <row r="284">
          <cell r="B284" t="str">
            <v>Expense - % Sugar</v>
          </cell>
          <cell r="C284" t="str">
            <v>EXP_SUGAR</v>
          </cell>
        </row>
        <row r="285">
          <cell r="B285" t="str">
            <v>Expense - % Soybean</v>
          </cell>
          <cell r="C285" t="str">
            <v>EXP_SOYBEAN</v>
          </cell>
        </row>
        <row r="286">
          <cell r="B286" t="str">
            <v>Expense - % Corn</v>
          </cell>
          <cell r="C286" t="str">
            <v>EXP_CORN</v>
          </cell>
        </row>
        <row r="287">
          <cell r="B287" t="str">
            <v>Expense - % Cotton</v>
          </cell>
          <cell r="C287" t="str">
            <v>EXP_COTTON</v>
          </cell>
        </row>
        <row r="288">
          <cell r="B288" t="str">
            <v>Expense - % Coffee</v>
          </cell>
          <cell r="C288" t="str">
            <v>EXP_COFFEE</v>
          </cell>
        </row>
        <row r="289">
          <cell r="B289" t="str">
            <v>Expense - % Cocoa</v>
          </cell>
          <cell r="C289" t="str">
            <v>EXP_COCOA</v>
          </cell>
        </row>
        <row r="290">
          <cell r="B290" t="str">
            <v>Expense - % Beef</v>
          </cell>
          <cell r="C290" t="str">
            <v>EXP_BEEF</v>
          </cell>
        </row>
        <row r="291">
          <cell r="B291" t="str">
            <v>Expense - % Pork</v>
          </cell>
          <cell r="C291" t="str">
            <v>EXP_PORK</v>
          </cell>
        </row>
        <row r="292">
          <cell r="B292" t="str">
            <v>Expense - % Chicken</v>
          </cell>
          <cell r="C292" t="str">
            <v>EXP_CHICKEN</v>
          </cell>
        </row>
        <row r="293">
          <cell r="B293" t="str">
            <v>Expense - % Dairy</v>
          </cell>
          <cell r="C293" t="str">
            <v>EXP_DAIRY</v>
          </cell>
        </row>
        <row r="294">
          <cell r="B294" t="str">
            <v>Expense - % Nuts</v>
          </cell>
          <cell r="C294" t="str">
            <v>EXP_NUTS</v>
          </cell>
        </row>
        <row r="295">
          <cell r="B295" t="str">
            <v>Expense - % Palm oil</v>
          </cell>
          <cell r="C295" t="str">
            <v>EXP_PALM_OIL</v>
          </cell>
        </row>
        <row r="296">
          <cell r="B296" t="str">
            <v>Expense - % Tobacco leaf</v>
          </cell>
          <cell r="C296" t="str">
            <v>EXP_TOBACCO_LEAF</v>
          </cell>
        </row>
        <row r="297">
          <cell r="B297" t="str">
            <v>Expense - % Water</v>
          </cell>
          <cell r="C297" t="str">
            <v>EXP_WATER</v>
          </cell>
        </row>
        <row r="298">
          <cell r="B298" t="str">
            <v>Expense - % Other commodity</v>
          </cell>
          <cell r="C298" t="str">
            <v>EXP_OTH_COMMODITY</v>
          </cell>
        </row>
        <row r="299">
          <cell r="B299" t="str">
            <v>Expense - % Other (Non-Commodity) cost</v>
          </cell>
          <cell r="C299" t="str">
            <v>EXP_OTH_COST</v>
          </cell>
        </row>
        <row r="300">
          <cell r="A300" t="str">
            <v>FX Exposure - Sales</v>
          </cell>
        </row>
        <row r="301">
          <cell r="B301" t="str">
            <v>Sales - % FX: British Pounds/Pence</v>
          </cell>
          <cell r="C301" t="str">
            <v>SALES_FX_GPB</v>
          </cell>
        </row>
        <row r="302">
          <cell r="B302" t="str">
            <v>Sales - % FX: Euro</v>
          </cell>
          <cell r="C302" t="str">
            <v>SALES_FX_EUR</v>
          </cell>
        </row>
        <row r="303">
          <cell r="B303" t="str">
            <v>Sales - % FX: New Russian Ruble</v>
          </cell>
          <cell r="C303" t="str">
            <v>SALES_FX_RUB</v>
          </cell>
        </row>
        <row r="304">
          <cell r="B304" t="str">
            <v>Sales - % FX: U.S. Dollar</v>
          </cell>
          <cell r="C304" t="str">
            <v>SALES_FX_USD</v>
          </cell>
        </row>
        <row r="305">
          <cell r="B305" t="str">
            <v>Sales - % FX: Brazilian Real</v>
          </cell>
          <cell r="C305" t="str">
            <v>SALES_FX_BRL</v>
          </cell>
        </row>
        <row r="306">
          <cell r="B306" t="str">
            <v>Sales - % FX: Japanese Yen</v>
          </cell>
          <cell r="C306" t="str">
            <v>SALES_FX_YEN</v>
          </cell>
        </row>
        <row r="307">
          <cell r="B307" t="str">
            <v>Sales - % FX: Chinese Renminbi</v>
          </cell>
          <cell r="C307" t="str">
            <v>SALES_FX_CNY</v>
          </cell>
        </row>
        <row r="308">
          <cell r="B308" t="str">
            <v>Sales - % FX: Indian Rupee</v>
          </cell>
          <cell r="C308" t="str">
            <v>SALES_FX_INR</v>
          </cell>
        </row>
        <row r="309">
          <cell r="B309" t="str">
            <v>Sales - % FX: Australian Dollar</v>
          </cell>
          <cell r="C309" t="str">
            <v>SALES_FX_AUD</v>
          </cell>
        </row>
        <row r="310">
          <cell r="B310" t="str">
            <v>Sales - % FX: New Zealand Dollar</v>
          </cell>
          <cell r="C310" t="str">
            <v>SALES_FX_NZD</v>
          </cell>
        </row>
        <row r="311">
          <cell r="B311" t="str">
            <v>Sales - % FX: Other Currency</v>
          </cell>
          <cell r="C311" t="str">
            <v>SALES_FX_OTH</v>
          </cell>
        </row>
        <row r="312">
          <cell r="A312" t="str">
            <v>Items to be removed</v>
          </cell>
        </row>
        <row r="313">
          <cell r="B313" t="str">
            <v>Sales - Total % Americas</v>
          </cell>
          <cell r="C313" t="str">
            <v>SALES_TOT_AM</v>
          </cell>
        </row>
        <row r="314">
          <cell r="B314" t="str">
            <v>Sales - % Other Americas</v>
          </cell>
          <cell r="C314" t="str">
            <v>SALES_OTH_AM</v>
          </cell>
        </row>
        <row r="315">
          <cell r="B315" t="str">
            <v>Sales - Total % EMEA</v>
          </cell>
          <cell r="C315" t="str">
            <v>SALES_TOT_EMEA</v>
          </cell>
        </row>
        <row r="316">
          <cell r="B316" t="str">
            <v>Sales - % Western Europe-Ex UK</v>
          </cell>
          <cell r="C316" t="str">
            <v>SALES_EU_EX_UK</v>
          </cell>
        </row>
        <row r="317">
          <cell r="B317" t="str">
            <v>Sales - % Central &amp; Eastern Europe</v>
          </cell>
          <cell r="C317" t="str">
            <v>SALES_CEE</v>
          </cell>
        </row>
        <row r="318">
          <cell r="B318" t="str">
            <v>Sales - % Middle East</v>
          </cell>
          <cell r="C318" t="str">
            <v>SALES_ME</v>
          </cell>
        </row>
        <row r="319">
          <cell r="B319" t="str">
            <v>Sales - % Total Africa</v>
          </cell>
          <cell r="C319" t="str">
            <v>SALES_TOT_AFRICA</v>
          </cell>
        </row>
        <row r="320">
          <cell r="B320" t="str">
            <v>Sales - % Other EMEA</v>
          </cell>
          <cell r="C320" t="str">
            <v>SALES_OTH_EMEA</v>
          </cell>
        </row>
        <row r="321">
          <cell r="B321" t="str">
            <v>Sales - Total % Asia (incl Australia &amp; New Zealand)</v>
          </cell>
          <cell r="C321" t="str">
            <v>SALES_TOT_ASIA</v>
          </cell>
        </row>
        <row r="322">
          <cell r="B322" t="str">
            <v>Sales - % Other Asia</v>
          </cell>
          <cell r="C322" t="str">
            <v>SALES_OTH_AEJ</v>
          </cell>
        </row>
        <row r="323">
          <cell r="A323" t="str">
            <v>Security: Coles Group | SecID: 200019977</v>
          </cell>
        </row>
        <row r="324">
          <cell r="A324" t="str">
            <v>Reference Data</v>
          </cell>
        </row>
        <row r="325">
          <cell r="B325" t="str">
            <v>Ticker</v>
          </cell>
          <cell r="C325" t="str">
            <v>Ticker</v>
          </cell>
          <cell r="E325" t="str">
            <v>COL.AX</v>
          </cell>
        </row>
        <row r="326">
          <cell r="B326" t="str">
            <v>Security Name</v>
          </cell>
          <cell r="C326" t="str">
            <v>Security Name</v>
          </cell>
          <cell r="E326" t="str">
            <v>Coles Group</v>
          </cell>
        </row>
        <row r="327">
          <cell r="B327" t="str">
            <v>Interim Type</v>
          </cell>
          <cell r="C327" t="str">
            <v>Interim Type</v>
          </cell>
          <cell r="E327" t="str">
            <v>H</v>
          </cell>
        </row>
        <row r="328">
          <cell r="B328" t="str">
            <v>Publishing Currency</v>
          </cell>
          <cell r="C328" t="str">
            <v>PUB_CURRENCY_ISO</v>
          </cell>
          <cell r="E328" t="str">
            <v>AUD</v>
          </cell>
        </row>
        <row r="329">
          <cell r="B329" t="str">
            <v>Pricing Currency</v>
          </cell>
          <cell r="C329" t="str">
            <v>PRICE_CURRENCY_ISO</v>
          </cell>
          <cell r="E329" t="str">
            <v>AUD</v>
          </cell>
        </row>
        <row r="330">
          <cell r="B330" t="str">
            <v>Reporting Currency</v>
          </cell>
          <cell r="C330" t="str">
            <v>CURRENCY_ISO</v>
          </cell>
          <cell r="E330" t="str">
            <v>AUD</v>
          </cell>
        </row>
        <row r="331">
          <cell r="A331" t="str">
            <v>General Information</v>
          </cell>
        </row>
        <row r="332">
          <cell r="B332" t="str">
            <v>Australia/NZ Investment List</v>
          </cell>
          <cell r="C332" t="str">
            <v>ANZ_LIST</v>
          </cell>
        </row>
        <row r="333">
          <cell r="B333" t="str">
            <v>Australia/NZ Conviction List</v>
          </cell>
          <cell r="C333" t="str">
            <v>NOT IN USE</v>
          </cell>
        </row>
        <row r="334">
          <cell r="B334" t="str">
            <v>Legal rating</v>
          </cell>
          <cell r="C334" t="str">
            <v>LEGAL_RATING</v>
          </cell>
        </row>
        <row r="335">
          <cell r="B335" t="str">
            <v>Target price</v>
          </cell>
          <cell r="C335" t="str">
            <v>TARGET_PRICE</v>
          </cell>
          <cell r="D335" t="str">
            <v>AUD</v>
          </cell>
          <cell r="E335">
            <v>23</v>
          </cell>
        </row>
        <row r="336">
          <cell r="B336" t="str">
            <v>Target price period</v>
          </cell>
          <cell r="C336" t="str">
            <v>TP_PERIOD</v>
          </cell>
          <cell r="E336" t="str">
            <v>12 months</v>
          </cell>
        </row>
        <row r="337">
          <cell r="B337" t="str">
            <v>Fundamental value</v>
          </cell>
          <cell r="C337" t="str">
            <v>TARGET_PRICE_FUNDAMENTAL</v>
          </cell>
          <cell r="D337" t="str">
            <v>AUD</v>
          </cell>
        </row>
        <row r="338">
          <cell r="B338" t="str">
            <v>M&amp;A value</v>
          </cell>
          <cell r="C338" t="str">
            <v>TARGET_PRICE_MA</v>
          </cell>
          <cell r="D338" t="str">
            <v>AUD</v>
          </cell>
        </row>
        <row r="339">
          <cell r="B339" t="str">
            <v>Current shares outstanding (mn)</v>
          </cell>
          <cell r="C339" t="str">
            <v>NUM_SH</v>
          </cell>
          <cell r="E339">
            <v>1342</v>
          </cell>
        </row>
        <row r="340">
          <cell r="B340" t="str">
            <v>Free float</v>
          </cell>
          <cell r="C340" t="str">
            <v>FREE_FLOAT</v>
          </cell>
        </row>
        <row r="341">
          <cell r="B341" t="str">
            <v>Foreign ownership</v>
          </cell>
          <cell r="C341" t="str">
            <v>FOREIGN_HOLDNG</v>
          </cell>
        </row>
        <row r="342">
          <cell r="B342" t="str">
            <v>Catalyst 1 date</v>
          </cell>
          <cell r="C342" t="str">
            <v>CATALYST1_DATE</v>
          </cell>
        </row>
        <row r="343">
          <cell r="B343" t="str">
            <v>Catalyst 1 description</v>
          </cell>
          <cell r="C343" t="str">
            <v>CATALYST1_EVENT</v>
          </cell>
        </row>
        <row r="344">
          <cell r="B344" t="str">
            <v>Catalyst 2 date</v>
          </cell>
          <cell r="C344" t="str">
            <v>CATALYST2_DATE</v>
          </cell>
        </row>
        <row r="345">
          <cell r="B345" t="str">
            <v>Catalyst 2 description</v>
          </cell>
          <cell r="C345" t="str">
            <v>CATALYST2_EVENT</v>
          </cell>
        </row>
        <row r="346">
          <cell r="B346" t="str">
            <v>Catalyst 3 date</v>
          </cell>
          <cell r="C346" t="str">
            <v>CATALYST3_DATE</v>
          </cell>
        </row>
        <row r="347">
          <cell r="B347" t="str">
            <v>Catalyst 3 description</v>
          </cell>
          <cell r="C347" t="str">
            <v>CATALYST3_EVENT</v>
          </cell>
        </row>
        <row r="348">
          <cell r="B348" t="str">
            <v>Catalyst 4 date</v>
          </cell>
          <cell r="C348" t="str">
            <v>CATALYST4_DATE</v>
          </cell>
        </row>
        <row r="349">
          <cell r="B349" t="str">
            <v>Catalyst 4 description</v>
          </cell>
          <cell r="C349" t="str">
            <v>CATALYST4_EVENT</v>
          </cell>
        </row>
        <row r="350">
          <cell r="B350" t="str">
            <v>Catalyst 5 date</v>
          </cell>
          <cell r="C350" t="str">
            <v>CATALYST5_DATE</v>
          </cell>
        </row>
        <row r="351">
          <cell r="B351" t="str">
            <v>Catalyst 5 description</v>
          </cell>
          <cell r="C351" t="str">
            <v>CATALYST5_EVENT</v>
          </cell>
        </row>
        <row r="352">
          <cell r="B352" t="str">
            <v>Target price multiple</v>
          </cell>
          <cell r="C352" t="str">
            <v>PRI_TARG_MULT</v>
          </cell>
        </row>
        <row r="353">
          <cell r="B353" t="str">
            <v>Target price methodology</v>
          </cell>
          <cell r="C353" t="str">
            <v>PRI_TARG_METH</v>
          </cell>
          <cell r="E353" t="str">
            <v>50/50 DCF and PE multiple</v>
          </cell>
        </row>
        <row r="354">
          <cell r="A354" t="str">
            <v>Publishing Items</v>
          </cell>
        </row>
        <row r="355">
          <cell r="B355" t="str">
            <v>Book value per share, BVPS (Pub)</v>
          </cell>
          <cell r="C355" t="str">
            <v>BVPS_PUB</v>
          </cell>
          <cell r="D355" t="str">
            <v>AUD</v>
          </cell>
          <cell r="G355">
            <v>2.4359820089955027</v>
          </cell>
          <cell r="H355">
            <v>2.516566716641679</v>
          </cell>
          <cell r="I355">
            <v>1.9602698650674664</v>
          </cell>
          <cell r="J355">
            <v>2.1086956521739131</v>
          </cell>
          <cell r="K355">
            <v>2.3488721804511279</v>
          </cell>
          <cell r="L355">
            <v>2.5157421289355324</v>
          </cell>
          <cell r="M355">
            <v>2.7004237685354249</v>
          </cell>
          <cell r="N355">
            <v>2.8375340780033209</v>
          </cell>
          <cell r="O355">
            <v>2.9778668475038712</v>
          </cell>
          <cell r="P355">
            <v>3.1326470379710991</v>
          </cell>
          <cell r="Q355">
            <v>3.2980225808618417</v>
          </cell>
          <cell r="R355">
            <v>3.4712772312719076</v>
          </cell>
          <cell r="S355">
            <v>3.6525379352245024</v>
          </cell>
          <cell r="W355">
            <v>3.1013635080787405</v>
          </cell>
          <cell r="X355">
            <v>0</v>
          </cell>
          <cell r="Y355">
            <v>2.0029985007496252</v>
          </cell>
          <cell r="Z355">
            <v>0</v>
          </cell>
          <cell r="AA355">
            <v>1.8883058470764618</v>
          </cell>
          <cell r="AB355">
            <v>0</v>
          </cell>
          <cell r="AC355">
            <v>2.0929535232383807</v>
          </cell>
          <cell r="AD355">
            <v>0</v>
          </cell>
          <cell r="AE355">
            <v>2.2556221889055474</v>
          </cell>
          <cell r="AF355">
            <v>0</v>
          </cell>
          <cell r="AG355">
            <v>2.5406015037593983</v>
          </cell>
          <cell r="AH355">
            <v>0</v>
          </cell>
          <cell r="AI355">
            <v>2.6514242878560719</v>
          </cell>
          <cell r="AJ355">
            <v>0</v>
          </cell>
          <cell r="AK355">
            <v>2.8101728130404586</v>
          </cell>
          <cell r="AL355">
            <v>0</v>
          </cell>
          <cell r="AM355">
            <v>0</v>
          </cell>
          <cell r="AN355">
            <v>0</v>
          </cell>
        </row>
        <row r="356">
          <cell r="B356" t="str">
            <v>DPS, dividend per share (Pub)</v>
          </cell>
          <cell r="C356" t="str">
            <v>DPS_PUB</v>
          </cell>
          <cell r="D356" t="str">
            <v>AUD</v>
          </cell>
          <cell r="G356">
            <v>0</v>
          </cell>
          <cell r="H356">
            <v>0.47499999999999998</v>
          </cell>
          <cell r="I356">
            <v>0.56999999999999995</v>
          </cell>
          <cell r="J356">
            <v>0.61</v>
          </cell>
          <cell r="K356">
            <v>0.63</v>
          </cell>
          <cell r="L356">
            <v>0.66</v>
          </cell>
          <cell r="M356">
            <v>0.68</v>
          </cell>
          <cell r="N356">
            <v>0.69</v>
          </cell>
          <cell r="O356">
            <v>0.82266243943288242</v>
          </cell>
          <cell r="P356">
            <v>0.90558610059592193</v>
          </cell>
          <cell r="Q356">
            <v>0.96659501010402638</v>
          </cell>
          <cell r="R356">
            <v>1.0121595371340513</v>
          </cell>
          <cell r="S356">
            <v>1.0584546206536407</v>
          </cell>
          <cell r="W356">
            <v>0</v>
          </cell>
          <cell r="X356">
            <v>0</v>
          </cell>
          <cell r="Y356">
            <v>0</v>
          </cell>
          <cell r="Z356">
            <v>0.47499999999999998</v>
          </cell>
          <cell r="AA356">
            <v>0.3</v>
          </cell>
          <cell r="AB356">
            <v>0.26999999999999996</v>
          </cell>
          <cell r="AC356">
            <v>0.33</v>
          </cell>
          <cell r="AD356">
            <v>0.27999999999999997</v>
          </cell>
          <cell r="AE356">
            <v>0.33</v>
          </cell>
          <cell r="AF356">
            <v>0.3</v>
          </cell>
          <cell r="AG356">
            <v>0.36</v>
          </cell>
          <cell r="AH356">
            <v>0.30000000000000004</v>
          </cell>
          <cell r="AI356">
            <v>0.36</v>
          </cell>
          <cell r="AJ356">
            <v>0.32000000000000006</v>
          </cell>
          <cell r="AK356">
            <v>0.37</v>
          </cell>
          <cell r="AL356">
            <v>0.31999999999999995</v>
          </cell>
          <cell r="AM356">
            <v>0.41762071961820746</v>
          </cell>
          <cell r="AN356">
            <v>0.40504171981467496</v>
          </cell>
        </row>
        <row r="357">
          <cell r="B357" t="str">
            <v>Special dividend per share</v>
          </cell>
          <cell r="C357" t="str">
            <v>DPS_SPECIAL_PUB</v>
          </cell>
          <cell r="D357" t="str">
            <v>AUD</v>
          </cell>
        </row>
        <row r="358">
          <cell r="B358" t="str">
            <v>EBITDA (Pub)</v>
          </cell>
          <cell r="C358" t="str">
            <v>EBITDA_PUB</v>
          </cell>
          <cell r="D358" t="str">
            <v>AUD</v>
          </cell>
          <cell r="G358">
            <v>2044.6</v>
          </cell>
          <cell r="H358">
            <v>1964.6</v>
          </cell>
          <cell r="I358">
            <v>3257</v>
          </cell>
          <cell r="J358">
            <v>3432</v>
          </cell>
          <cell r="K358">
            <v>3259</v>
          </cell>
          <cell r="L358">
            <v>3382</v>
          </cell>
          <cell r="M358">
            <v>3659</v>
          </cell>
          <cell r="N358">
            <v>3941</v>
          </cell>
          <cell r="O358">
            <v>4356.1190230570219</v>
          </cell>
          <cell r="P358">
            <v>4637.2420919343176</v>
          </cell>
          <cell r="Q358">
            <v>4872.8580020924701</v>
          </cell>
          <cell r="R358">
            <v>5077.5411687500018</v>
          </cell>
          <cell r="S358">
            <v>5287.9771166431256</v>
          </cell>
          <cell r="W358">
            <v>1109</v>
          </cell>
          <cell r="X358">
            <v>935.6</v>
          </cell>
          <cell r="Y358">
            <v>1043</v>
          </cell>
          <cell r="Z358">
            <v>921.6</v>
          </cell>
          <cell r="AA358">
            <v>1665</v>
          </cell>
          <cell r="AB358">
            <v>1592</v>
          </cell>
          <cell r="AC358">
            <v>1802</v>
          </cell>
          <cell r="AD358">
            <v>1630</v>
          </cell>
          <cell r="AE358">
            <v>1681</v>
          </cell>
          <cell r="AF358">
            <v>1578</v>
          </cell>
          <cell r="AG358">
            <v>1809</v>
          </cell>
          <cell r="AH358">
            <v>1573</v>
          </cell>
          <cell r="AI358">
            <v>1854</v>
          </cell>
          <cell r="AJ358">
            <v>1805</v>
          </cell>
          <cell r="AK358">
            <v>2045</v>
          </cell>
          <cell r="AL358">
            <v>1896</v>
          </cell>
          <cell r="AM358">
            <v>2226.0456972007005</v>
          </cell>
          <cell r="AN358">
            <v>2130.0733258563214</v>
          </cell>
        </row>
        <row r="359">
          <cell r="B359" t="str">
            <v>EPS (Pub)</v>
          </cell>
          <cell r="C359" t="str">
            <v>EPS_PUB</v>
          </cell>
          <cell r="D359" t="str">
            <v>AUD</v>
          </cell>
          <cell r="G359">
            <v>0.70380088462403478</v>
          </cell>
          <cell r="H359">
            <v>0.70202398800599697</v>
          </cell>
          <cell r="I359">
            <v>0.73313343328335834</v>
          </cell>
          <cell r="J359">
            <v>0.7528089887640449</v>
          </cell>
          <cell r="K359">
            <v>0.78512396694214881</v>
          </cell>
          <cell r="L359">
            <v>0.77877428998505227</v>
          </cell>
          <cell r="M359">
            <v>0.84304932735426008</v>
          </cell>
          <cell r="N359">
            <v>0.82388059701492533</v>
          </cell>
          <cell r="O359">
            <v>0.96783816403868517</v>
          </cell>
          <cell r="P359">
            <v>1.0653954124657905</v>
          </cell>
          <cell r="Q359">
            <v>1.137170600122384</v>
          </cell>
          <cell r="R359">
            <v>1.1907759260400603</v>
          </cell>
          <cell r="S359">
            <v>1.2452407301807538</v>
          </cell>
          <cell r="W359">
            <v>0.40479760119940028</v>
          </cell>
          <cell r="X359">
            <v>0.29897293650198659</v>
          </cell>
          <cell r="Y359">
            <v>0.36881559220389803</v>
          </cell>
          <cell r="Z359">
            <v>0.33320839580209893</v>
          </cell>
          <cell r="AA359">
            <v>0.36656671664167917</v>
          </cell>
          <cell r="AB359">
            <v>0.36656671664167917</v>
          </cell>
          <cell r="AC359">
            <v>0.41979010494752622</v>
          </cell>
          <cell r="AD359">
            <v>0.33333333333333331</v>
          </cell>
          <cell r="AE359">
            <v>0.41423220973782771</v>
          </cell>
          <cell r="AF359">
            <v>0.36964688204357626</v>
          </cell>
          <cell r="AG359">
            <v>0.46107784431137727</v>
          </cell>
          <cell r="AH359">
            <v>0.31838565022421522</v>
          </cell>
          <cell r="AI359">
            <v>0.44427823485415108</v>
          </cell>
          <cell r="AJ359">
            <v>0.3991031390134529</v>
          </cell>
          <cell r="AK359">
            <v>0.44884241971620614</v>
          </cell>
          <cell r="AL359">
            <v>0.37537313432835823</v>
          </cell>
          <cell r="AM359">
            <v>0.5064518926476439</v>
          </cell>
          <cell r="AN359">
            <v>0.46176365730210511</v>
          </cell>
        </row>
        <row r="360">
          <cell r="B360" t="str">
            <v>EV adjustment (Pub)</v>
          </cell>
          <cell r="C360" t="str">
            <v>EV_ADJ_PUB</v>
          </cell>
          <cell r="D360" t="str">
            <v>AUD</v>
          </cell>
        </row>
        <row r="361">
          <cell r="B361" t="str">
            <v>Net debt (Pub)</v>
          </cell>
          <cell r="C361" t="str">
            <v>NET_DEBT_PUB</v>
          </cell>
          <cell r="D361" t="str">
            <v>AUD</v>
          </cell>
          <cell r="G361">
            <v>-644.30000000000007</v>
          </cell>
          <cell r="H361">
            <v>758.19999999999993</v>
          </cell>
          <cell r="I361">
            <v>9445</v>
          </cell>
          <cell r="J361">
            <v>9111</v>
          </cell>
          <cell r="K361">
            <v>9187</v>
          </cell>
          <cell r="L361">
            <v>8370</v>
          </cell>
          <cell r="M361">
            <v>9394</v>
          </cell>
          <cell r="N361">
            <v>9622</v>
          </cell>
          <cell r="O361">
            <v>9633.4492331566398</v>
          </cell>
          <cell r="P361">
            <v>9634.5666855904346</v>
          </cell>
          <cell r="Q361">
            <v>9611.0620793803391</v>
          </cell>
          <cell r="R361">
            <v>9582.897510671808</v>
          </cell>
          <cell r="S361">
            <v>9550.2981437362996</v>
          </cell>
          <cell r="W361">
            <v>-397</v>
          </cell>
          <cell r="X361">
            <v>0</v>
          </cell>
          <cell r="Y361">
            <v>1735</v>
          </cell>
          <cell r="Z361">
            <v>0</v>
          </cell>
          <cell r="AA361">
            <v>2235</v>
          </cell>
          <cell r="AB361">
            <v>0</v>
          </cell>
          <cell r="AC361">
            <v>1353</v>
          </cell>
          <cell r="AD361">
            <v>0</v>
          </cell>
          <cell r="AE361">
            <v>1310</v>
          </cell>
          <cell r="AF361">
            <v>0</v>
          </cell>
          <cell r="AG361">
            <v>1526</v>
          </cell>
          <cell r="AH361">
            <v>0</v>
          </cell>
          <cell r="AI361">
            <v>1708</v>
          </cell>
          <cell r="AJ361">
            <v>0</v>
          </cell>
          <cell r="AK361">
            <v>2927</v>
          </cell>
          <cell r="AL361">
            <v>0</v>
          </cell>
          <cell r="AM361">
            <v>0</v>
          </cell>
          <cell r="AN361">
            <v>0</v>
          </cell>
        </row>
        <row r="362">
          <cell r="B362" t="str">
            <v>Net Debt (ex leases) (Pub)</v>
          </cell>
          <cell r="C362" t="str">
            <v>NET_DEBT_EX_LEASES_PUB</v>
          </cell>
          <cell r="D362" t="str">
            <v>AUD</v>
          </cell>
          <cell r="G362">
            <v>-686.1</v>
          </cell>
          <cell r="H362">
            <v>519.6</v>
          </cell>
          <cell r="I362">
            <v>362</v>
          </cell>
          <cell r="J362">
            <v>355</v>
          </cell>
          <cell r="K362">
            <v>506</v>
          </cell>
          <cell r="L362">
            <v>521</v>
          </cell>
          <cell r="M362">
            <v>976.99999999999989</v>
          </cell>
          <cell r="N362">
            <v>1279</v>
          </cell>
          <cell r="O362">
            <v>1246.9992331566386</v>
          </cell>
          <cell r="P362">
            <v>1202.4941855904367</v>
          </cell>
          <cell r="Q362">
            <v>1131.0859543803404</v>
          </cell>
          <cell r="R362">
            <v>1052.6225794218094</v>
          </cell>
          <cell r="S362">
            <v>967.20946592380085</v>
          </cell>
          <cell r="W362">
            <v>-669</v>
          </cell>
          <cell r="X362">
            <v>0</v>
          </cell>
          <cell r="Y362">
            <v>1146</v>
          </cell>
          <cell r="Z362">
            <v>0</v>
          </cell>
          <cell r="AA362">
            <v>566</v>
          </cell>
          <cell r="AB362">
            <v>0</v>
          </cell>
          <cell r="AC362">
            <v>-38</v>
          </cell>
          <cell r="AD362">
            <v>0</v>
          </cell>
          <cell r="AE362">
            <v>-54</v>
          </cell>
          <cell r="AF362">
            <v>0</v>
          </cell>
          <cell r="AG362">
            <v>362</v>
          </cell>
          <cell r="AH362">
            <v>0</v>
          </cell>
          <cell r="AI362">
            <v>574</v>
          </cell>
          <cell r="AJ362">
            <v>0</v>
          </cell>
          <cell r="AK362">
            <v>1651</v>
          </cell>
          <cell r="AL362">
            <v>0</v>
          </cell>
          <cell r="AM362">
            <v>0</v>
          </cell>
          <cell r="AN362">
            <v>0</v>
          </cell>
        </row>
        <row r="363">
          <cell r="B363" t="str">
            <v>Consensus equivalent net debt</v>
          </cell>
          <cell r="C363" t="str">
            <v>CEEE_NDEBT</v>
          </cell>
          <cell r="D363" t="str">
            <v>AUD</v>
          </cell>
        </row>
        <row r="364">
          <cell r="B364" t="str">
            <v>Net income (Pub)</v>
          </cell>
          <cell r="C364" t="str">
            <v>NI_PUB</v>
          </cell>
          <cell r="D364" t="str">
            <v>AUD</v>
          </cell>
          <cell r="G364">
            <v>938.80000000000007</v>
          </cell>
          <cell r="H364">
            <v>936.5</v>
          </cell>
          <cell r="I364">
            <v>978</v>
          </cell>
          <cell r="J364">
            <v>1005</v>
          </cell>
          <cell r="K364">
            <v>1045</v>
          </cell>
          <cell r="L364">
            <v>1042</v>
          </cell>
          <cell r="M364">
            <v>1128</v>
          </cell>
          <cell r="N364">
            <v>1104</v>
          </cell>
          <cell r="O364">
            <v>1298.8388161399155</v>
          </cell>
          <cell r="P364">
            <v>1431.8914343540223</v>
          </cell>
          <cell r="Q364">
            <v>1530.6316277647288</v>
          </cell>
          <cell r="R364">
            <v>1605.1659483020012</v>
          </cell>
          <cell r="S364">
            <v>1681.0749857440176</v>
          </cell>
          <cell r="W364">
            <v>540</v>
          </cell>
          <cell r="X364">
            <v>398.79999999999995</v>
          </cell>
          <cell r="Y364">
            <v>492</v>
          </cell>
          <cell r="Z364">
            <v>444.5</v>
          </cell>
          <cell r="AA364">
            <v>489</v>
          </cell>
          <cell r="AB364">
            <v>489</v>
          </cell>
          <cell r="AC364">
            <v>560</v>
          </cell>
          <cell r="AD364">
            <v>445</v>
          </cell>
          <cell r="AE364">
            <v>553</v>
          </cell>
          <cell r="AF364">
            <v>492</v>
          </cell>
          <cell r="AG364">
            <v>616</v>
          </cell>
          <cell r="AH364">
            <v>426</v>
          </cell>
          <cell r="AI364">
            <v>594</v>
          </cell>
          <cell r="AJ364">
            <v>534</v>
          </cell>
          <cell r="AK364">
            <v>601</v>
          </cell>
          <cell r="AL364">
            <v>503</v>
          </cell>
          <cell r="AM364">
            <v>679.15198804049044</v>
          </cell>
          <cell r="AN364">
            <v>619.68682809942504</v>
          </cell>
        </row>
        <row r="365">
          <cell r="B365" t="str">
            <v>EBIT, operating profit (Pub)</v>
          </cell>
          <cell r="C365" t="str">
            <v>EBIT_PUB</v>
          </cell>
          <cell r="D365" t="str">
            <v>AUD</v>
          </cell>
          <cell r="G365">
            <v>1395</v>
          </cell>
          <cell r="H365">
            <v>1325</v>
          </cell>
          <cell r="I365">
            <v>1762</v>
          </cell>
          <cell r="J365">
            <v>1873</v>
          </cell>
          <cell r="K365">
            <v>1827</v>
          </cell>
          <cell r="L365">
            <v>1859</v>
          </cell>
          <cell r="M365">
            <v>2057</v>
          </cell>
          <cell r="N365">
            <v>2112</v>
          </cell>
          <cell r="O365">
            <v>2408.2340230570221</v>
          </cell>
          <cell r="P365">
            <v>2611.4416919343175</v>
          </cell>
          <cell r="Q365">
            <v>2766.0255860924699</v>
          </cell>
          <cell r="R365">
            <v>2886.4354561100017</v>
          </cell>
          <cell r="S365">
            <v>3009.227175497525</v>
          </cell>
          <cell r="W365">
            <v>779</v>
          </cell>
          <cell r="X365">
            <v>616</v>
          </cell>
          <cell r="Y365">
            <v>722</v>
          </cell>
          <cell r="Z365">
            <v>603</v>
          </cell>
          <cell r="AA365">
            <v>910</v>
          </cell>
          <cell r="AB365">
            <v>852</v>
          </cell>
          <cell r="AC365">
            <v>1020</v>
          </cell>
          <cell r="AD365">
            <v>853</v>
          </cell>
          <cell r="AE365">
            <v>963</v>
          </cell>
          <cell r="AF365">
            <v>864</v>
          </cell>
          <cell r="AG365">
            <v>1058</v>
          </cell>
          <cell r="AH365">
            <v>801</v>
          </cell>
          <cell r="AI365">
            <v>1064</v>
          </cell>
          <cell r="AJ365">
            <v>993</v>
          </cell>
          <cell r="AK365">
            <v>1117</v>
          </cell>
          <cell r="AL365">
            <v>995</v>
          </cell>
          <cell r="AM365">
            <v>1251.6456972007006</v>
          </cell>
          <cell r="AN365">
            <v>1156.5883258563215</v>
          </cell>
        </row>
        <row r="366">
          <cell r="B366" t="str">
            <v>Pre-tax profit (Pub)</v>
          </cell>
          <cell r="C366" t="str">
            <v>PTP_PUB</v>
          </cell>
          <cell r="D366" t="str">
            <v>AUD</v>
          </cell>
          <cell r="G366">
            <v>1394.9</v>
          </cell>
          <cell r="H366">
            <v>1283.5</v>
          </cell>
          <cell r="I366">
            <v>1319</v>
          </cell>
          <cell r="J366">
            <v>1446</v>
          </cell>
          <cell r="K366">
            <v>1467</v>
          </cell>
          <cell r="L366">
            <v>1465</v>
          </cell>
          <cell r="M366">
            <v>1615</v>
          </cell>
          <cell r="N366">
            <v>1571</v>
          </cell>
          <cell r="O366">
            <v>1855.4840230570221</v>
          </cell>
          <cell r="P366">
            <v>2045.5591919343176</v>
          </cell>
          <cell r="Q366">
            <v>2186.6166110924696</v>
          </cell>
          <cell r="R366">
            <v>2293.0942118600015</v>
          </cell>
          <cell r="S366">
            <v>2401.5356939200251</v>
          </cell>
          <cell r="W366">
            <v>779</v>
          </cell>
          <cell r="X366">
            <v>615.9</v>
          </cell>
          <cell r="Y366">
            <v>715</v>
          </cell>
          <cell r="Z366">
            <v>568.5</v>
          </cell>
          <cell r="AA366">
            <v>690</v>
          </cell>
          <cell r="AB366">
            <v>629</v>
          </cell>
          <cell r="AC366">
            <v>801</v>
          </cell>
          <cell r="AD366">
            <v>645</v>
          </cell>
          <cell r="AE366">
            <v>783</v>
          </cell>
          <cell r="AF366">
            <v>684</v>
          </cell>
          <cell r="AG366">
            <v>871</v>
          </cell>
          <cell r="AH366">
            <v>594</v>
          </cell>
          <cell r="AI366">
            <v>851</v>
          </cell>
          <cell r="AJ366">
            <v>764</v>
          </cell>
          <cell r="AK366">
            <v>846</v>
          </cell>
          <cell r="AL366">
            <v>725</v>
          </cell>
          <cell r="AM366">
            <v>971.64569720070062</v>
          </cell>
          <cell r="AN366">
            <v>883.83832585632149</v>
          </cell>
        </row>
        <row r="367">
          <cell r="B367" t="str">
            <v>Sales, revenue (Pub)</v>
          </cell>
          <cell r="C367" t="str">
            <v>REVS_PUB</v>
          </cell>
          <cell r="D367" t="str">
            <v>AUD</v>
          </cell>
          <cell r="G367">
            <v>39218</v>
          </cell>
          <cell r="H367">
            <v>35289.4</v>
          </cell>
          <cell r="I367">
            <v>37784</v>
          </cell>
          <cell r="J367">
            <v>38955</v>
          </cell>
          <cell r="K367">
            <v>38614</v>
          </cell>
          <cell r="L367">
            <v>40591</v>
          </cell>
          <cell r="M367">
            <v>43684</v>
          </cell>
          <cell r="N367">
            <v>44487</v>
          </cell>
          <cell r="O367">
            <v>45817.4685240947</v>
          </cell>
          <cell r="P367">
            <v>47234.551207011624</v>
          </cell>
          <cell r="Q367">
            <v>49224.880666344303</v>
          </cell>
          <cell r="R367">
            <v>51291.973626181745</v>
          </cell>
          <cell r="S367">
            <v>53438.643125491319</v>
          </cell>
          <cell r="W367">
            <v>20356</v>
          </cell>
          <cell r="X367">
            <v>18862</v>
          </cell>
          <cell r="Y367">
            <v>18466</v>
          </cell>
          <cell r="Z367">
            <v>16823.400000000001</v>
          </cell>
          <cell r="AA367">
            <v>19047</v>
          </cell>
          <cell r="AB367">
            <v>18737</v>
          </cell>
          <cell r="AC367">
            <v>20581</v>
          </cell>
          <cell r="AD367">
            <v>18374</v>
          </cell>
          <cell r="AE367">
            <v>20070</v>
          </cell>
          <cell r="AF367">
            <v>18544</v>
          </cell>
          <cell r="AG367">
            <v>20872</v>
          </cell>
          <cell r="AH367">
            <v>19719</v>
          </cell>
          <cell r="AI367">
            <v>22274</v>
          </cell>
          <cell r="AJ367">
            <v>21410</v>
          </cell>
          <cell r="AK367">
            <v>23106</v>
          </cell>
          <cell r="AL367">
            <v>21381</v>
          </cell>
          <cell r="AM367">
            <v>23812.150241258743</v>
          </cell>
          <cell r="AN367">
            <v>22005.318282835957</v>
          </cell>
        </row>
        <row r="368">
          <cell r="B368" t="str">
            <v>Total shareholders' equity (Pub)</v>
          </cell>
          <cell r="C368" t="str">
            <v>EQ_PUB</v>
          </cell>
          <cell r="D368" t="str">
            <v>AUD</v>
          </cell>
          <cell r="G368">
            <v>3249.6000000000004</v>
          </cell>
          <cell r="H368">
            <v>3357.1</v>
          </cell>
          <cell r="I368">
            <v>2615</v>
          </cell>
          <cell r="J368">
            <v>2813</v>
          </cell>
          <cell r="K368">
            <v>3124</v>
          </cell>
          <cell r="L368">
            <v>3356</v>
          </cell>
          <cell r="M368">
            <v>3617</v>
          </cell>
          <cell r="N368">
            <v>3806</v>
          </cell>
          <cell r="O368">
            <v>3999.8455806366055</v>
          </cell>
          <cell r="P368">
            <v>4213.65341900157</v>
          </cell>
          <cell r="Q368">
            <v>4442.3166652209911</v>
          </cell>
          <cell r="R368">
            <v>4682.2314637658565</v>
          </cell>
          <cell r="S368">
            <v>4933.613866847033</v>
          </cell>
          <cell r="W368">
            <v>4137</v>
          </cell>
          <cell r="X368">
            <v>0</v>
          </cell>
          <cell r="Y368">
            <v>2672</v>
          </cell>
          <cell r="Z368">
            <v>0</v>
          </cell>
          <cell r="AA368">
            <v>2519</v>
          </cell>
          <cell r="AB368">
            <v>0</v>
          </cell>
          <cell r="AC368">
            <v>2792</v>
          </cell>
          <cell r="AD368">
            <v>0</v>
          </cell>
          <cell r="AE368">
            <v>3009</v>
          </cell>
          <cell r="AF368">
            <v>0</v>
          </cell>
          <cell r="AG368">
            <v>3379</v>
          </cell>
          <cell r="AH368">
            <v>0</v>
          </cell>
          <cell r="AI368">
            <v>3537</v>
          </cell>
          <cell r="AJ368">
            <v>0</v>
          </cell>
          <cell r="AK368">
            <v>3764</v>
          </cell>
          <cell r="AL368">
            <v>0</v>
          </cell>
          <cell r="AM368">
            <v>0</v>
          </cell>
          <cell r="AN368">
            <v>0</v>
          </cell>
        </row>
        <row r="369">
          <cell r="B369" t="str">
            <v>EPS (consensus)</v>
          </cell>
          <cell r="C369" t="str">
            <v>EPS_CONS_PUB</v>
          </cell>
          <cell r="D369" t="str">
            <v>AUD</v>
          </cell>
        </row>
        <row r="370">
          <cell r="B370" t="str">
            <v>NTA Per Share</v>
          </cell>
          <cell r="C370" t="str">
            <v>NTA_PER_SHARE</v>
          </cell>
          <cell r="D370" t="str">
            <v>AUD</v>
          </cell>
        </row>
        <row r="371">
          <cell r="A371" t="str">
            <v>ANZ Publishing Items</v>
          </cell>
        </row>
        <row r="372">
          <cell r="B372" t="str">
            <v>Risk to Earnings (+,0,-)</v>
          </cell>
          <cell r="C372" t="str">
            <v>RISK_TO_EARNINGS</v>
          </cell>
        </row>
        <row r="373">
          <cell r="B373" t="str">
            <v>Cost of equity</v>
          </cell>
          <cell r="C373" t="str">
            <v>COST_OF_EQUITY_DCF</v>
          </cell>
        </row>
        <row r="374">
          <cell r="B374" t="str">
            <v>Risk Margin of Debt</v>
          </cell>
          <cell r="C374" t="str">
            <v>DEBT_RISK_MARGIN_DCF</v>
          </cell>
        </row>
        <row r="375">
          <cell r="B375" t="str">
            <v>Perpetuity Growth Rate</v>
          </cell>
          <cell r="C375" t="str">
            <v>PERPETUITY_GROWTH_RATE_DCF</v>
          </cell>
        </row>
        <row r="376">
          <cell r="B376" t="str">
            <v>Discount Factor</v>
          </cell>
          <cell r="C376" t="str">
            <v>DISCOUNT_FACTOR_DCF</v>
          </cell>
        </row>
        <row r="377">
          <cell r="B377" t="str">
            <v>Present Value of Cash Flow</v>
          </cell>
          <cell r="C377" t="str">
            <v>PRESENT_VALUE_OF_CASH_FLOW_DCF</v>
          </cell>
          <cell r="D377" t="str">
            <v>AUD</v>
          </cell>
        </row>
        <row r="378">
          <cell r="B378" t="str">
            <v>Cumulative Present Value of Cash Flows</v>
          </cell>
          <cell r="C378" t="str">
            <v>CUM_PRESENT_VAL_CASH_FLOWS_DCF</v>
          </cell>
          <cell r="D378" t="str">
            <v>AUD</v>
          </cell>
        </row>
        <row r="379">
          <cell r="B379" t="str">
            <v>Terminal Year</v>
          </cell>
          <cell r="C379" t="str">
            <v>TERMINAL_YEAR_DCF</v>
          </cell>
          <cell r="D379" t="str">
            <v>AUD</v>
          </cell>
        </row>
        <row r="380">
          <cell r="B380" t="str">
            <v>Market Value of Investments</v>
          </cell>
          <cell r="C380" t="str">
            <v>MARKET_VALUE_OF_INVESTMENTS_DCF</v>
          </cell>
          <cell r="D380" t="str">
            <v>AUD</v>
          </cell>
        </row>
        <row r="381">
          <cell r="B381" t="str">
            <v>Net debt/(net cash) including options in the money</v>
          </cell>
          <cell r="C381" t="str">
            <v>NET_DEBT_NET_CASH_DCF</v>
          </cell>
          <cell r="D381" t="str">
            <v>AUD</v>
          </cell>
        </row>
        <row r="382">
          <cell r="B382" t="str">
            <v>Equity Value</v>
          </cell>
          <cell r="C382" t="str">
            <v>EQUITY_VALUE_DCF</v>
          </cell>
          <cell r="D382" t="str">
            <v>AUD</v>
          </cell>
        </row>
        <row r="383">
          <cell r="B383" t="str">
            <v>Value of Imputation Credits per Share</v>
          </cell>
          <cell r="C383" t="str">
            <v>IMP_CREDITS_PER_SHARE_DCF</v>
          </cell>
          <cell r="D383" t="str">
            <v>AUD</v>
          </cell>
        </row>
        <row r="384">
          <cell r="B384" t="str">
            <v>Base case valuation</v>
          </cell>
          <cell r="C384" t="str">
            <v>BASE_CASE_VAL_DCF</v>
          </cell>
          <cell r="D384" t="str">
            <v>AUD</v>
          </cell>
        </row>
        <row r="385">
          <cell r="B385" t="str">
            <v>Risk adjusted option value</v>
          </cell>
          <cell r="C385" t="str">
            <v>RISK_ADJ_OPTION_VALUE_DCF</v>
          </cell>
          <cell r="D385" t="str">
            <v>AUD</v>
          </cell>
        </row>
        <row r="386">
          <cell r="B386" t="str">
            <v>Intrinsic per Share Value (pre Imputation Credits)</v>
          </cell>
          <cell r="C386" t="str">
            <v>INTRINSIC_PER_SHARE_VALUE_DCF</v>
          </cell>
          <cell r="D386" t="str">
            <v>AUD</v>
          </cell>
        </row>
        <row r="387">
          <cell r="B387" t="str">
            <v>Capital at End of Year</v>
          </cell>
          <cell r="C387" t="str">
            <v>YEAR_END_CAPITAL_EVA</v>
          </cell>
          <cell r="D387" t="str">
            <v>AUD</v>
          </cell>
        </row>
        <row r="388">
          <cell r="B388" t="str">
            <v>Net Profit - Reported</v>
          </cell>
          <cell r="C388" t="str">
            <v>NI_REPT_PUB</v>
          </cell>
          <cell r="D388" t="str">
            <v>AUD</v>
          </cell>
        </row>
        <row r="389">
          <cell r="B389" t="str">
            <v>Franking (Pub)</v>
          </cell>
          <cell r="C389" t="str">
            <v>FRANKING_ANZPUB</v>
          </cell>
        </row>
        <row r="390">
          <cell r="B390" t="str">
            <v>Franking for special dividends</v>
          </cell>
          <cell r="C390" t="str">
            <v>FRANKING_SPECIAL_ANZPUB</v>
          </cell>
        </row>
        <row r="391">
          <cell r="B391" t="str">
            <v>Debt to equity</v>
          </cell>
          <cell r="C391" t="str">
            <v>DEBT_EQUITY</v>
          </cell>
        </row>
        <row r="392">
          <cell r="A392" t="str">
            <v>Income Statement</v>
          </cell>
        </row>
        <row r="393">
          <cell r="B393" t="str">
            <v>Provision for income tax</v>
          </cell>
          <cell r="C393" t="str">
            <v>PROV_INC_TAX</v>
          </cell>
          <cell r="D393" t="str">
            <v>AUD</v>
          </cell>
          <cell r="G393">
            <v>-456.1</v>
          </cell>
          <cell r="H393">
            <v>-347</v>
          </cell>
          <cell r="I393">
            <v>-341</v>
          </cell>
          <cell r="J393">
            <v>-441</v>
          </cell>
          <cell r="K393">
            <v>-422</v>
          </cell>
          <cell r="L393">
            <v>-423</v>
          </cell>
          <cell r="M393">
            <v>-487</v>
          </cell>
          <cell r="N393">
            <v>-467</v>
          </cell>
          <cell r="O393">
            <v>-556.64520691710663</v>
          </cell>
          <cell r="P393">
            <v>-613.6677575802953</v>
          </cell>
          <cell r="Q393">
            <v>-655.98498332774091</v>
          </cell>
          <cell r="R393">
            <v>-687.92826355800037</v>
          </cell>
          <cell r="S393">
            <v>-720.46070817600753</v>
          </cell>
          <cell r="W393">
            <v>-239</v>
          </cell>
          <cell r="X393">
            <v>-217.10000000000002</v>
          </cell>
          <cell r="Y393">
            <v>-223</v>
          </cell>
          <cell r="Z393">
            <v>-124</v>
          </cell>
          <cell r="AA393">
            <v>-201</v>
          </cell>
          <cell r="AB393">
            <v>-140</v>
          </cell>
          <cell r="AC393">
            <v>-241</v>
          </cell>
          <cell r="AD393">
            <v>-200</v>
          </cell>
          <cell r="AE393">
            <v>-230</v>
          </cell>
          <cell r="AF393">
            <v>-192</v>
          </cell>
          <cell r="AG393">
            <v>-255</v>
          </cell>
          <cell r="AH393">
            <v>-168</v>
          </cell>
          <cell r="AI393">
            <v>-257</v>
          </cell>
          <cell r="AJ393">
            <v>-230</v>
          </cell>
          <cell r="AK393">
            <v>-245</v>
          </cell>
          <cell r="AL393">
            <v>-222</v>
          </cell>
          <cell r="AM393">
            <v>-291.49370916021019</v>
          </cell>
          <cell r="AN393">
            <v>-265.15149775689645</v>
          </cell>
        </row>
        <row r="394">
          <cell r="B394" t="str">
            <v>Minority interest</v>
          </cell>
          <cell r="C394" t="str">
            <v>INC_MINORITY</v>
          </cell>
          <cell r="D394" t="str">
            <v>AUD</v>
          </cell>
          <cell r="G394">
            <v>0</v>
          </cell>
          <cell r="H394">
            <v>0</v>
          </cell>
          <cell r="I394">
            <v>0</v>
          </cell>
          <cell r="J394">
            <v>0</v>
          </cell>
          <cell r="K394">
            <v>0</v>
          </cell>
          <cell r="L394">
            <v>0</v>
          </cell>
          <cell r="M394">
            <v>0</v>
          </cell>
          <cell r="N394">
            <v>0</v>
          </cell>
          <cell r="O394">
            <v>0</v>
          </cell>
          <cell r="P394">
            <v>0</v>
          </cell>
          <cell r="Q394">
            <v>0</v>
          </cell>
          <cell r="R394">
            <v>0</v>
          </cell>
          <cell r="S394">
            <v>0</v>
          </cell>
          <cell r="W394">
            <v>0</v>
          </cell>
          <cell r="X394">
            <v>0</v>
          </cell>
          <cell r="Y394">
            <v>0</v>
          </cell>
          <cell r="Z394">
            <v>0</v>
          </cell>
          <cell r="AA394">
            <v>0</v>
          </cell>
          <cell r="AB394">
            <v>0</v>
          </cell>
          <cell r="AC394">
            <v>0</v>
          </cell>
          <cell r="AD394">
            <v>0</v>
          </cell>
          <cell r="AE394">
            <v>0</v>
          </cell>
          <cell r="AF394">
            <v>0</v>
          </cell>
          <cell r="AG394">
            <v>0</v>
          </cell>
          <cell r="AH394">
            <v>0</v>
          </cell>
          <cell r="AI394">
            <v>0</v>
          </cell>
          <cell r="AJ394">
            <v>0</v>
          </cell>
          <cell r="AK394">
            <v>0</v>
          </cell>
          <cell r="AL394">
            <v>0</v>
          </cell>
          <cell r="AM394">
            <v>-1</v>
          </cell>
          <cell r="AN394">
            <v>1</v>
          </cell>
        </row>
        <row r="395">
          <cell r="B395" t="str">
            <v>Net income (pre-preferred dividends)</v>
          </cell>
          <cell r="C395" t="str">
            <v>NI_PRE_PREF</v>
          </cell>
          <cell r="D395" t="str">
            <v>AUD</v>
          </cell>
          <cell r="G395">
            <v>938.80000000000007</v>
          </cell>
          <cell r="H395">
            <v>936.5</v>
          </cell>
          <cell r="I395">
            <v>978</v>
          </cell>
          <cell r="J395">
            <v>1005</v>
          </cell>
          <cell r="K395">
            <v>1045</v>
          </cell>
          <cell r="L395">
            <v>1042</v>
          </cell>
          <cell r="M395">
            <v>1128</v>
          </cell>
          <cell r="N395">
            <v>1104</v>
          </cell>
          <cell r="O395">
            <v>1298.8388161399155</v>
          </cell>
          <cell r="P395">
            <v>1431.8914343540223</v>
          </cell>
          <cell r="Q395">
            <v>1530.6316277647288</v>
          </cell>
          <cell r="R395">
            <v>1605.1659483020012</v>
          </cell>
          <cell r="S395">
            <v>1681.0749857440176</v>
          </cell>
          <cell r="W395">
            <v>540</v>
          </cell>
          <cell r="X395">
            <v>398.79999999999995</v>
          </cell>
          <cell r="Y395">
            <v>492</v>
          </cell>
          <cell r="Z395">
            <v>444.5</v>
          </cell>
          <cell r="AA395">
            <v>489</v>
          </cell>
          <cell r="AB395">
            <v>489</v>
          </cell>
          <cell r="AC395">
            <v>560</v>
          </cell>
          <cell r="AD395">
            <v>445</v>
          </cell>
          <cell r="AE395">
            <v>553</v>
          </cell>
          <cell r="AF395">
            <v>492</v>
          </cell>
          <cell r="AG395">
            <v>616</v>
          </cell>
          <cell r="AH395">
            <v>426</v>
          </cell>
          <cell r="AI395">
            <v>594</v>
          </cell>
          <cell r="AJ395">
            <v>534</v>
          </cell>
          <cell r="AK395">
            <v>601</v>
          </cell>
          <cell r="AL395">
            <v>503</v>
          </cell>
          <cell r="AM395">
            <v>679.15198804049044</v>
          </cell>
          <cell r="AN395">
            <v>619.68682809942504</v>
          </cell>
        </row>
        <row r="396">
          <cell r="B396" t="str">
            <v>Preferred dividends</v>
          </cell>
          <cell r="C396" t="str">
            <v>PREF_DIV</v>
          </cell>
          <cell r="D396" t="str">
            <v>AUD</v>
          </cell>
        </row>
        <row r="397">
          <cell r="B397" t="str">
            <v>Net income (pre-exceptionals)</v>
          </cell>
          <cell r="C397" t="str">
            <v>NET_EARNING</v>
          </cell>
          <cell r="D397" t="str">
            <v>AUD</v>
          </cell>
          <cell r="G397">
            <v>938.80000000000007</v>
          </cell>
          <cell r="H397">
            <v>936.5</v>
          </cell>
          <cell r="I397">
            <v>978</v>
          </cell>
          <cell r="J397">
            <v>1005</v>
          </cell>
          <cell r="K397">
            <v>1045</v>
          </cell>
          <cell r="L397">
            <v>1042</v>
          </cell>
          <cell r="M397">
            <v>1128</v>
          </cell>
          <cell r="N397">
            <v>1104</v>
          </cell>
          <cell r="O397">
            <v>1298.8388161399155</v>
          </cell>
          <cell r="P397">
            <v>1431.8914343540223</v>
          </cell>
          <cell r="Q397">
            <v>1530.6316277647288</v>
          </cell>
          <cell r="R397">
            <v>1605.1659483020012</v>
          </cell>
          <cell r="S397">
            <v>1681.0749857440176</v>
          </cell>
          <cell r="W397">
            <v>540</v>
          </cell>
          <cell r="X397">
            <v>398.79999999999995</v>
          </cell>
          <cell r="Y397">
            <v>492</v>
          </cell>
          <cell r="Z397">
            <v>444.5</v>
          </cell>
          <cell r="AA397">
            <v>489</v>
          </cell>
          <cell r="AB397">
            <v>489</v>
          </cell>
          <cell r="AC397">
            <v>560</v>
          </cell>
          <cell r="AD397">
            <v>445</v>
          </cell>
          <cell r="AE397">
            <v>553</v>
          </cell>
          <cell r="AF397">
            <v>492</v>
          </cell>
          <cell r="AG397">
            <v>616</v>
          </cell>
          <cell r="AH397">
            <v>426</v>
          </cell>
          <cell r="AI397">
            <v>594</v>
          </cell>
          <cell r="AJ397">
            <v>534</v>
          </cell>
          <cell r="AK397">
            <v>601</v>
          </cell>
          <cell r="AL397">
            <v>503</v>
          </cell>
          <cell r="AM397">
            <v>679.15198804049044</v>
          </cell>
          <cell r="AN397">
            <v>619.68682809942504</v>
          </cell>
        </row>
        <row r="398">
          <cell r="B398" t="str">
            <v>Post-tax exceptionals</v>
          </cell>
          <cell r="C398" t="str">
            <v>TAX_EXC</v>
          </cell>
          <cell r="D398" t="str">
            <v>AUD</v>
          </cell>
          <cell r="G398">
            <v>639.99999999999989</v>
          </cell>
          <cell r="H398">
            <v>498.20000000000005</v>
          </cell>
          <cell r="I398">
            <v>0</v>
          </cell>
          <cell r="J398">
            <v>0</v>
          </cell>
          <cell r="K398">
            <v>3</v>
          </cell>
          <cell r="L398">
            <v>56</v>
          </cell>
          <cell r="M398">
            <v>-10</v>
          </cell>
          <cell r="N398">
            <v>-25</v>
          </cell>
          <cell r="O398">
            <v>0</v>
          </cell>
          <cell r="P398">
            <v>0</v>
          </cell>
          <cell r="Q398">
            <v>0</v>
          </cell>
          <cell r="R398">
            <v>0</v>
          </cell>
          <cell r="S398">
            <v>0</v>
          </cell>
          <cell r="W398">
            <v>0</v>
          </cell>
          <cell r="X398">
            <v>640</v>
          </cell>
          <cell r="Y398">
            <v>13.5</v>
          </cell>
          <cell r="Z398">
            <v>484.70000000000005</v>
          </cell>
          <cell r="AA398">
            <v>0</v>
          </cell>
          <cell r="AB398">
            <v>0</v>
          </cell>
          <cell r="AC398">
            <v>0</v>
          </cell>
          <cell r="AD398">
            <v>0</v>
          </cell>
          <cell r="AE398">
            <v>0</v>
          </cell>
          <cell r="AF398">
            <v>3</v>
          </cell>
          <cell r="AG398">
            <v>0</v>
          </cell>
          <cell r="AH398">
            <v>56</v>
          </cell>
          <cell r="AI398">
            <v>-5</v>
          </cell>
          <cell r="AJ398">
            <v>-5</v>
          </cell>
          <cell r="AK398">
            <v>-25</v>
          </cell>
          <cell r="AL398">
            <v>0</v>
          </cell>
          <cell r="AM398">
            <v>116.68682809942504</v>
          </cell>
          <cell r="AN398">
            <v>16.365790114681772</v>
          </cell>
        </row>
        <row r="399">
          <cell r="B399" t="str">
            <v>Net income (post-exceptionals)</v>
          </cell>
          <cell r="C399" t="str">
            <v>NET_INC</v>
          </cell>
          <cell r="D399" t="str">
            <v>AUD</v>
          </cell>
          <cell r="G399">
            <v>1578.8</v>
          </cell>
          <cell r="H399">
            <v>1434.7</v>
          </cell>
          <cell r="I399">
            <v>978</v>
          </cell>
          <cell r="J399">
            <v>1005</v>
          </cell>
          <cell r="K399">
            <v>1048</v>
          </cell>
          <cell r="L399">
            <v>1098</v>
          </cell>
          <cell r="M399">
            <v>1118</v>
          </cell>
          <cell r="N399">
            <v>1079</v>
          </cell>
          <cell r="O399">
            <v>1298.8388161399155</v>
          </cell>
          <cell r="P399">
            <v>1431.8914343540223</v>
          </cell>
          <cell r="Q399">
            <v>1530.6316277647288</v>
          </cell>
          <cell r="R399">
            <v>1605.1659483020012</v>
          </cell>
          <cell r="S399">
            <v>1681.0749857440176</v>
          </cell>
          <cell r="W399">
            <v>540</v>
          </cell>
          <cell r="X399">
            <v>1038.8</v>
          </cell>
          <cell r="Y399">
            <v>505.5</v>
          </cell>
          <cell r="Z399">
            <v>929.2</v>
          </cell>
          <cell r="AA399">
            <v>489</v>
          </cell>
          <cell r="AB399">
            <v>489</v>
          </cell>
          <cell r="AC399">
            <v>560</v>
          </cell>
          <cell r="AD399">
            <v>445</v>
          </cell>
          <cell r="AE399">
            <v>553</v>
          </cell>
          <cell r="AF399">
            <v>495</v>
          </cell>
          <cell r="AG399">
            <v>616</v>
          </cell>
          <cell r="AH399">
            <v>482</v>
          </cell>
          <cell r="AI399">
            <v>589</v>
          </cell>
          <cell r="AJ399">
            <v>529</v>
          </cell>
          <cell r="AK399">
            <v>576</v>
          </cell>
          <cell r="AL399">
            <v>503</v>
          </cell>
          <cell r="AM399">
            <v>795.83881613991548</v>
          </cell>
          <cell r="AN399">
            <v>636.05261821410681</v>
          </cell>
        </row>
        <row r="400">
          <cell r="B400" t="str">
            <v>EPS (pre-exceptionals, basic)</v>
          </cell>
          <cell r="C400" t="str">
            <v>EPS</v>
          </cell>
          <cell r="D400" t="str">
            <v>AUD</v>
          </cell>
          <cell r="G400">
            <v>0.70374812593703151</v>
          </cell>
          <cell r="H400">
            <v>0.70202398800599697</v>
          </cell>
          <cell r="I400">
            <v>0.73313343328335834</v>
          </cell>
          <cell r="J400">
            <v>0.75337331334332835</v>
          </cell>
          <cell r="K400">
            <v>0.7857142857142857</v>
          </cell>
          <cell r="L400">
            <v>0.78110944527736137</v>
          </cell>
          <cell r="M400">
            <v>0.84557721139430286</v>
          </cell>
          <cell r="N400">
            <v>0.82634730538922152</v>
          </cell>
          <cell r="O400">
            <v>0.97073155167407732</v>
          </cell>
          <cell r="P400">
            <v>1.0685756972791212</v>
          </cell>
          <cell r="Q400">
            <v>1.1405600803015863</v>
          </cell>
          <cell r="R400">
            <v>1.1943199020104176</v>
          </cell>
          <cell r="S400">
            <v>1.24894129698664</v>
          </cell>
          <cell r="W400">
            <v>0.40479760119940028</v>
          </cell>
          <cell r="X400">
            <v>0.29895052473763117</v>
          </cell>
          <cell r="Y400">
            <v>0.36881559220389803</v>
          </cell>
          <cell r="Z400">
            <v>0.33320839580209893</v>
          </cell>
          <cell r="AA400">
            <v>0.36656671664167917</v>
          </cell>
          <cell r="AB400">
            <v>0.36656671664167917</v>
          </cell>
          <cell r="AC400">
            <v>0.41979010494752622</v>
          </cell>
          <cell r="AD400">
            <v>0.33358320839580208</v>
          </cell>
          <cell r="AE400">
            <v>0.41423220973782771</v>
          </cell>
          <cell r="AF400">
            <v>0.36992481203007521</v>
          </cell>
          <cell r="AG400">
            <v>0.46246246246246248</v>
          </cell>
          <cell r="AH400">
            <v>0.31934032983508248</v>
          </cell>
          <cell r="AI400">
            <v>0.44527736131934031</v>
          </cell>
          <cell r="AJ400">
            <v>0.40029985007496249</v>
          </cell>
          <cell r="AK400">
            <v>0.44985029940119758</v>
          </cell>
          <cell r="AL400">
            <v>0.37649700598802394</v>
          </cell>
          <cell r="AM400">
            <v>0.50796708155608861</v>
          </cell>
          <cell r="AN400">
            <v>0.46314411666623695</v>
          </cell>
        </row>
        <row r="401">
          <cell r="B401" t="str">
            <v>EPS (pre-exceptionals, diluted)</v>
          </cell>
          <cell r="C401" t="str">
            <v>EPS_FUL_DIL</v>
          </cell>
          <cell r="D401" t="str">
            <v>AUD</v>
          </cell>
          <cell r="G401">
            <v>0.70380088462403478</v>
          </cell>
          <cell r="H401">
            <v>0.70202398800599697</v>
          </cell>
          <cell r="I401">
            <v>0.73313343328335834</v>
          </cell>
          <cell r="J401">
            <v>0.7528089887640449</v>
          </cell>
          <cell r="K401">
            <v>0.78512396694214881</v>
          </cell>
          <cell r="L401">
            <v>0.77877428998505227</v>
          </cell>
          <cell r="M401">
            <v>0.84304932735426008</v>
          </cell>
          <cell r="N401">
            <v>0.82388059701492533</v>
          </cell>
          <cell r="O401">
            <v>0.96783816403868517</v>
          </cell>
          <cell r="P401">
            <v>1.0653954124657905</v>
          </cell>
          <cell r="Q401">
            <v>1.137170600122384</v>
          </cell>
          <cell r="R401">
            <v>1.1907759260400603</v>
          </cell>
          <cell r="S401">
            <v>1.2452407301807538</v>
          </cell>
          <cell r="W401">
            <v>0.40479760119940028</v>
          </cell>
          <cell r="X401">
            <v>0.29897293650198659</v>
          </cell>
          <cell r="Y401">
            <v>0.36881559220389803</v>
          </cell>
          <cell r="Z401">
            <v>0.33320839580209893</v>
          </cell>
          <cell r="AA401">
            <v>0.36656671664167917</v>
          </cell>
          <cell r="AB401">
            <v>0.36656671664167917</v>
          </cell>
          <cell r="AC401">
            <v>0.41979010494752622</v>
          </cell>
          <cell r="AD401">
            <v>0.33333333333333331</v>
          </cell>
          <cell r="AE401">
            <v>0.41423220973782771</v>
          </cell>
          <cell r="AF401">
            <v>0.36964688204357626</v>
          </cell>
          <cell r="AG401">
            <v>0.46107784431137727</v>
          </cell>
          <cell r="AH401">
            <v>0.31838565022421522</v>
          </cell>
          <cell r="AI401">
            <v>0.44427823485415108</v>
          </cell>
          <cell r="AJ401">
            <v>0.3991031390134529</v>
          </cell>
          <cell r="AK401">
            <v>0.44884241971620614</v>
          </cell>
          <cell r="AL401">
            <v>0.37537313432835823</v>
          </cell>
          <cell r="AM401">
            <v>0.5064518926476439</v>
          </cell>
          <cell r="AN401">
            <v>0.46176365730210511</v>
          </cell>
        </row>
        <row r="402">
          <cell r="B402" t="str">
            <v>EPS (post-exceptionals, basic)</v>
          </cell>
          <cell r="C402" t="str">
            <v>EPS_POST_BASIC</v>
          </cell>
          <cell r="D402" t="str">
            <v>AUD</v>
          </cell>
          <cell r="G402">
            <v>1.1835082458770614</v>
          </cell>
          <cell r="H402">
            <v>1.0754872563718141</v>
          </cell>
          <cell r="I402">
            <v>0.73313343328335834</v>
          </cell>
          <cell r="J402">
            <v>0.75337331334332835</v>
          </cell>
          <cell r="K402">
            <v>0.7879699248120301</v>
          </cell>
          <cell r="L402">
            <v>0.82308845577211398</v>
          </cell>
          <cell r="M402">
            <v>0.83808095952023987</v>
          </cell>
          <cell r="N402">
            <v>0.80763473053892221</v>
          </cell>
          <cell r="O402">
            <v>0.97073155167407732</v>
          </cell>
          <cell r="P402">
            <v>1.0685756972791212</v>
          </cell>
          <cell r="Q402">
            <v>1.1405600803015863</v>
          </cell>
          <cell r="R402">
            <v>1.1943199020104176</v>
          </cell>
          <cell r="S402">
            <v>1.24894129698664</v>
          </cell>
          <cell r="W402">
            <v>0.40479760119940028</v>
          </cell>
          <cell r="X402">
            <v>0.77871064467766116</v>
          </cell>
          <cell r="Y402">
            <v>0.37893553223388304</v>
          </cell>
          <cell r="Z402">
            <v>0.69655172413793109</v>
          </cell>
          <cell r="AA402">
            <v>0.36656671664167917</v>
          </cell>
          <cell r="AB402">
            <v>0.36656671664167917</v>
          </cell>
          <cell r="AC402">
            <v>0.41979010494752622</v>
          </cell>
          <cell r="AD402">
            <v>0.33358320839580208</v>
          </cell>
          <cell r="AE402">
            <v>0.41423220973782771</v>
          </cell>
          <cell r="AF402">
            <v>0.37218045112781956</v>
          </cell>
          <cell r="AG402">
            <v>0.46246246246246248</v>
          </cell>
          <cell r="AH402">
            <v>0.36131934032983509</v>
          </cell>
          <cell r="AI402">
            <v>0.44152923538230887</v>
          </cell>
          <cell r="AJ402">
            <v>0.39655172413793105</v>
          </cell>
          <cell r="AK402">
            <v>0.43113772455089822</v>
          </cell>
          <cell r="AL402">
            <v>0.37649700598802394</v>
          </cell>
          <cell r="AM402">
            <v>0.59524219606575579</v>
          </cell>
          <cell r="AN402">
            <v>0.47537564888946698</v>
          </cell>
        </row>
        <row r="403">
          <cell r="B403" t="str">
            <v>EPS (post-exceptionals, diluted)</v>
          </cell>
          <cell r="C403" t="str">
            <v>FULLY_DIL_EPS</v>
          </cell>
          <cell r="D403" t="str">
            <v>AUD</v>
          </cell>
          <cell r="G403">
            <v>1.1835969712872028</v>
          </cell>
          <cell r="H403">
            <v>1.0754872563718141</v>
          </cell>
          <cell r="I403">
            <v>0.73313343328335834</v>
          </cell>
          <cell r="J403">
            <v>0.7528089887640449</v>
          </cell>
          <cell r="K403">
            <v>0.78737791134485347</v>
          </cell>
          <cell r="L403">
            <v>0.820627802690583</v>
          </cell>
          <cell r="M403">
            <v>0.83557548579970109</v>
          </cell>
          <cell r="N403">
            <v>0.80522388059701488</v>
          </cell>
          <cell r="O403">
            <v>0.96783816403868517</v>
          </cell>
          <cell r="P403">
            <v>1.0653954124657905</v>
          </cell>
          <cell r="Q403">
            <v>1.137170600122384</v>
          </cell>
          <cell r="R403">
            <v>1.1907759260400603</v>
          </cell>
          <cell r="S403">
            <v>1.2452407301807538</v>
          </cell>
          <cell r="W403">
            <v>0.40479760119940028</v>
          </cell>
          <cell r="X403">
            <v>0.77876902316515473</v>
          </cell>
          <cell r="Y403">
            <v>0.37893553223388304</v>
          </cell>
          <cell r="Z403">
            <v>0.69655172413793109</v>
          </cell>
          <cell r="AA403">
            <v>0.36656671664167917</v>
          </cell>
          <cell r="AB403">
            <v>0.36656671664167917</v>
          </cell>
          <cell r="AC403">
            <v>0.41979010494752622</v>
          </cell>
          <cell r="AD403">
            <v>0.33333333333333331</v>
          </cell>
          <cell r="AE403">
            <v>0.41423220973782771</v>
          </cell>
          <cell r="AF403">
            <v>0.37190082644628097</v>
          </cell>
          <cell r="AG403">
            <v>0.46107784431137727</v>
          </cell>
          <cell r="AH403">
            <v>0.36023916292974589</v>
          </cell>
          <cell r="AI403">
            <v>0.44053851907255048</v>
          </cell>
          <cell r="AJ403">
            <v>0.39536621823617341</v>
          </cell>
          <cell r="AK403">
            <v>0.43017176997759521</v>
          </cell>
          <cell r="AL403">
            <v>0.37537313432835823</v>
          </cell>
          <cell r="AM403">
            <v>0.59346667870239778</v>
          </cell>
          <cell r="AN403">
            <v>0.47395873190320925</v>
          </cell>
        </row>
        <row r="404">
          <cell r="B404" t="str">
            <v>Common dividends paid</v>
          </cell>
          <cell r="C404" t="str">
            <v>COMMON_DIV_PAID</v>
          </cell>
          <cell r="D404" t="str">
            <v>AUD</v>
          </cell>
          <cell r="G404">
            <v>0</v>
          </cell>
          <cell r="H404">
            <v>-633.65</v>
          </cell>
          <cell r="I404">
            <v>-760.37999999999988</v>
          </cell>
          <cell r="J404">
            <v>-813.74</v>
          </cell>
          <cell r="K404">
            <v>-837.9</v>
          </cell>
          <cell r="L404">
            <v>-880.44</v>
          </cell>
          <cell r="M404">
            <v>-907.12000000000012</v>
          </cell>
          <cell r="N404">
            <v>-921.83999999999992</v>
          </cell>
          <cell r="O404">
            <v>-1100.7223439611967</v>
          </cell>
          <cell r="P404">
            <v>-1213.4853747985353</v>
          </cell>
          <cell r="Q404">
            <v>-1297.1705035596035</v>
          </cell>
          <cell r="R404">
            <v>-1360.3424179081649</v>
          </cell>
          <cell r="S404">
            <v>-1424.6799193998004</v>
          </cell>
          <cell r="W404">
            <v>0</v>
          </cell>
          <cell r="X404">
            <v>0</v>
          </cell>
          <cell r="Y404">
            <v>0</v>
          </cell>
          <cell r="Z404">
            <v>-633.65</v>
          </cell>
          <cell r="AA404">
            <v>-400.2</v>
          </cell>
          <cell r="AB404">
            <v>-360.17999999999995</v>
          </cell>
          <cell r="AC404">
            <v>-440.22</v>
          </cell>
          <cell r="AD404">
            <v>-373.52</v>
          </cell>
          <cell r="AE404">
            <v>-440.55</v>
          </cell>
          <cell r="AF404">
            <v>-399</v>
          </cell>
          <cell r="AG404">
            <v>-479.52</v>
          </cell>
          <cell r="AH404">
            <v>-400.20000000000005</v>
          </cell>
          <cell r="AI404">
            <v>-480.24</v>
          </cell>
          <cell r="AJ404">
            <v>-426.88000000000011</v>
          </cell>
          <cell r="AK404">
            <v>-494.32</v>
          </cell>
          <cell r="AL404">
            <v>-427.51999999999992</v>
          </cell>
          <cell r="AM404">
            <v>-558.35890212954337</v>
          </cell>
          <cell r="AN404">
            <v>-541.94582111203511</v>
          </cell>
        </row>
        <row r="405">
          <cell r="B405" t="str">
            <v>DPS, dividend per share</v>
          </cell>
          <cell r="C405" t="str">
            <v>DPS</v>
          </cell>
          <cell r="D405" t="str">
            <v>AUD</v>
          </cell>
          <cell r="G405">
            <v>0</v>
          </cell>
          <cell r="H405">
            <v>0.47499999999999998</v>
          </cell>
          <cell r="I405">
            <v>0.56999999999999995</v>
          </cell>
          <cell r="J405">
            <v>0.61</v>
          </cell>
          <cell r="K405">
            <v>0.63</v>
          </cell>
          <cell r="L405">
            <v>0.66</v>
          </cell>
          <cell r="M405">
            <v>0.68</v>
          </cell>
          <cell r="N405">
            <v>0.69</v>
          </cell>
          <cell r="O405">
            <v>0.82266243943288242</v>
          </cell>
          <cell r="P405">
            <v>0.90558610059592193</v>
          </cell>
          <cell r="Q405">
            <v>0.96659501010402638</v>
          </cell>
          <cell r="R405">
            <v>1.0121595371340513</v>
          </cell>
          <cell r="S405">
            <v>1.0584546206536407</v>
          </cell>
          <cell r="W405">
            <v>0</v>
          </cell>
          <cell r="X405">
            <v>0</v>
          </cell>
          <cell r="Y405">
            <v>0</v>
          </cell>
          <cell r="Z405">
            <v>0.47499999999999998</v>
          </cell>
          <cell r="AA405">
            <v>0.3</v>
          </cell>
          <cell r="AB405">
            <v>0.26999999999999996</v>
          </cell>
          <cell r="AC405">
            <v>0.33</v>
          </cell>
          <cell r="AD405">
            <v>0.27999999999999997</v>
          </cell>
          <cell r="AE405">
            <v>0.33</v>
          </cell>
          <cell r="AF405">
            <v>0.3</v>
          </cell>
          <cell r="AG405">
            <v>0.36</v>
          </cell>
          <cell r="AH405">
            <v>0.30000000000000004</v>
          </cell>
          <cell r="AI405">
            <v>0.36</v>
          </cell>
          <cell r="AJ405">
            <v>0.32000000000000006</v>
          </cell>
          <cell r="AK405">
            <v>0.37</v>
          </cell>
          <cell r="AL405">
            <v>0.31999999999999995</v>
          </cell>
          <cell r="AM405">
            <v>0.41762071961820746</v>
          </cell>
          <cell r="AN405">
            <v>0.40504171981467496</v>
          </cell>
        </row>
        <row r="406">
          <cell r="B406" t="str">
            <v>Weighted average shares outstanding, basic</v>
          </cell>
          <cell r="C406" t="str">
            <v>SH</v>
          </cell>
          <cell r="E406">
            <v>1342</v>
          </cell>
          <cell r="G406">
            <v>1334</v>
          </cell>
          <cell r="H406">
            <v>1334</v>
          </cell>
          <cell r="I406">
            <v>1334</v>
          </cell>
          <cell r="J406">
            <v>1334</v>
          </cell>
          <cell r="K406">
            <v>1330</v>
          </cell>
          <cell r="L406">
            <v>1334</v>
          </cell>
          <cell r="M406">
            <v>1334</v>
          </cell>
          <cell r="N406">
            <v>1336</v>
          </cell>
          <cell r="O406">
            <v>1338</v>
          </cell>
          <cell r="P406">
            <v>1340</v>
          </cell>
          <cell r="Q406">
            <v>1342</v>
          </cell>
          <cell r="R406">
            <v>1344</v>
          </cell>
          <cell r="S406">
            <v>1346</v>
          </cell>
          <cell r="W406">
            <v>1334</v>
          </cell>
          <cell r="X406">
            <v>1334</v>
          </cell>
          <cell r="Y406">
            <v>1334</v>
          </cell>
          <cell r="Z406">
            <v>1334</v>
          </cell>
          <cell r="AA406">
            <v>1334</v>
          </cell>
          <cell r="AB406">
            <v>1334</v>
          </cell>
          <cell r="AC406">
            <v>1334</v>
          </cell>
          <cell r="AD406">
            <v>1334</v>
          </cell>
          <cell r="AE406">
            <v>1335</v>
          </cell>
          <cell r="AF406">
            <v>1330</v>
          </cell>
          <cell r="AG406">
            <v>1332</v>
          </cell>
          <cell r="AH406">
            <v>1334</v>
          </cell>
          <cell r="AI406">
            <v>1334</v>
          </cell>
          <cell r="AJ406">
            <v>1334</v>
          </cell>
          <cell r="AK406">
            <v>1336</v>
          </cell>
          <cell r="AL406">
            <v>1336</v>
          </cell>
          <cell r="AM406">
            <v>1337</v>
          </cell>
          <cell r="AN406">
            <v>1338</v>
          </cell>
        </row>
        <row r="407">
          <cell r="B407" t="str">
            <v>Diluted average shares outstanding (mn)</v>
          </cell>
          <cell r="C407" t="str">
            <v>DILUTE_SHARES</v>
          </cell>
          <cell r="G407">
            <v>1333.9</v>
          </cell>
          <cell r="H407">
            <v>1334</v>
          </cell>
          <cell r="I407">
            <v>1334</v>
          </cell>
          <cell r="J407">
            <v>1335</v>
          </cell>
          <cell r="K407">
            <v>1331</v>
          </cell>
          <cell r="L407">
            <v>1338</v>
          </cell>
          <cell r="M407">
            <v>1338</v>
          </cell>
          <cell r="N407">
            <v>1340</v>
          </cell>
          <cell r="O407">
            <v>1342</v>
          </cell>
          <cell r="P407">
            <v>1344</v>
          </cell>
          <cell r="Q407">
            <v>1346</v>
          </cell>
          <cell r="R407">
            <v>1348</v>
          </cell>
          <cell r="S407">
            <v>1350</v>
          </cell>
          <cell r="W407">
            <v>1334</v>
          </cell>
          <cell r="X407">
            <v>1333.9</v>
          </cell>
          <cell r="Y407">
            <v>1334</v>
          </cell>
          <cell r="Z407">
            <v>1334</v>
          </cell>
          <cell r="AA407">
            <v>1334</v>
          </cell>
          <cell r="AB407">
            <v>1334</v>
          </cell>
          <cell r="AC407">
            <v>1334</v>
          </cell>
          <cell r="AD407">
            <v>1335</v>
          </cell>
          <cell r="AE407">
            <v>1335</v>
          </cell>
          <cell r="AF407">
            <v>1331</v>
          </cell>
          <cell r="AG407">
            <v>1336</v>
          </cell>
          <cell r="AH407">
            <v>1338</v>
          </cell>
          <cell r="AI407">
            <v>1337</v>
          </cell>
          <cell r="AJ407">
            <v>1338</v>
          </cell>
          <cell r="AK407">
            <v>1339</v>
          </cell>
          <cell r="AL407">
            <v>1340</v>
          </cell>
          <cell r="AM407">
            <v>1341</v>
          </cell>
          <cell r="AN407">
            <v>1342</v>
          </cell>
        </row>
        <row r="408">
          <cell r="B408" t="str">
            <v>Period-end shares outstanding</v>
          </cell>
          <cell r="C408" t="str">
            <v>NON_OP_ADD</v>
          </cell>
          <cell r="G408">
            <v>1334</v>
          </cell>
          <cell r="H408">
            <v>1334</v>
          </cell>
          <cell r="I408">
            <v>1334</v>
          </cell>
          <cell r="J408">
            <v>1334</v>
          </cell>
          <cell r="K408">
            <v>1330</v>
          </cell>
          <cell r="L408">
            <v>1334</v>
          </cell>
          <cell r="M408">
            <v>1339.419406</v>
          </cell>
          <cell r="N408">
            <v>1341.3054770000001</v>
          </cell>
          <cell r="O408">
            <v>1343.1915480000002</v>
          </cell>
          <cell r="P408">
            <v>1345.0776190000004</v>
          </cell>
          <cell r="Q408">
            <v>1346.9636900000005</v>
          </cell>
          <cell r="R408">
            <v>1348.8497610000006</v>
          </cell>
          <cell r="S408">
            <v>1350.7358320000008</v>
          </cell>
          <cell r="W408">
            <v>1333.9294117647062</v>
          </cell>
          <cell r="X408">
            <v>1334</v>
          </cell>
          <cell r="Y408">
            <v>1334</v>
          </cell>
          <cell r="Z408">
            <v>1334</v>
          </cell>
          <cell r="AA408">
            <v>1334</v>
          </cell>
          <cell r="AB408">
            <v>1334</v>
          </cell>
          <cell r="AC408">
            <v>1334</v>
          </cell>
          <cell r="AD408">
            <v>1334</v>
          </cell>
          <cell r="AE408">
            <v>1334</v>
          </cell>
          <cell r="AF408">
            <v>1330</v>
          </cell>
          <cell r="AG408">
            <v>1330</v>
          </cell>
          <cell r="AH408">
            <v>1334</v>
          </cell>
          <cell r="AI408">
            <v>1334</v>
          </cell>
          <cell r="AJ408">
            <v>1339.419406</v>
          </cell>
          <cell r="AK408">
            <v>1339.419406</v>
          </cell>
          <cell r="AL408">
            <v>1341.3054770000001</v>
          </cell>
          <cell r="AM408">
            <v>1342.2485125000003</v>
          </cell>
          <cell r="AN408">
            <v>1343.1915480000002</v>
          </cell>
        </row>
        <row r="409">
          <cell r="B409" t="str">
            <v>Franking</v>
          </cell>
          <cell r="C409" t="str">
            <v>FRANKING</v>
          </cell>
          <cell r="G409">
            <v>1</v>
          </cell>
          <cell r="H409">
            <v>1</v>
          </cell>
          <cell r="I409">
            <v>1</v>
          </cell>
          <cell r="J409">
            <v>1</v>
          </cell>
          <cell r="K409">
            <v>1</v>
          </cell>
          <cell r="L409">
            <v>1</v>
          </cell>
          <cell r="M409">
            <v>1</v>
          </cell>
          <cell r="N409">
            <v>1</v>
          </cell>
          <cell r="O409">
            <v>1</v>
          </cell>
          <cell r="P409">
            <v>1</v>
          </cell>
          <cell r="Q409">
            <v>1</v>
          </cell>
          <cell r="R409">
            <v>1</v>
          </cell>
          <cell r="S409">
            <v>1</v>
          </cell>
          <cell r="W409">
            <v>1</v>
          </cell>
          <cell r="X409">
            <v>1</v>
          </cell>
          <cell r="Y409">
            <v>1</v>
          </cell>
          <cell r="Z409">
            <v>1</v>
          </cell>
          <cell r="AA409">
            <v>1</v>
          </cell>
          <cell r="AB409">
            <v>1</v>
          </cell>
          <cell r="AC409">
            <v>1</v>
          </cell>
          <cell r="AD409">
            <v>1</v>
          </cell>
          <cell r="AE409">
            <v>1</v>
          </cell>
          <cell r="AF409">
            <v>1</v>
          </cell>
          <cell r="AG409">
            <v>1</v>
          </cell>
          <cell r="AH409">
            <v>1</v>
          </cell>
          <cell r="AI409">
            <v>1</v>
          </cell>
          <cell r="AJ409">
            <v>1</v>
          </cell>
          <cell r="AK409">
            <v>1</v>
          </cell>
          <cell r="AL409">
            <v>1</v>
          </cell>
          <cell r="AM409">
            <v>0</v>
          </cell>
          <cell r="AN409">
            <v>0</v>
          </cell>
        </row>
        <row r="410">
          <cell r="A410" t="str">
            <v>ANZ Income Statement</v>
          </cell>
        </row>
        <row r="411">
          <cell r="B411" t="str">
            <v>Operating profit or loss after income tax (pre abnormals) - Incl Assoc</v>
          </cell>
          <cell r="C411" t="str">
            <v>OPPL_ATAX_PRE_AB</v>
          </cell>
          <cell r="D411" t="str">
            <v>AUD</v>
          </cell>
        </row>
        <row r="412">
          <cell r="B412" t="str">
            <v>Income tax attributable to profit or loss on abnormal items</v>
          </cell>
          <cell r="C412" t="str">
            <v>INCTAX_PL_ON_AB</v>
          </cell>
          <cell r="D412" t="str">
            <v>AUD</v>
          </cell>
        </row>
        <row r="413">
          <cell r="B413" t="str">
            <v>Goodwill Asset impairment Charge (Post Tax)</v>
          </cell>
          <cell r="C413" t="str">
            <v>GWILL_ASSET_IMP_CHG_POST_TAX</v>
          </cell>
          <cell r="D413" t="str">
            <v>AUD</v>
          </cell>
        </row>
        <row r="414">
          <cell r="B414" t="str">
            <v>Other Asset impairment Charge (Post Tax)</v>
          </cell>
          <cell r="C414" t="str">
            <v>OTH_ASSET_IMPAIR_CHG_POST_TAX</v>
          </cell>
          <cell r="D414" t="str">
            <v>AUD</v>
          </cell>
        </row>
        <row r="415">
          <cell r="B415" t="str">
            <v>Financial instruments/hedging (Post Tax)</v>
          </cell>
          <cell r="C415" t="str">
            <v>FIN_INSTRUMENT_HEDGE_POST_TAX</v>
          </cell>
          <cell r="D415" t="str">
            <v>AUD</v>
          </cell>
        </row>
        <row r="416">
          <cell r="B416" t="str">
            <v>Other IFRS adjustments (Post Tax)</v>
          </cell>
          <cell r="C416" t="str">
            <v>OTHER_IFRS_ADJUST_POST_TAX</v>
          </cell>
          <cell r="D416" t="str">
            <v>AUD</v>
          </cell>
        </row>
        <row r="417">
          <cell r="B417" t="str">
            <v>Total IFRS Adjustments (Post Tax)</v>
          </cell>
          <cell r="C417" t="str">
            <v>TOTAL_IFRS_ADJUST_POST_TAX</v>
          </cell>
          <cell r="D417" t="str">
            <v>AUD</v>
          </cell>
        </row>
        <row r="418">
          <cell r="B418" t="str">
            <v>Income tax attributable to operating profit or loss (post abnormals)</v>
          </cell>
          <cell r="C418" t="str">
            <v>INCTAX_PL_POST_AB</v>
          </cell>
          <cell r="D418" t="str">
            <v>AUD</v>
          </cell>
        </row>
        <row r="419">
          <cell r="B419" t="str">
            <v>Operating profit or loss after income tax (post abnormals)</v>
          </cell>
          <cell r="C419" t="str">
            <v>OPPL_ATAX_POST_AB</v>
          </cell>
          <cell r="D419" t="str">
            <v>AUD</v>
          </cell>
        </row>
        <row r="420">
          <cell r="B420" t="str">
            <v>Net Profit - GS&amp;PA (NPAT after pref dividends, but before Abnormals, and Goodwill Amortisation)</v>
          </cell>
          <cell r="C420" t="str">
            <v>NET_PROFIT</v>
          </cell>
          <cell r="D420" t="str">
            <v>AUD</v>
          </cell>
        </row>
        <row r="421">
          <cell r="B421" t="str">
            <v>Foreign Exchange (gains/losses)</v>
          </cell>
          <cell r="C421" t="str">
            <v>FOREIGN_EXCHANGE_GAIN_LOSS</v>
          </cell>
          <cell r="D421" t="str">
            <v>AUD</v>
          </cell>
        </row>
        <row r="422">
          <cell r="B422" t="str">
            <v>Asset Sales (gains/losses)</v>
          </cell>
          <cell r="C422" t="str">
            <v>ASSET_SALES_GAIN_LOSS</v>
          </cell>
          <cell r="D422" t="str">
            <v>AUD</v>
          </cell>
        </row>
        <row r="423">
          <cell r="B423" t="str">
            <v>Restructuring Costs</v>
          </cell>
          <cell r="C423" t="str">
            <v>RESTRUC_COSTS</v>
          </cell>
          <cell r="D423" t="str">
            <v>AUD</v>
          </cell>
        </row>
        <row r="424">
          <cell r="B424" t="str">
            <v>Other Abnormal Items</v>
          </cell>
          <cell r="C424" t="str">
            <v>OTHER_ABNORMAL_ITEMS</v>
          </cell>
          <cell r="D424" t="str">
            <v>AUD</v>
          </cell>
        </row>
        <row r="425">
          <cell r="B425" t="str">
            <v>EBITDAF (Financial Instruments)</v>
          </cell>
          <cell r="C425" t="str">
            <v>EBITDAF</v>
          </cell>
          <cell r="D425" t="str">
            <v>AUD</v>
          </cell>
        </row>
        <row r="426">
          <cell r="B426" t="str">
            <v>Profit Adjustment for EPS</v>
          </cell>
          <cell r="C426" t="str">
            <v>PROF_ADJUST_EPS</v>
          </cell>
          <cell r="D426" t="str">
            <v>AUD</v>
          </cell>
        </row>
        <row r="427">
          <cell r="B427" t="str">
            <v>EPS - GS&amp;PA</v>
          </cell>
          <cell r="C427" t="str">
            <v>EPS_PRE_GWILL</v>
          </cell>
          <cell r="D427" t="str">
            <v>AUD</v>
          </cell>
        </row>
        <row r="428">
          <cell r="B428" t="str">
            <v>EPS - Reported</v>
          </cell>
          <cell r="C428" t="str">
            <v>EPS_REPORTED</v>
          </cell>
          <cell r="D428" t="str">
            <v>AUD</v>
          </cell>
        </row>
        <row r="429">
          <cell r="B429" t="str">
            <v>Franking Tax Rate</v>
          </cell>
          <cell r="C429" t="str">
            <v>FRANK_TAX_RATE</v>
          </cell>
        </row>
        <row r="430">
          <cell r="B430" t="str">
            <v>NZ Imputation level</v>
          </cell>
          <cell r="C430" t="str">
            <v>NZ_FRANKING</v>
          </cell>
        </row>
        <row r="431">
          <cell r="B431" t="str">
            <v>Next Interim Dividend Amount</v>
          </cell>
          <cell r="C431" t="str">
            <v>INT_DIV_AMOUNT</v>
          </cell>
          <cell r="D431" t="str">
            <v>AUD</v>
          </cell>
        </row>
        <row r="432">
          <cell r="B432" t="str">
            <v>Next Interim Dividend Ex-date</v>
          </cell>
          <cell r="C432" t="str">
            <v>INT_DIV_EXDATE</v>
          </cell>
        </row>
        <row r="433">
          <cell r="B433" t="str">
            <v>Next Interim Dividend Franking</v>
          </cell>
          <cell r="C433" t="str">
            <v>INT_DIV_FRANK</v>
          </cell>
        </row>
        <row r="434">
          <cell r="B434" t="str">
            <v>Next Int. Div. Frank Tax Rate</v>
          </cell>
          <cell r="C434" t="str">
            <v>INT_DIV_TAXRATE</v>
          </cell>
        </row>
        <row r="435">
          <cell r="B435" t="str">
            <v>Next Final Dividend Amount</v>
          </cell>
          <cell r="C435" t="str">
            <v>FINAL_DIV_AMOUNT</v>
          </cell>
          <cell r="D435" t="str">
            <v>AUD</v>
          </cell>
        </row>
        <row r="436">
          <cell r="B436" t="str">
            <v>Next Final Dividend Ex-date</v>
          </cell>
          <cell r="C436" t="str">
            <v>FINAL_DIV_EXDATE</v>
          </cell>
        </row>
        <row r="437">
          <cell r="B437" t="str">
            <v>Next Final Dividend Franking</v>
          </cell>
          <cell r="C437" t="str">
            <v>FINAL_DIV_FRANK</v>
          </cell>
        </row>
        <row r="438">
          <cell r="B438" t="str">
            <v>Next Final Div. Frank Tax Rate</v>
          </cell>
          <cell r="C438" t="str">
            <v>FINAL_DIV_TAXRATE</v>
          </cell>
        </row>
        <row r="439">
          <cell r="B439" t="str">
            <v>Convertible Notes  at End of year</v>
          </cell>
          <cell r="C439" t="str">
            <v>CONVERTIBLE_NOTES</v>
          </cell>
        </row>
        <row r="440">
          <cell r="B440" t="str">
            <v>Preference Shares at End of year</v>
          </cell>
          <cell r="C440" t="str">
            <v>PREFERENCE_SHARES</v>
          </cell>
        </row>
        <row r="441">
          <cell r="B441" t="str">
            <v>Partly Paid Shares at End of year</v>
          </cell>
          <cell r="C441" t="str">
            <v>PARTLY_PAID_SHARES</v>
          </cell>
        </row>
        <row r="442">
          <cell r="B442" t="str">
            <v>Options at End of year</v>
          </cell>
          <cell r="C442" t="str">
            <v>OPTIONS</v>
          </cell>
        </row>
        <row r="443">
          <cell r="B443" t="str">
            <v>Other at End of year</v>
          </cell>
          <cell r="C443" t="str">
            <v>OTHER_CAPITAL</v>
          </cell>
        </row>
        <row r="444">
          <cell r="B444" t="str">
            <v>Total Capital at End of year</v>
          </cell>
          <cell r="C444" t="str">
            <v>TOTAL_CAPITAL</v>
          </cell>
        </row>
        <row r="445">
          <cell r="B445" t="str">
            <v>Ordinary Shares (diluted for convertibles/options in the money) on issue at end of period ; Share Base For NTA Calculation</v>
          </cell>
          <cell r="C445" t="str">
            <v>EFPO</v>
          </cell>
        </row>
        <row r="446">
          <cell r="B446" t="str">
            <v>Weighted average ordinary shares (diluted for convertibles/options in the money) on issue at end of period</v>
          </cell>
          <cell r="C446" t="str">
            <v>EFPOWA</v>
          </cell>
        </row>
        <row r="447">
          <cell r="A447" t="str">
            <v>Additional Income Statement Items</v>
          </cell>
        </row>
        <row r="448">
          <cell r="B448" t="str">
            <v>Marginal tax rate</v>
          </cell>
          <cell r="C448" t="str">
            <v>MARGIN_TAX_RATE</v>
          </cell>
          <cell r="G448">
            <v>0.32697684421822354</v>
          </cell>
          <cell r="H448">
            <v>0.27035449941566031</v>
          </cell>
          <cell r="I448">
            <v>0.2585291887793783</v>
          </cell>
          <cell r="J448">
            <v>0.30497925311203322</v>
          </cell>
          <cell r="K448">
            <v>0.28766189502385819</v>
          </cell>
          <cell r="L448">
            <v>0.28873720136518771</v>
          </cell>
          <cell r="M448">
            <v>0.30154798761609908</v>
          </cell>
          <cell r="N448">
            <v>0.29726288987905791</v>
          </cell>
          <cell r="O448">
            <v>0.3</v>
          </cell>
          <cell r="P448">
            <v>0.3</v>
          </cell>
          <cell r="Q448">
            <v>0.3</v>
          </cell>
          <cell r="R448">
            <v>0.3</v>
          </cell>
          <cell r="S448">
            <v>0.3</v>
          </cell>
          <cell r="W448">
            <v>0.30680359435173299</v>
          </cell>
          <cell r="X448">
            <v>0.35249228770904373</v>
          </cell>
          <cell r="Y448">
            <v>0.31188811188811189</v>
          </cell>
          <cell r="Z448">
            <v>0.21811785400175901</v>
          </cell>
          <cell r="AA448">
            <v>0.29130434782608694</v>
          </cell>
          <cell r="AB448">
            <v>0.22257551669316375</v>
          </cell>
          <cell r="AC448">
            <v>0.30087390761548066</v>
          </cell>
          <cell r="AD448">
            <v>0.31007751937984496</v>
          </cell>
          <cell r="AE448">
            <v>0.29374201787994891</v>
          </cell>
          <cell r="AF448">
            <v>0.2807017543859649</v>
          </cell>
          <cell r="AG448">
            <v>0.29276693455797931</v>
          </cell>
          <cell r="AH448">
            <v>0.28282828282828282</v>
          </cell>
          <cell r="AI448">
            <v>0.30199764982373678</v>
          </cell>
          <cell r="AJ448">
            <v>0.30104712041884818</v>
          </cell>
          <cell r="AK448">
            <v>0.28959810874704489</v>
          </cell>
          <cell r="AL448">
            <v>0.30620689655172412</v>
          </cell>
          <cell r="AM448">
            <v>0.3</v>
          </cell>
          <cell r="AN448">
            <v>0.3</v>
          </cell>
        </row>
        <row r="449">
          <cell r="B449" t="str">
            <v>Net income (consensus) (Pub)</v>
          </cell>
          <cell r="C449" t="str">
            <v>NI_CONS</v>
          </cell>
          <cell r="D449" t="str">
            <v>AUD</v>
          </cell>
        </row>
        <row r="450">
          <cell r="A450" t="str">
            <v>Balance Sheet</v>
          </cell>
        </row>
        <row r="451">
          <cell r="B451" t="str">
            <v>BVPS, book value per share</v>
          </cell>
          <cell r="C451" t="str">
            <v>BVPS</v>
          </cell>
          <cell r="D451" t="str">
            <v>AUD</v>
          </cell>
          <cell r="G451">
            <v>2.4359820089955027</v>
          </cell>
          <cell r="H451">
            <v>2.516566716641679</v>
          </cell>
          <cell r="I451">
            <v>1.9602698650674664</v>
          </cell>
          <cell r="J451">
            <v>2.1086956521739131</v>
          </cell>
          <cell r="K451">
            <v>2.3488721804511279</v>
          </cell>
          <cell r="L451">
            <v>2.5157421289355324</v>
          </cell>
          <cell r="M451">
            <v>2.7004237685354249</v>
          </cell>
          <cell r="N451">
            <v>2.8375340780033209</v>
          </cell>
          <cell r="O451">
            <v>2.9778668475038712</v>
          </cell>
          <cell r="P451">
            <v>3.1326470379710991</v>
          </cell>
          <cell r="Q451">
            <v>3.2980225808618417</v>
          </cell>
          <cell r="R451">
            <v>3.4712772312719076</v>
          </cell>
          <cell r="S451">
            <v>3.6525379352245024</v>
          </cell>
          <cell r="W451">
            <v>3.1013635080787405</v>
          </cell>
          <cell r="X451">
            <v>0</v>
          </cell>
          <cell r="Y451">
            <v>2.0029985007496252</v>
          </cell>
          <cell r="Z451">
            <v>0</v>
          </cell>
          <cell r="AA451">
            <v>1.8883058470764618</v>
          </cell>
          <cell r="AB451">
            <v>0</v>
          </cell>
          <cell r="AC451">
            <v>2.0929535232383807</v>
          </cell>
          <cell r="AD451">
            <v>0</v>
          </cell>
          <cell r="AE451">
            <v>2.2556221889055474</v>
          </cell>
          <cell r="AF451">
            <v>0</v>
          </cell>
          <cell r="AG451">
            <v>2.5406015037593983</v>
          </cell>
          <cell r="AH451">
            <v>0</v>
          </cell>
          <cell r="AI451">
            <v>2.6514242878560719</v>
          </cell>
          <cell r="AJ451">
            <v>0</v>
          </cell>
          <cell r="AK451">
            <v>2.8101728130404586</v>
          </cell>
          <cell r="AL451">
            <v>0</v>
          </cell>
          <cell r="AM451">
            <v>0</v>
          </cell>
          <cell r="AN451">
            <v>0</v>
          </cell>
        </row>
        <row r="452">
          <cell r="A452" t="str">
            <v>ANZ Balance Sheet</v>
          </cell>
        </row>
        <row r="453">
          <cell r="B453" t="str">
            <v>Shareholders' equity attributable to members of the chief entity</v>
          </cell>
          <cell r="C453" t="str">
            <v>SHOLDERS_EQUITY_MBRS</v>
          </cell>
          <cell r="D453" t="str">
            <v>AUD</v>
          </cell>
        </row>
        <row r="454">
          <cell r="B454" t="str">
            <v>Adjusted Net Tangible Assets (NZ)</v>
          </cell>
          <cell r="C454" t="str">
            <v>NET_TANGIBLE_ASSETS_ADJUSTED_NZ</v>
          </cell>
          <cell r="D454" t="str">
            <v>AUD</v>
          </cell>
        </row>
        <row r="455">
          <cell r="A455" t="str">
            <v>Cash Flow Statement</v>
          </cell>
        </row>
        <row r="456">
          <cell r="B456" t="str">
            <v>Net income (pre-preferred dividends)</v>
          </cell>
          <cell r="C456" t="str">
            <v>CF_NI_PRE_PREF</v>
          </cell>
          <cell r="D456" t="str">
            <v>AUD</v>
          </cell>
          <cell r="G456">
            <v>1395</v>
          </cell>
          <cell r="H456">
            <v>1325</v>
          </cell>
          <cell r="I456">
            <v>1762</v>
          </cell>
          <cell r="J456">
            <v>1873</v>
          </cell>
          <cell r="K456">
            <v>1827</v>
          </cell>
          <cell r="L456">
            <v>1859</v>
          </cell>
          <cell r="M456">
            <v>2057</v>
          </cell>
          <cell r="N456">
            <v>2112</v>
          </cell>
          <cell r="O456">
            <v>2408.2340230570221</v>
          </cell>
          <cell r="P456">
            <v>2611.4416919343175</v>
          </cell>
          <cell r="Q456">
            <v>2766.0255860924699</v>
          </cell>
          <cell r="R456">
            <v>2886.4354561100017</v>
          </cell>
          <cell r="S456">
            <v>3009.227175497525</v>
          </cell>
          <cell r="W456">
            <v>779</v>
          </cell>
          <cell r="X456">
            <v>616</v>
          </cell>
          <cell r="Y456">
            <v>722</v>
          </cell>
          <cell r="Z456">
            <v>603</v>
          </cell>
          <cell r="AA456">
            <v>910</v>
          </cell>
          <cell r="AB456">
            <v>852</v>
          </cell>
          <cell r="AC456">
            <v>1020</v>
          </cell>
          <cell r="AD456">
            <v>853</v>
          </cell>
          <cell r="AE456">
            <v>963</v>
          </cell>
          <cell r="AF456">
            <v>864</v>
          </cell>
          <cell r="AG456">
            <v>1058</v>
          </cell>
          <cell r="AH456">
            <v>801</v>
          </cell>
          <cell r="AI456">
            <v>1064</v>
          </cell>
          <cell r="AJ456">
            <v>993</v>
          </cell>
          <cell r="AK456">
            <v>1117</v>
          </cell>
          <cell r="AL456">
            <v>995</v>
          </cell>
          <cell r="AM456">
            <v>0</v>
          </cell>
          <cell r="AN456">
            <v>0</v>
          </cell>
        </row>
        <row r="457">
          <cell r="A457" t="str">
            <v>ANZ Cash Flow Statement</v>
          </cell>
        </row>
        <row r="458">
          <cell r="B458" t="str">
            <v>Operating Cash Flow Per Share (NZ)</v>
          </cell>
          <cell r="C458" t="str">
            <v>CF_OPS_SHARE_NZ</v>
          </cell>
          <cell r="D458" t="str">
            <v>AUD</v>
          </cell>
        </row>
        <row r="459">
          <cell r="A459" t="str">
            <v>Additional Cash Flow Items</v>
          </cell>
        </row>
        <row r="460">
          <cell r="B460" t="str">
            <v>DCF</v>
          </cell>
          <cell r="C460" t="str">
            <v>DCF_CASH_FLOW</v>
          </cell>
          <cell r="D460" t="str">
            <v>AUD</v>
          </cell>
        </row>
        <row r="461">
          <cell r="A461" t="str">
            <v>Other Items</v>
          </cell>
        </row>
        <row r="462">
          <cell r="B462" t="str">
            <v>Beta</v>
          </cell>
          <cell r="C462" t="str">
            <v>BETA_ANALYST</v>
          </cell>
        </row>
        <row r="463">
          <cell r="B463" t="str">
            <v>Market equity risk premium</v>
          </cell>
          <cell r="C463" t="str">
            <v>MKT_EQ_RISK_PREM</v>
          </cell>
        </row>
        <row r="464">
          <cell r="B464" t="str">
            <v>Risk-free rate</v>
          </cell>
          <cell r="C464" t="str">
            <v>RISK_FR_RATE</v>
          </cell>
        </row>
        <row r="465">
          <cell r="A465" t="str">
            <v>ANZ Other Items</v>
          </cell>
        </row>
        <row r="466">
          <cell r="B466" t="str">
            <v>Present Value Of Benefits From Tax Losses</v>
          </cell>
          <cell r="C466" t="str">
            <v>BENEFITS_TAX_LOSSES</v>
          </cell>
          <cell r="D466" t="str">
            <v>AUD</v>
          </cell>
        </row>
        <row r="467">
          <cell r="B467" t="str">
            <v>Tax Rate</v>
          </cell>
          <cell r="C467" t="str">
            <v>TAX_RATE_DCF</v>
          </cell>
        </row>
        <row r="468">
          <cell r="B468" t="str">
            <v>WACC</v>
          </cell>
          <cell r="C468" t="str">
            <v>WACC_DCF</v>
          </cell>
        </row>
        <row r="469">
          <cell r="B469" t="str">
            <v>Standard Free Operating Cash Flow</v>
          </cell>
          <cell r="C469" t="str">
            <v>STD_FREE_OP_CASH_FLOW_DCF</v>
          </cell>
          <cell r="D469" t="str">
            <v>AUD</v>
          </cell>
        </row>
        <row r="470">
          <cell r="B470" t="str">
            <v>Net Operating Profit After Tax (NOPAT)</v>
          </cell>
          <cell r="C470" t="str">
            <v>NOPAT</v>
          </cell>
          <cell r="D470" t="str">
            <v>AUD</v>
          </cell>
        </row>
        <row r="471">
          <cell r="B471" t="str">
            <v>Return on Capital Employed (ROCE)</v>
          </cell>
          <cell r="C471" t="str">
            <v>ROCE_ANZ</v>
          </cell>
        </row>
      </sheetData>
    </sheetDataSet>
  </externalBook>
</externalLink>
</file>

<file path=xl/persons/person.xml><?xml version="1.0" encoding="utf-8"?>
<personList xmlns="http://schemas.microsoft.com/office/spreadsheetml/2018/threadedcomments" xmlns:x="http://schemas.openxmlformats.org/spreadsheetml/2006/main">
  <person displayName="Haidar, Rayanne [GIR]" id="{B2034682-33FE-4AFF-ACED-473B588CC71B}" userId="S::haidar@firmwide.corp.gs.com::ad8b7b2a-2cf6-4320-b000-f0a2aae2eb35" providerId="AD"/>
  <person displayName="Marks, Peter J [GIR]" id="{A4F78F5F-59E3-4BDB-8A5E-5B14F380279F}" userId="S::marksp@firmwide.corp.gs.com::a3fd3642-93c9-46e7-a52b-63ac80f178b7" providerId="AD"/>
</personList>
</file>

<file path=xl/theme/theme1.xml><?xml version="1.0" encoding="utf-8"?>
<a:theme xmlns:a="http://schemas.openxmlformats.org/drawingml/2006/main" name="Office Theme">
  <a:themeElements>
    <a:clrScheme name="GIR Exhibits">
      <a:dk1>
        <a:srgbClr val="000000"/>
      </a:dk1>
      <a:lt1>
        <a:sysClr val="window" lastClr="FFFFFF"/>
      </a:lt1>
      <a:dk2>
        <a:srgbClr val="BE3232"/>
      </a:dk2>
      <a:lt2>
        <a:srgbClr val="F67F26"/>
      </a:lt2>
      <a:accent1>
        <a:srgbClr val="00355F"/>
      </a:accent1>
      <a:accent2>
        <a:srgbClr val="ACD4F1"/>
      </a:accent2>
      <a:accent3>
        <a:srgbClr val="A5A5A5"/>
      </a:accent3>
      <a:accent4>
        <a:srgbClr val="7399C6"/>
      </a:accent4>
      <a:accent5>
        <a:srgbClr val="078549"/>
      </a:accent5>
      <a:accent6>
        <a:srgbClr val="8BC346"/>
      </a:accent6>
      <a:hlink>
        <a:srgbClr val="7399C6"/>
      </a:hlink>
      <a:folHlink>
        <a:srgbClr val="A5A5A5"/>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L13" dT="2025-10-31T23:15:43.72" personId="{A4F78F5F-59E3-4BDB-8A5E-5B14F380279F}" id="{E87640A1-1788-4944-BD3B-798FF3980B87}">
    <text xml:space="preserve"> </text>
  </threadedComment>
  <threadedComment ref="L13" dT="2025-11-02T21:16:48.89" personId="{B2034682-33FE-4AFF-ACED-473B588CC71B}" id="{596A21BE-0661-4DBC-B0CD-A124F5AFABE9}" parentId="{E87640A1-1788-4944-BD3B-798FF3980B87}">
    <text xml:space="preserve">Other comprises Quantium as well as various support functions, including property and overhead costs and the Group’s share of profit or loss of investments accounted for using the equity method </text>
  </threadedComment>
  <threadedComment ref="R24" dT="2025-10-30T09:30:12.51" personId="{B2034682-33FE-4AFF-ACED-473B588CC71B}" id="{0A7AA382-FE77-4F29-B895-4EBFCFB7C2B9}">
    <text>Trading EBIT 8.1
Reported EBIT -27.2</text>
  </threadedComment>
  <threadedComment ref="L25" dT="2025-11-09T22:07:34.14" personId="{B2034682-33FE-4AFF-ACED-473B588CC71B}" id="{2CF038C2-9650-4BC9-878D-69A5C826AAEC}">
    <text xml:space="preserve">In F26, Other costs are expected to be approximately $240 million reflecting lower property gains and a rebuild of incentives. </text>
  </threadedComment>
  <threadedComment ref="K26" dT="2025-11-04T22:42:54.38" personId="{B2034682-33FE-4AFF-ACED-473B588CC71B}" id="{50969D38-A3DB-40F4-AD3E-6AA020DDE5AD}">
    <text>1H25 EBIT Restated in 1Q26 Announcement</text>
  </threadedComment>
  <threadedComment ref="AH26" dT="2025-11-04T22:41:34.76" personId="{B2034682-33FE-4AFF-ACED-473B588CC71B}" id="{8B3D6162-0385-43B6-B725-4AB6A12913F2}">
    <text>1H25 EBIT Restated in 1Q26 Announcement</text>
  </threadedComment>
  <threadedComment ref="L58" dT="2025-11-05T05:09:55.16" personId="{A4F78F5F-59E3-4BDB-8A5E-5B14F380279F}" id="{A822A8F3-448F-44BD-BF79-3652D60D8161}">
    <text>FY26 Aus Food EBIT growth: mid to high single digit</text>
  </threadedComment>
  <threadedComment ref="M60" dT="2025-11-05T05:27:44.01" personId="{A4F78F5F-59E3-4BDB-8A5E-5B14F380279F}" id="{C124CAE1-3875-4877-8B3E-D5AAE71F92D6}">
    <text>Financial aspiration from strategy update: Woolworths Retail EBIT growth &gt; sales and sales growth from Woolworths retail in line or above market. I.e. margin expansion</text>
  </threadedComment>
  <threadedComment ref="L75" dT="2025-11-05T02:25:12.79" personId="{A4F78F5F-59E3-4BDB-8A5E-5B14F380279F}" id="{6D9AA26D-7646-4AAD-BD64-E0FC5BAA9CCC}">
    <text>Medium term annual target (net) 10-20 WOW full range Supermarkets + 0-5 metros</text>
  </threadedComment>
  <threadedComment ref="AJ75" dT="2025-11-05T02:25:38.70" personId="{A4F78F5F-59E3-4BDB-8A5E-5B14F380279F}" id="{18AE9B7A-F091-43E2-954C-5A75D02ABF6A}">
    <text>Net 3 in 1Q26</text>
  </threadedComment>
  <threadedComment ref="L143" dT="2025-11-05T05:03:58.55" personId="{A4F78F5F-59E3-4BDB-8A5E-5B14F380279F}" id="{D924374A-E1A8-409E-9371-2B9242F14CC2}">
    <text>FY25 result guidance: In New Zealand Food, our transformation will continue and we expect further improvement in our financial performance in FY26. i.e. profit growth</text>
  </threadedComment>
  <threadedComment ref="AJ143" dT="2025-11-05T05:03:58.55" personId="{A4F78F5F-59E3-4BDB-8A5E-5B14F380279F}" id="{0E3D1816-E8E0-4310-907C-68C244C351F5}">
    <text>FY25 result guidance: In New Zealand Food, our transformation will continue and we expect further improvement in our financial performance in FY26. i.e. profit growth</text>
  </threadedComment>
  <threadedComment ref="L161" dT="2025-11-05T02:23:53.51" personId="{A4F78F5F-59E3-4BDB-8A5E-5B14F380279F}" id="{372AE614-C525-497B-A46C-21ABEB652E25}">
    <text>Medium term annual target (net) 2-4</text>
  </threadedComment>
  <threadedComment ref="AJ161" dT="2025-11-05T02:25:54.48" personId="{A4F78F5F-59E3-4BDB-8A5E-5B14F380279F}" id="{9E970C7F-C3BB-4A20-9BB2-3382CE23E078}">
    <text>Net zero in 1Q26</text>
  </threadedComment>
  <threadedComment ref="AI194" dT="2025-11-04T23:04:10.81" personId="{B2034682-33FE-4AFF-ACED-473B588CC71B}" id="{9E93DB88-26C2-4F0C-B576-8FB0A4F15FE7}">
    <text>1H25 Sales Restated. WOW did not disclose W Living breakdown</text>
  </threadedComment>
  <threadedComment ref="L204" dT="2025-12-19T03:21:41.17" personId="{B2034682-33FE-4AFF-ACED-473B588CC71B}" id="{A3BD0158-371A-4598-B877-B61FA89B8CD4}">
    <text>Assumes 3 months of MyDeal losses pre closure in from Sep 25</text>
  </threadedComment>
  <threadedComment ref="AJ253" dT="2025-11-05T02:28:16.20" personId="{A4F78F5F-59E3-4BDB-8A5E-5B14F380279F}" id="{0DA64EFA-CFA0-4899-A921-90BD93793517}">
    <text>Net 0 in 1Q26</text>
  </threadedComment>
  <threadedComment ref="B281" dT="2025-11-05T04:31:29.98" personId="{A4F78F5F-59E3-4BDB-8A5E-5B14F380279F}" id="{F9A33C3C-1384-436D-A51D-65C249753759}">
    <text>Excludes vets</text>
  </threadedComment>
  <threadedComment ref="K281" dT="2025-11-05T04:31:19.45" personId="{A4F78F5F-59E3-4BDB-8A5E-5B14F380279F}" id="{5398640B-0097-494A-A202-1757AB57CD72}">
    <text>Excludes Vets</text>
  </threadedComment>
  <threadedComment ref="L282" dT="2025-11-05T04:29:27.57" personId="{A4F78F5F-59E3-4BDB-8A5E-5B14F380279F}" id="{06EF6EED-8B74-4FA0-BF7A-AE7458EEA402}">
    <text>Medium term annual target (net) 10-20</text>
  </threadedComment>
  <threadedComment ref="L308" dT="2025-11-14T06:44:36.32" personId="{A4F78F5F-59E3-4BDB-8A5E-5B14F380279F}" id="{F590DC0B-B067-4C4D-8E5C-6230BB3D725C}">
    <text>Assume Mydeal losing ~$30m in line with FY24, ceased from 30 September</text>
  </threadedComment>
  <threadedComment ref="L332" dT="2025-10-31T23:15:43.72" personId="{A4F78F5F-59E3-4BDB-8A5E-5B14F380279F}" id="{2C5B2DCB-257E-40CD-9776-86FBF9B870B5}">
    <text xml:space="preserve"> </text>
  </threadedComment>
  <threadedComment ref="L332" dT="2025-11-02T21:16:48.89" personId="{B2034682-33FE-4AFF-ACED-473B588CC71B}" id="{442A399C-D5E2-4C6E-A99E-59C6459C0BA3}" parentId="{2C5B2DCB-257E-40CD-9776-86FBF9B870B5}">
    <text xml:space="preserve">Other comprises Quantium as well as various support functions, including property and overhead costs and the Group’s share of profit or loss of investments accounted for using the equity method </text>
  </threadedComment>
  <threadedComment ref="L337" dT="2025-11-09T22:07:34.14" personId="{B2034682-33FE-4AFF-ACED-473B588CC71B}" id="{A27234DB-68CA-461A-9588-5129CC22E896}">
    <text xml:space="preserve">In F26, Other costs are expected to be approximately $240 million reflecting lower property gains and a rebuild of incentives. </text>
  </threadedComment>
  <threadedComment ref="K383" dT="2025-11-06T01:30:31.22" personId="{A4F78F5F-59E3-4BDB-8A5E-5B14F380279F}" id="{DA31402D-2DC7-4A53-8FD1-CDEF40C21D84}">
    <text>Assumes 1% of sales impact</text>
  </threadedComment>
  <threadedComment ref="K385" dT="2025-11-06T01:31:29.64" personId="{A4F78F5F-59E3-4BDB-8A5E-5B14F380279F}" id="{87E6E0F8-2664-4893-8FF2-346125FCAFF6}">
    <text>Big W + assumed 1% of sales impact for Petstock</text>
  </threadedComment>
</ThreadedComments>
</file>

<file path=xl/threadedComments/threadedComment2.xml><?xml version="1.0" encoding="utf-8"?>
<ThreadedComments xmlns="http://schemas.microsoft.com/office/spreadsheetml/2018/threadedcomments" xmlns:x="http://schemas.openxmlformats.org/spreadsheetml/2006/main">
  <threadedComment ref="G35" dT="2026-01-09T06:26:03.04" personId="{B2034682-33FE-4AFF-ACED-473B588CC71B}" id="{23A06957-3487-4734-A17B-DA77BA3C38FD}">
    <text>Ex EDV, FY21 Annual Report</text>
  </threadedComment>
  <threadedComment ref="AH36" dT="2025-11-05T02:52:03.38" personId="{A4F78F5F-59E3-4BDB-8A5E-5B14F380279F}" id="{A67B5FFA-8542-4F45-BC6E-BD97FE88F870}">
    <text>Uses cash flow statement net finance costs paid on borrowings</text>
  </threadedComment>
  <threadedComment ref="K72" dT="2025-11-01T00:39:28.37" personId="{A4F78F5F-59E3-4BDB-8A5E-5B14F380279F}" id="{CEF82D38-CBAB-47AC-9731-A7495ADB2272}">
    <text>Is this right?</text>
  </threadedComment>
  <threadedComment ref="K72" dT="2025-11-01T00:51:46.92" personId="{A4F78F5F-59E3-4BDB-8A5E-5B14F380279F}" id="{B000CCEF-8F02-48E8-B2CC-1990213E4040}" parentId="{CEF82D38-CBAB-47AC-9731-A7495ADB2272}">
    <text>Looks like either the stat EBIT or stat PBT is incorrect for the last few years?</text>
  </threadedComment>
</ThreadedComments>
</file>

<file path=xl/threadedComments/threadedComment3.xml><?xml version="1.0" encoding="utf-8"?>
<ThreadedComments xmlns="http://schemas.microsoft.com/office/spreadsheetml/2018/threadedcomments" xmlns:x="http://schemas.openxmlformats.org/spreadsheetml/2006/main">
  <threadedComment ref="K23" dT="2025-11-06T07:16:10.32" personId="{A4F78F5F-59E3-4BDB-8A5E-5B14F380279F}" id="{CB58414F-DCA8-4EAB-82C7-098527A6FC20}">
    <text>Remaining EDV stake proceeds</text>
  </threadedComment>
  <threadedComment ref="N24" dT="2025-11-05T04:33:38.48" personId="{A4F78F5F-59E3-4BDB-8A5E-5B14F380279F}" id="{C3E1BCCA-572B-4B47-82DB-63F91B46AAF7}">
    <text xml:space="preserve">Need to add in payments for Pets put options </text>
  </threadedComment>
</ThreadedComments>
</file>

<file path=xl/threadedComments/threadedComment4.xml><?xml version="1.0" encoding="utf-8"?>
<ThreadedComments xmlns="http://schemas.microsoft.com/office/spreadsheetml/2018/threadedcomments" xmlns:x="http://schemas.openxmlformats.org/spreadsheetml/2006/main">
  <threadedComment ref="AI12" dT="2025-10-31T21:11:03.77" personId="{B2034682-33FE-4AFF-ACED-473B588CC71B}" id="{A9C0A6BA-E978-4A09-A5AB-76E887696A40}">
    <text>1Q25 Restated to reflect everyday market and healthylife moving to Aus Food</text>
  </threadedComment>
  <threadedComment ref="AM16" dT="2025-11-05T04:56:19.28" personId="{A4F78F5F-59E3-4BDB-8A5E-5B14F380279F}" id="{62E52BE9-1FBF-4B03-8F44-5A1EF7531B57}">
    <text>Sales benefitted from the alignment of retail calendars in PFD which moved to a 14-week quarter from a 13-week quarter. Exc this benefit sales increased 2.2%</text>
  </threadedComment>
  <threadedComment ref="AJ24" dT="2025-11-05T02:07:07.71" personId="{A4F78F5F-59E3-4BDB-8A5E-5B14F380279F}" id="{CDDC801A-340C-482D-B69E-D9C1190BA510}">
    <text>The estimated impact to sales from the industrial action is approximately $240 million (including eCommerce). - from Feb 2025 result</text>
  </threadedComment>
  <threadedComment ref="AJ24" dT="2025-11-05T02:07:34.50" personId="{A4F78F5F-59E3-4BDB-8A5E-5B14F380279F}" id="{7F407669-81B3-438C-80F5-B30D38E1CF03}" parentId="{CDDC801A-340C-482D-B69E-D9C1190BA510}">
    <text>=1.9% drag</text>
  </threadedComment>
  <threadedComment ref="AN24" dT="2025-11-05T02:03:37.84" personId="{A4F78F5F-59E3-4BDB-8A5E-5B14F380279F}" id="{6DF58096-A5DA-4536-A4BC-F9075DF89065}">
    <text>Woolworths Food Retail sales in Q2 to date have increased by 3.2% (5.0% ex. Tobacco)</text>
  </threadedComment>
  <threadedComment ref="AN24" dT="2025-11-05T02:12:03.01" personId="{A4F78F5F-59E3-4BDB-8A5E-5B14F380279F}" id="{7C78C758-EED1-45A6-9FD2-94A9F6832719}" parentId="{6DF58096-A5DA-4536-A4BC-F9075DF89065}">
    <text>The industrial action was a $240m impact. Assume they get ~90% back</text>
  </threadedComment>
  <threadedComment ref="BM24" dT="2025-11-01T00:53:57.99" personId="{A4F78F5F-59E3-4BDB-8A5E-5B14F380279F}" id="{F3841FEB-F776-4EDE-9888-A99F25DA1F3B}">
    <text>I think all these should be calcs rather than averages (i..e 2H25 / 2H24 -1 %)</text>
  </threadedComment>
  <threadedComment ref="AN25" dT="2025-11-05T04:57:03.47" personId="{A4F78F5F-59E3-4BDB-8A5E-5B14F380279F}" id="{9AF3E341-9470-4D55-86CB-1AF93EC6079F}">
    <text>1Q26 underlying growth was 2.2% (6.2% included shifting to retail calendar in PFD i.e. 14 weeks vs 13)</text>
  </threadedComment>
  <threadedComment ref="AN45" dT="2025-11-05T04:54:42.85" personId="{A4F78F5F-59E3-4BDB-8A5E-5B14F380279F}" id="{B32518D3-0C8F-487B-AF98-5478658D9BD3}">
    <text>YTD October 5.0% ex tobacco (3.2% inc tobacco)</text>
  </threadedComment>
  <threadedComment ref="X65" dT="2025-11-05T07:27:41.99" personId="{B2034682-33FE-4AFF-ACED-473B588CC71B}" id="{1E60545E-59EA-4BB4-BEDC-F705CD3B267D}">
    <text>1H22 Result</text>
  </threadedComment>
  <threadedComment ref="AD65" dT="2025-11-05T07:24:46.79" personId="{B2034682-33FE-4AFF-ACED-473B588CC71B}" id="{32F6BBC3-B1EF-4CB1-B56E-E0058AD9514E}">
    <text>FY23 Result</text>
  </threadedComment>
  <threadedComment ref="AF65" dT="2025-11-05T07:23:43.23" personId="{B2034682-33FE-4AFF-ACED-473B588CC71B}" id="{D69D1532-910A-4F6F-9933-35F2DBEB0D10}">
    <text>1H24 Result</text>
  </threadedComment>
  <threadedComment ref="AH65" dT="2025-11-05T07:22:40.04" personId="{B2034682-33FE-4AFF-ACED-473B588CC71B}" id="{181DC137-D88A-406B-B49B-FDEBF60CA91D}">
    <text>FY24 Result</text>
  </threadedComment>
  <threadedComment ref="AJ65" dT="2025-11-05T07:18:54.92" personId="{B2034682-33FE-4AFF-ACED-473B588CC71B}" id="{01295797-1238-44C6-A7F1-A0109E00BE00}">
    <text>1H25 Result</text>
  </threadedComment>
  <threadedComment ref="AI70" dT="2025-10-31T21:18:13.19" personId="{B2034682-33FE-4AFF-ACED-473B588CC71B}" id="{32005A3B-6B2B-4343-B813-DF925AE7C44B}">
    <text>Restated in 1q26</text>
  </threadedComment>
  <threadedComment ref="AM76" dT="2025-10-31T21:32:39.59" personId="{B2034682-33FE-4AFF-ACED-473B588CC71B}" id="{73D8AABB-6842-42A3-ADB5-9A43C501E1A3}">
    <text>Changed disclosure methodology</text>
  </threadedComment>
  <threadedComment ref="AM106" dT="2025-10-31T21:32:39.59" personId="{B2034682-33FE-4AFF-ACED-473B588CC71B}" id="{A0DD77D2-32BC-4857-BD9C-332B1334F3A5}">
    <text>Changed disclosure methodology</text>
  </threadedComment>
  <threadedComment ref="AM119" dT="2025-10-31T21:32:39.59" personId="{B2034682-33FE-4AFF-ACED-473B588CC71B}" id="{4C8EB20B-837D-4393-B009-2F0B7D7D0150}">
    <text>Changed disclosure methodology</text>
  </threadedComment>
  <threadedComment ref="AI126" dT="2025-11-05T00:14:39.17" personId="{A4F78F5F-59E3-4BDB-8A5E-5B14F380279F}" id="{9D4F37BF-B5EF-4A28-ACE3-577D92998495}">
    <text xml:space="preserve">Restated from 1377 to reflect Everyday market and Healthylife moving to Aus Food from W Living </text>
  </threadedComment>
</ThreadedComments>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1">
    <wetp:webextensionref xmlns:r="http://schemas.openxmlformats.org/officeDocument/2006/relationships" r:id="rId1"/>
  </wetp:taskpane>
</wetp:taskpanes>
</file>

<file path=xl/webextensions/webextension1.xml><?xml version="1.0" encoding="utf-8"?>
<we:webextension xmlns:we="http://schemas.microsoft.com/office/webextensions/webextension/2010/11" id="{2E19F0C1-4BF0-4CD6-81DE-82A8AC7E5D26}">
  <we:reference id="49825c50-e8d8-4c4a-9a2c-e6f24181e018" version="1.0.0.0" store="EXCatalog" storeType="EXCatalog"/>
  <we:alternateReferences/>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3" Type="http://schemas.openxmlformats.org/officeDocument/2006/relationships/customProperty" Target="../customProperty3.bin"/><Relationship Id="rId2" Type="http://schemas.openxmlformats.org/officeDocument/2006/relationships/customProperty" Target="../customProperty2.bin"/><Relationship Id="rId1" Type="http://schemas.openxmlformats.org/officeDocument/2006/relationships/customProperty" Target="../customProperty1.bin"/><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customProperty" Target="../customProperty5.bin"/><Relationship Id="rId2" Type="http://schemas.openxmlformats.org/officeDocument/2006/relationships/customProperty" Target="../customProperty4.bin"/><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customProperty" Target="../customProperty7.bin"/><Relationship Id="rId2" Type="http://schemas.openxmlformats.org/officeDocument/2006/relationships/customProperty" Target="../customProperty6.bin"/><Relationship Id="rId1" Type="http://schemas.openxmlformats.org/officeDocument/2006/relationships/printerSettings" Target="../printerSettings/printerSettings2.bin"/><Relationship Id="rId6" Type="http://schemas.microsoft.com/office/2017/10/relationships/threadedComment" Target="../threadedComments/threadedComment1.xml"/><Relationship Id="rId5" Type="http://schemas.openxmlformats.org/officeDocument/2006/relationships/comments" Target="../comments1.xml"/><Relationship Id="rId4"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customProperty" Target="../customProperty9.bin"/><Relationship Id="rId1" Type="http://schemas.openxmlformats.org/officeDocument/2006/relationships/customProperty" Target="../customProperty8.bin"/><Relationship Id="rId5" Type="http://schemas.microsoft.com/office/2017/10/relationships/threadedComment" Target="../threadedComments/threadedComment2.xml"/><Relationship Id="rId4" Type="http://schemas.openxmlformats.org/officeDocument/2006/relationships/comments" Target="../comments2.xml"/></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customProperty" Target="../customProperty11.bin"/><Relationship Id="rId1" Type="http://schemas.openxmlformats.org/officeDocument/2006/relationships/customProperty" Target="../customProperty10.bin"/><Relationship Id="rId5" Type="http://schemas.microsoft.com/office/2017/10/relationships/threadedComment" Target="../threadedComments/threadedComment3.xml"/><Relationship Id="rId4" Type="http://schemas.openxmlformats.org/officeDocument/2006/relationships/comments" Target="../comments3.xml"/></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customProperty" Target="../customProperty13.bin"/><Relationship Id="rId1" Type="http://schemas.openxmlformats.org/officeDocument/2006/relationships/customProperty" Target="../customProperty12.bin"/><Relationship Id="rId4" Type="http://schemas.openxmlformats.org/officeDocument/2006/relationships/comments" Target="../comments4.xml"/></Relationships>
</file>

<file path=xl/worksheets/_rels/sheet7.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customProperty" Target="../customProperty14.bin"/><Relationship Id="rId1" Type="http://schemas.openxmlformats.org/officeDocument/2006/relationships/printerSettings" Target="../printerSettings/printerSettings3.bin"/><Relationship Id="rId6" Type="http://schemas.microsoft.com/office/2017/10/relationships/threadedComment" Target="../threadedComments/threadedComment4.xml"/><Relationship Id="rId5" Type="http://schemas.openxmlformats.org/officeDocument/2006/relationships/comments" Target="../comments5.xml"/><Relationship Id="rId4" Type="http://schemas.openxmlformats.org/officeDocument/2006/relationships/vmlDrawing" Target="../drawings/vmlDrawing5.vml"/></Relationships>
</file>

<file path=xl/worksheets/_rels/sheet8.xml.rels><?xml version="1.0" encoding="UTF-8" standalone="yes"?>
<Relationships xmlns="http://schemas.openxmlformats.org/package/2006/relationships"><Relationship Id="rId3" Type="http://schemas.openxmlformats.org/officeDocument/2006/relationships/customProperty" Target="../customProperty16.bin"/><Relationship Id="rId2" Type="http://schemas.openxmlformats.org/officeDocument/2006/relationships/customProperty" Target="../customProperty15.bin"/><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099D55-7915-4D16-B2FF-9E5F01E5268D}">
  <sheetPr>
    <tabColor theme="4"/>
  </sheetPr>
  <dimension ref="A1:J23"/>
  <sheetViews>
    <sheetView tabSelected="1" workbookViewId="0">
      <selection activeCell="D7" sqref="D7"/>
    </sheetView>
  </sheetViews>
  <sheetFormatPr defaultColWidth="0" defaultRowHeight="12.75" zeroHeight="1"/>
  <cols>
    <col min="1" max="1" width="4.5703125" style="332" customWidth="1"/>
    <col min="2" max="2" width="72" style="332" customWidth="1"/>
    <col min="3" max="3" width="27.42578125" style="332" customWidth="1"/>
    <col min="4" max="9" width="9.140625" style="332" customWidth="1"/>
    <col min="10" max="10" width="3.5703125" style="332" customWidth="1"/>
    <col min="11" max="16384" width="9.140625" style="332" hidden="1"/>
  </cols>
  <sheetData>
    <row r="1" spans="1:10" s="11" customFormat="1" ht="60.75" customHeight="1">
      <c r="A1" s="164"/>
      <c r="B1" s="164"/>
      <c r="C1" s="12"/>
      <c r="D1" s="164"/>
      <c r="E1" s="164"/>
      <c r="F1" s="164"/>
      <c r="G1" s="164"/>
      <c r="H1" s="164"/>
      <c r="I1" s="164"/>
      <c r="J1" s="323"/>
    </row>
    <row r="2" spans="1:10" s="11" customFormat="1" ht="43.5" customHeight="1">
      <c r="A2" s="164"/>
      <c r="B2" s="164"/>
      <c r="C2" s="164"/>
      <c r="D2" s="164"/>
      <c r="E2" s="164"/>
      <c r="F2" s="164"/>
      <c r="G2" s="164"/>
      <c r="H2" s="164"/>
      <c r="I2" s="164"/>
      <c r="J2" s="323"/>
    </row>
    <row r="3" spans="1:10" s="11" customFormat="1" ht="18" customHeight="1">
      <c r="A3" s="164"/>
      <c r="B3" s="12"/>
      <c r="C3" s="13"/>
      <c r="D3" s="13"/>
      <c r="E3" s="13"/>
      <c r="F3" s="13"/>
      <c r="G3" s="13"/>
      <c r="H3" s="13"/>
      <c r="I3" s="13"/>
      <c r="J3" s="323"/>
    </row>
    <row r="4" spans="1:10" s="323" customFormat="1" ht="7.5" customHeight="1"/>
    <row r="5" spans="1:10" s="11" customFormat="1" ht="18" customHeight="1">
      <c r="A5" s="333"/>
      <c r="B5" s="461" t="s">
        <v>226</v>
      </c>
      <c r="C5" s="461"/>
      <c r="D5" s="461"/>
      <c r="E5" s="461"/>
      <c r="F5" s="461"/>
      <c r="G5" s="461"/>
      <c r="H5" s="461"/>
      <c r="I5" s="461"/>
      <c r="J5" s="323"/>
    </row>
    <row r="6" spans="1:10" s="323" customFormat="1" ht="18.75" customHeight="1">
      <c r="B6" s="324" t="s">
        <v>227</v>
      </c>
      <c r="C6" s="325" t="s">
        <v>572</v>
      </c>
    </row>
    <row r="7" spans="1:10" s="323" customFormat="1" ht="18.75" customHeight="1">
      <c r="B7" s="324" t="s">
        <v>228</v>
      </c>
      <c r="C7" s="326" t="s">
        <v>576</v>
      </c>
    </row>
    <row r="8" spans="1:10" s="323" customFormat="1" ht="18.75" customHeight="1">
      <c r="B8" s="324" t="s">
        <v>229</v>
      </c>
      <c r="C8" s="327">
        <v>3</v>
      </c>
    </row>
    <row r="9" spans="1:10" s="323" customFormat="1" ht="18.75" customHeight="1">
      <c r="B9" s="324" t="s">
        <v>237</v>
      </c>
      <c r="C9" s="328"/>
      <c r="E9" s="329"/>
    </row>
    <row r="10" spans="1:10" s="323" customFormat="1" ht="18.75" customHeight="1">
      <c r="B10" s="324" t="s">
        <v>230</v>
      </c>
      <c r="C10" s="328"/>
    </row>
    <row r="11" spans="1:10" s="323" customFormat="1" ht="18.75" customHeight="1">
      <c r="B11" s="324" t="s">
        <v>231</v>
      </c>
      <c r="C11" s="325" t="s">
        <v>232</v>
      </c>
    </row>
    <row r="12" spans="1:10" s="323" customFormat="1" ht="18.75" customHeight="1">
      <c r="B12" s="324" t="s">
        <v>233</v>
      </c>
      <c r="C12" s="325">
        <v>46066</v>
      </c>
    </row>
    <row r="13" spans="1:10" s="323" customFormat="1" ht="18.75" customHeight="1">
      <c r="B13" s="324" t="s">
        <v>234</v>
      </c>
      <c r="C13" s="325"/>
    </row>
    <row r="14" spans="1:10" s="323" customFormat="1" ht="5.0999999999999996" customHeight="1"/>
    <row r="15" spans="1:10" s="11" customFormat="1" ht="18" customHeight="1">
      <c r="A15" s="333"/>
      <c r="B15" s="461" t="s">
        <v>235</v>
      </c>
      <c r="C15" s="461"/>
      <c r="D15" s="461"/>
      <c r="E15" s="461"/>
      <c r="F15" s="461"/>
      <c r="G15" s="461"/>
      <c r="H15" s="461"/>
      <c r="I15" s="461"/>
      <c r="J15" s="323"/>
    </row>
    <row r="16" spans="1:10" s="323" customFormat="1" ht="18.75" customHeight="1">
      <c r="B16" s="330" t="s">
        <v>238</v>
      </c>
    </row>
    <row r="17" spans="2:2" s="323" customFormat="1" ht="18.75" customHeight="1">
      <c r="B17" s="331" t="s">
        <v>369</v>
      </c>
    </row>
    <row r="18" spans="2:2" s="323" customFormat="1" ht="18.75" customHeight="1">
      <c r="B18" s="330" t="s">
        <v>370</v>
      </c>
    </row>
    <row r="19" spans="2:2" s="323" customFormat="1" ht="18.75" customHeight="1">
      <c r="B19" s="331" t="s">
        <v>371</v>
      </c>
    </row>
    <row r="20" spans="2:2" s="323" customFormat="1" ht="18.75" customHeight="1">
      <c r="B20" s="330" t="s">
        <v>370</v>
      </c>
    </row>
    <row r="21" spans="2:2" s="323" customFormat="1" ht="18.75" customHeight="1">
      <c r="B21" s="331" t="s">
        <v>236</v>
      </c>
    </row>
    <row r="22" spans="2:2" s="323" customFormat="1" ht="18" customHeight="1">
      <c r="B22" s="331"/>
    </row>
    <row r="23" spans="2:2" s="323" customFormat="1" ht="18" hidden="1" customHeight="1"/>
  </sheetData>
  <mergeCells count="2">
    <mergeCell ref="B5:I5"/>
    <mergeCell ref="B15:I15"/>
  </mergeCells>
  <pageMargins left="0.7" right="0.7" top="0.75" bottom="0.75" header="0.3" footer="0.3"/>
  <customProperties>
    <customPr name="Qube.Worksheet.ID" r:id="rId1"/>
    <customPr name="Qube.Worksheet.Visibility" r:id="rId2"/>
    <customPr name="QXL_SHEET_ID" r:id="rId3"/>
  </customProperties>
  <drawing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685F28-F453-41B5-BD49-6E699BB476F3}">
  <sheetPr>
    <tabColor theme="7" tint="0.59999389629810485"/>
    <pageSetUpPr fitToPage="1"/>
  </sheetPr>
  <dimension ref="A1:W60"/>
  <sheetViews>
    <sheetView showGridLines="0" topLeftCell="C1" zoomScale="55" zoomScaleNormal="55" workbookViewId="0">
      <selection activeCell="T30" sqref="T30"/>
    </sheetView>
  </sheetViews>
  <sheetFormatPr defaultColWidth="9.140625" defaultRowHeight="12.75" outlineLevelCol="1"/>
  <cols>
    <col min="1" max="1" width="32.140625" style="6" hidden="1" customWidth="1" outlineLevel="1"/>
    <col min="2" max="2" width="12.28515625" style="6" hidden="1" customWidth="1" outlineLevel="1"/>
    <col min="3" max="3" width="7.7109375" style="6" customWidth="1" collapsed="1"/>
    <col min="4" max="4" width="42.85546875" style="15" customWidth="1"/>
    <col min="5" max="10" width="14.42578125" style="168" customWidth="1"/>
    <col min="11" max="11" width="7.5703125" style="15" customWidth="1"/>
    <col min="12" max="12" width="44.42578125" style="15" customWidth="1"/>
    <col min="13" max="18" width="14.42578125" style="168" customWidth="1"/>
    <col min="19" max="21" width="9.140625" style="6"/>
    <col min="22" max="22" width="27.5703125" style="6" customWidth="1"/>
    <col min="23" max="23" width="22.42578125" style="6" customWidth="1"/>
    <col min="24" max="16384" width="9.140625" style="6"/>
  </cols>
  <sheetData>
    <row r="1" spans="1:23" s="8" customFormat="1">
      <c r="D1" s="5" t="s">
        <v>226</v>
      </c>
      <c r="E1" s="167"/>
      <c r="F1" s="167"/>
      <c r="G1" s="167"/>
      <c r="H1" s="167"/>
      <c r="I1" s="167"/>
      <c r="J1" s="167"/>
      <c r="K1" s="145"/>
      <c r="L1" s="145"/>
      <c r="M1" s="167"/>
      <c r="N1" s="167"/>
      <c r="O1" s="167"/>
      <c r="P1" s="167"/>
      <c r="Q1" s="167"/>
      <c r="R1" s="167"/>
    </row>
    <row r="2" spans="1:23" s="8" customFormat="1">
      <c r="D2" s="145"/>
      <c r="E2" s="167"/>
      <c r="F2" s="167"/>
      <c r="G2" s="167"/>
      <c r="H2" s="167"/>
      <c r="I2" s="167"/>
      <c r="J2" s="167"/>
      <c r="K2" s="145"/>
      <c r="L2" s="145"/>
      <c r="M2" s="167"/>
      <c r="N2" s="167"/>
      <c r="O2" s="167"/>
      <c r="P2" s="167"/>
      <c r="Q2" s="167"/>
      <c r="R2" s="167"/>
    </row>
    <row r="3" spans="1:23" s="8" customFormat="1">
      <c r="D3" s="145"/>
      <c r="E3" s="167"/>
      <c r="F3" s="167"/>
      <c r="G3" s="167"/>
      <c r="H3" s="167"/>
      <c r="I3" s="167"/>
      <c r="J3" s="167"/>
      <c r="K3" s="145"/>
      <c r="L3" s="145"/>
      <c r="M3" s="167"/>
      <c r="N3" s="167"/>
      <c r="O3" s="167"/>
      <c r="P3" s="167"/>
      <c r="Q3" s="167"/>
      <c r="R3" s="167"/>
    </row>
    <row r="4" spans="1:23" s="8" customFormat="1">
      <c r="D4" s="145"/>
      <c r="E4" s="167"/>
      <c r="F4" s="167"/>
      <c r="G4" s="167"/>
      <c r="H4" s="167"/>
      <c r="I4" s="167"/>
      <c r="J4" s="167"/>
      <c r="K4" s="145"/>
      <c r="L4" s="145"/>
      <c r="M4" s="167"/>
      <c r="N4" s="167"/>
      <c r="O4" s="167"/>
      <c r="P4" s="167"/>
      <c r="Q4" s="167"/>
      <c r="R4" s="167"/>
    </row>
    <row r="6" spans="1:23" ht="35.25" customHeight="1">
      <c r="D6" s="402" t="s">
        <v>258</v>
      </c>
      <c r="E6" s="403"/>
      <c r="F6" s="403"/>
      <c r="G6" s="403"/>
      <c r="H6" s="403"/>
      <c r="I6" s="403"/>
      <c r="J6" s="403"/>
      <c r="K6" s="402"/>
      <c r="L6" s="402"/>
      <c r="M6" s="403"/>
      <c r="N6" s="403"/>
      <c r="O6" s="403"/>
      <c r="P6" s="403"/>
      <c r="Q6" s="403"/>
      <c r="R6" s="403"/>
    </row>
    <row r="7" spans="1:23" ht="12.75" customHeight="1">
      <c r="D7" s="404"/>
      <c r="E7" s="405"/>
      <c r="F7" s="405"/>
      <c r="G7" s="405"/>
      <c r="H7" s="405"/>
      <c r="I7" s="405"/>
      <c r="J7" s="405"/>
      <c r="K7" s="404"/>
      <c r="L7" s="404"/>
      <c r="M7" s="405"/>
      <c r="N7" s="405"/>
      <c r="O7" s="405"/>
      <c r="P7" s="405"/>
      <c r="Q7" s="405"/>
      <c r="R7" s="405"/>
    </row>
    <row r="8" spans="1:23" ht="35.25" customHeight="1">
      <c r="D8" s="406" t="s">
        <v>403</v>
      </c>
      <c r="E8" s="407"/>
      <c r="F8" s="408">
        <f>Valuation!E26</f>
        <v>37</v>
      </c>
      <c r="G8" s="407"/>
      <c r="H8" s="409"/>
      <c r="I8" s="409"/>
      <c r="J8" s="407"/>
      <c r="K8" s="410"/>
      <c r="L8" s="411"/>
      <c r="M8" s="409"/>
      <c r="N8" s="409"/>
      <c r="O8" s="409"/>
      <c r="P8" s="409"/>
      <c r="Q8" s="409"/>
      <c r="R8" s="409"/>
      <c r="V8" s="451"/>
      <c r="W8" s="452"/>
    </row>
    <row r="9" spans="1:23" ht="35.25" customHeight="1">
      <c r="D9" s="406" t="s">
        <v>404</v>
      </c>
      <c r="E9" s="407"/>
      <c r="F9" s="412">
        <v>31.75</v>
      </c>
      <c r="G9" s="407"/>
      <c r="H9" s="409"/>
      <c r="I9" s="409"/>
      <c r="J9" s="407"/>
      <c r="K9" s="410"/>
      <c r="L9" s="411"/>
      <c r="M9" s="409"/>
      <c r="N9" s="409"/>
      <c r="O9" s="409"/>
      <c r="P9" s="409"/>
      <c r="Q9" s="409"/>
      <c r="R9" s="409"/>
      <c r="V9" s="451"/>
      <c r="W9" s="453"/>
    </row>
    <row r="10" spans="1:23" ht="35.25" customHeight="1">
      <c r="D10" s="406" t="s">
        <v>405</v>
      </c>
      <c r="E10" s="407"/>
      <c r="F10" s="413">
        <f>F8/F9-1</f>
        <v>0.16535433070866135</v>
      </c>
      <c r="G10" s="407"/>
      <c r="H10" s="409"/>
      <c r="I10" s="409"/>
      <c r="J10" s="407"/>
      <c r="K10" s="410"/>
      <c r="L10" s="411"/>
      <c r="M10" s="409"/>
      <c r="N10" s="409"/>
      <c r="O10" s="409"/>
      <c r="P10" s="409"/>
      <c r="Q10" s="409"/>
      <c r="R10" s="409"/>
      <c r="V10" s="451"/>
      <c r="W10" s="454"/>
    </row>
    <row r="11" spans="1:23" ht="35.25" customHeight="1">
      <c r="D11" s="406" t="s">
        <v>573</v>
      </c>
      <c r="E11" s="407"/>
      <c r="F11" s="450" t="s">
        <v>574</v>
      </c>
      <c r="G11" s="407"/>
      <c r="H11" s="409"/>
      <c r="I11" s="409"/>
      <c r="J11" s="407"/>
      <c r="K11" s="410"/>
      <c r="L11" s="411"/>
      <c r="M11" s="409"/>
      <c r="N11" s="409"/>
      <c r="O11" s="409"/>
      <c r="P11" s="409"/>
      <c r="Q11" s="409"/>
      <c r="R11" s="409"/>
    </row>
    <row r="12" spans="1:23" ht="15" customHeight="1">
      <c r="D12" s="414"/>
      <c r="E12" s="415"/>
      <c r="F12" s="415"/>
      <c r="G12" s="415"/>
      <c r="H12" s="405"/>
      <c r="I12" s="405"/>
      <c r="J12" s="415"/>
      <c r="K12" s="404"/>
      <c r="L12" s="416"/>
      <c r="M12" s="405"/>
      <c r="N12" s="405"/>
      <c r="O12" s="405"/>
      <c r="P12" s="405"/>
      <c r="Q12" s="405"/>
      <c r="R12" s="405"/>
    </row>
    <row r="13" spans="1:23" ht="34.5" customHeight="1">
      <c r="A13" s="7" t="s">
        <v>431</v>
      </c>
      <c r="B13" s="7" t="s">
        <v>432</v>
      </c>
      <c r="C13" s="7"/>
      <c r="D13" s="417" t="s">
        <v>82</v>
      </c>
      <c r="E13" s="418" t="s">
        <v>14</v>
      </c>
      <c r="F13" s="418" t="s">
        <v>15</v>
      </c>
      <c r="G13" s="418" t="s">
        <v>16</v>
      </c>
      <c r="H13" s="418" t="s">
        <v>35</v>
      </c>
      <c r="I13" s="418" t="s">
        <v>36</v>
      </c>
      <c r="J13" s="418" t="s">
        <v>372</v>
      </c>
      <c r="K13" s="419"/>
      <c r="L13" s="417" t="s">
        <v>373</v>
      </c>
      <c r="M13" s="418" t="str">
        <f>E$13</f>
        <v>FY23</v>
      </c>
      <c r="N13" s="418" t="str">
        <f t="shared" ref="N13:R13" si="0">F$13</f>
        <v>FY24</v>
      </c>
      <c r="O13" s="418" t="str">
        <f t="shared" si="0"/>
        <v>FY25</v>
      </c>
      <c r="P13" s="418" t="str">
        <f t="shared" si="0"/>
        <v>FY26E</v>
      </c>
      <c r="Q13" s="418" t="str">
        <f t="shared" si="0"/>
        <v>FY27E</v>
      </c>
      <c r="R13" s="418" t="str">
        <f t="shared" si="0"/>
        <v>FY28E</v>
      </c>
    </row>
    <row r="14" spans="1:23" ht="34.5" customHeight="1">
      <c r="A14" s="24" t="s">
        <v>441</v>
      </c>
      <c r="B14" s="24" t="s">
        <v>214</v>
      </c>
      <c r="C14" s="24"/>
      <c r="D14" s="414" t="s">
        <v>0</v>
      </c>
      <c r="E14" s="415"/>
      <c r="F14" s="415"/>
      <c r="G14" s="415"/>
      <c r="H14" s="405"/>
      <c r="I14" s="405"/>
      <c r="J14" s="415"/>
      <c r="K14" s="404"/>
      <c r="L14" s="416" t="s">
        <v>374</v>
      </c>
      <c r="M14" s="420">
        <f>VLOOKUP($B14,BS!$1:$1048576,MATCH(Summary!M$13,CF!$3:$3,0),FALSE)</f>
        <v>1135</v>
      </c>
      <c r="N14" s="420">
        <f>VLOOKUP($B14,BS!$1:$1048576,MATCH(Summary!N$13,CF!$3:$3,0),FALSE)</f>
        <v>1298</v>
      </c>
      <c r="O14" s="420">
        <f>VLOOKUP($B14,BS!$1:$1048576,MATCH(Summary!O$13,CF!$3:$3,0),FALSE)</f>
        <v>1275</v>
      </c>
      <c r="P14" s="420">
        <f>VLOOKUP($B14,BS!$1:$1048576,MATCH(Summary!P$13,CF!$3:$3,0),FALSE)</f>
        <v>1379.061171635859</v>
      </c>
      <c r="Q14" s="420">
        <f>VLOOKUP($B14,BS!$1:$1048576,MATCH(Summary!Q$13,CF!$3:$3,0),FALSE)</f>
        <v>1635.9805162941911</v>
      </c>
      <c r="R14" s="420">
        <f>VLOOKUP($B14,BS!$1:$1048576,MATCH(Summary!R$13,CF!$3:$3,0),FALSE)</f>
        <v>2028.8967024460771</v>
      </c>
      <c r="W14" s="458"/>
    </row>
    <row r="15" spans="1:23" ht="34.5" customHeight="1">
      <c r="A15" s="24" t="s">
        <v>355</v>
      </c>
      <c r="B15" s="24" t="s">
        <v>419</v>
      </c>
      <c r="C15" s="24"/>
      <c r="D15" s="421" t="s">
        <v>1</v>
      </c>
      <c r="E15" s="420">
        <f>VLOOKUP($A15,Model!$1:$1048576,MATCH(Summary!E$13,Model!$3:$3,0),FALSE)</f>
        <v>48047</v>
      </c>
      <c r="F15" s="420">
        <f>VLOOKUP($A15,Model!$1:$1048576,MATCH(Summary!F$13,Model!$3:$3,0),FALSE)</f>
        <v>50823</v>
      </c>
      <c r="G15" s="420">
        <f>VLOOKUP($A15,Model!$1:$1048576,MATCH(Summary!G$13,Model!$3:$3,0),FALSE)</f>
        <v>51488</v>
      </c>
      <c r="H15" s="420">
        <f>VLOOKUP($A15,Model!$1:$1048576,MATCH(Summary!H$13,Model!$3:$3,0),FALSE)</f>
        <v>53350.775455684874</v>
      </c>
      <c r="I15" s="420">
        <f>VLOOKUP($A15,Model!$1:$1048576,MATCH(Summary!I$13,Model!$3:$3,0),FALSE)</f>
        <v>55498.19129743649</v>
      </c>
      <c r="J15" s="420">
        <f>VLOOKUP($A15,Model!$1:$1048576,MATCH(Summary!J$13,Model!$3:$3,0),FALSE)</f>
        <v>57722.425260602882</v>
      </c>
      <c r="K15" s="404"/>
      <c r="L15" s="422" t="s">
        <v>375</v>
      </c>
      <c r="M15" s="420">
        <f>VLOOKUP($B15,BS!$1:$1048576,MATCH(Summary!M$13,CF!$3:$3,0),FALSE)</f>
        <v>1016</v>
      </c>
      <c r="N15" s="420">
        <f>VLOOKUP($B15,BS!$1:$1048576,MATCH(Summary!N$13,CF!$3:$3,0),FALSE)</f>
        <v>1062</v>
      </c>
      <c r="O15" s="420">
        <f>VLOOKUP($B15,BS!$1:$1048576,MATCH(Summary!O$13,CF!$3:$3,0),FALSE)</f>
        <v>1034</v>
      </c>
      <c r="P15" s="420">
        <f>VLOOKUP($B15,BS!$1:$1048576,MATCH(Summary!P$13,CF!$3:$3,0),FALSE)</f>
        <v>1065.0714722092393</v>
      </c>
      <c r="Q15" s="420">
        <f>VLOOKUP($B15,BS!$1:$1048576,MATCH(Summary!Q$13,CF!$3:$3,0),FALSE)</f>
        <v>1107.6623496000207</v>
      </c>
      <c r="R15" s="420">
        <f>VLOOKUP($B15,BS!$1:$1048576,MATCH(Summary!R$13,CF!$3:$3,0),FALSE)</f>
        <v>1153.0636353484356</v>
      </c>
    </row>
    <row r="16" spans="1:23" ht="34.5" customHeight="1">
      <c r="A16" s="24" t="s">
        <v>406</v>
      </c>
      <c r="B16" s="24" t="s">
        <v>121</v>
      </c>
      <c r="C16" s="24"/>
      <c r="D16" s="421" t="s">
        <v>390</v>
      </c>
      <c r="E16" s="420">
        <f>VLOOKUP($A16,Model!$1:$1048576,MATCH(Summary!E$13,Model!$3:$3,0),FALSE)</f>
        <v>4324</v>
      </c>
      <c r="F16" s="420">
        <f>VLOOKUP($A16,Model!$1:$1048576,MATCH(Summary!F$13,Model!$3:$3,0),FALSE)</f>
        <v>5594</v>
      </c>
      <c r="G16" s="420">
        <f>VLOOKUP($A16,Model!$1:$1048576,MATCH(Summary!G$13,Model!$3:$3,0),FALSE)</f>
        <v>5743</v>
      </c>
      <c r="H16" s="420">
        <f>VLOOKUP($A16,Model!$1:$1048576,MATCH(Summary!H$13,Model!$3:$3,0),FALSE)</f>
        <v>5944.0049999999992</v>
      </c>
      <c r="I16" s="420">
        <f>VLOOKUP($A16,Model!$1:$1048576,MATCH(Summary!I$13,Model!$3:$3,0),FALSE)</f>
        <v>6241.2052499999991</v>
      </c>
      <c r="J16" s="420">
        <f>VLOOKUP($A16,Model!$1:$1048576,MATCH(Summary!J$13,Model!$3:$3,0),FALSE)</f>
        <v>6553.2655124999992</v>
      </c>
      <c r="K16" s="404"/>
      <c r="L16" s="422" t="s">
        <v>376</v>
      </c>
      <c r="M16" s="420">
        <f>VLOOKUP($B16,BS!$1:$1048576,MATCH(Summary!M$13,CF!$3:$3,0),FALSE)</f>
        <v>3698</v>
      </c>
      <c r="N16" s="420">
        <f>VLOOKUP($B16,BS!$1:$1048576,MATCH(Summary!N$13,CF!$3:$3,0),FALSE)</f>
        <v>4187</v>
      </c>
      <c r="O16" s="420">
        <f>VLOOKUP($B16,BS!$1:$1048576,MATCH(Summary!O$13,CF!$3:$3,0),FALSE)</f>
        <v>4169</v>
      </c>
      <c r="P16" s="420">
        <f>VLOOKUP($B16,BS!$1:$1048576,MATCH(Summary!P$13,CF!$3:$3,0),FALSE)</f>
        <v>4294.2775315670397</v>
      </c>
      <c r="Q16" s="420">
        <f>VLOOKUP($B16,BS!$1:$1048576,MATCH(Summary!Q$13,CF!$3:$3,0),FALSE)</f>
        <v>4466.0003244511472</v>
      </c>
      <c r="R16" s="420">
        <f>VLOOKUP($B16,BS!$1:$1048576,MATCH(Summary!R$13,CF!$3:$3,0),FALSE)</f>
        <v>4649.0544446495442</v>
      </c>
    </row>
    <row r="17" spans="1:18" ht="34.5" customHeight="1">
      <c r="A17" s="24" t="s">
        <v>357</v>
      </c>
      <c r="B17" s="24"/>
      <c r="C17" s="24"/>
      <c r="D17" s="421" t="s">
        <v>3</v>
      </c>
      <c r="E17" s="420">
        <f>VLOOKUP($A17,Model!$1:$1048576,MATCH(Summary!E$13,Model!$3:$3,0),FALSE)</f>
        <v>7240</v>
      </c>
      <c r="F17" s="420">
        <f>VLOOKUP($A17,Model!$1:$1048576,MATCH(Summary!F$13,Model!$3:$3,0),FALSE)</f>
        <v>7551</v>
      </c>
      <c r="G17" s="420">
        <f>VLOOKUP($A17,Model!$1:$1048576,MATCH(Summary!G$13,Model!$3:$3,0),FALSE)</f>
        <v>7557</v>
      </c>
      <c r="H17" s="420">
        <f>VLOOKUP($A17,Model!$1:$1048576,MATCH(Summary!H$13,Model!$3:$3,0),FALSE)</f>
        <v>7510.5623893805332</v>
      </c>
      <c r="I17" s="420">
        <f>VLOOKUP($A17,Model!$1:$1048576,MATCH(Summary!I$13,Model!$3:$3,0),FALSE)</f>
        <v>7748.9411086956552</v>
      </c>
      <c r="J17" s="420">
        <f>VLOOKUP($A17,Model!$1:$1048576,MATCH(Summary!J$13,Model!$3:$3,0),FALSE)</f>
        <v>8064.7312893618546</v>
      </c>
      <c r="K17" s="404"/>
      <c r="L17" s="422" t="s">
        <v>377</v>
      </c>
      <c r="M17" s="420">
        <f>M18-SUM(M14:M16)</f>
        <v>526</v>
      </c>
      <c r="N17" s="420">
        <f t="shared" ref="N17:R17" si="1">N18-SUM(N14:N16)</f>
        <v>444</v>
      </c>
      <c r="O17" s="420">
        <f t="shared" si="1"/>
        <v>513</v>
      </c>
      <c r="P17" s="420">
        <f t="shared" si="1"/>
        <v>513</v>
      </c>
      <c r="Q17" s="420">
        <f t="shared" si="1"/>
        <v>513</v>
      </c>
      <c r="R17" s="420">
        <f t="shared" si="1"/>
        <v>513</v>
      </c>
    </row>
    <row r="18" spans="1:18" ht="34.5" customHeight="1">
      <c r="A18" s="24" t="s">
        <v>358</v>
      </c>
      <c r="B18" s="24" t="s">
        <v>440</v>
      </c>
      <c r="C18" s="24"/>
      <c r="D18" s="421" t="s">
        <v>41</v>
      </c>
      <c r="E18" s="420">
        <f>VLOOKUP($A18,Model!$1:$1048576,MATCH(Summary!E$13,Model!$3:$3,0),FALSE)</f>
        <v>4785</v>
      </c>
      <c r="F18" s="420">
        <f>VLOOKUP($A18,Model!$1:$1048576,MATCH(Summary!F$13,Model!$3:$3,0),FALSE)</f>
        <v>5220</v>
      </c>
      <c r="G18" s="420">
        <f>VLOOKUP($A18,Model!$1:$1048576,MATCH(Summary!G$13,Model!$3:$3,0),FALSE)</f>
        <v>5597</v>
      </c>
      <c r="H18" s="420">
        <f>VLOOKUP($A18,Model!$1:$1048576,MATCH(Summary!H$13,Model!$3:$3,0),FALSE)</f>
        <v>5630.8057872340414</v>
      </c>
      <c r="I18" s="420">
        <f>VLOOKUP($A18,Model!$1:$1048576,MATCH(Summary!I$13,Model!$3:$3,0),FALSE)</f>
        <v>5785.0024902127652</v>
      </c>
      <c r="J18" s="420">
        <f>VLOOKUP($A18,Model!$1:$1048576,MATCH(Summary!J$13,Model!$3:$3,0),FALSE)</f>
        <v>5957.6171005951019</v>
      </c>
      <c r="K18" s="404"/>
      <c r="L18" s="423" t="s">
        <v>378</v>
      </c>
      <c r="M18" s="424">
        <f>VLOOKUP($B18,BS!$1:$1048576,MATCH(Summary!M$13,CF!$3:$3,0),FALSE)</f>
        <v>6375</v>
      </c>
      <c r="N18" s="424">
        <f>VLOOKUP($B18,BS!$1:$1048576,MATCH(Summary!N$13,CF!$3:$3,0),FALSE)</f>
        <v>6991</v>
      </c>
      <c r="O18" s="424">
        <f>VLOOKUP($B18,BS!$1:$1048576,MATCH(Summary!O$13,CF!$3:$3,0),FALSE)</f>
        <v>6991</v>
      </c>
      <c r="P18" s="424">
        <f>VLOOKUP($B18,BS!$1:$1048576,MATCH(Summary!P$13,CF!$3:$3,0),FALSE)</f>
        <v>7251.4101754121384</v>
      </c>
      <c r="Q18" s="424">
        <f>VLOOKUP($B18,BS!$1:$1048576,MATCH(Summary!Q$13,CF!$3:$3,0),FALSE)</f>
        <v>7722.6431903453595</v>
      </c>
      <c r="R18" s="424">
        <f>VLOOKUP($B18,BS!$1:$1048576,MATCH(Summary!R$13,CF!$3:$3,0),FALSE)</f>
        <v>8344.0147824440573</v>
      </c>
    </row>
    <row r="19" spans="1:18" ht="34.5" customHeight="1">
      <c r="A19" s="24" t="s">
        <v>356</v>
      </c>
      <c r="B19" s="24" t="s">
        <v>126</v>
      </c>
      <c r="C19" s="24"/>
      <c r="D19" s="421" t="s">
        <v>77</v>
      </c>
      <c r="E19" s="420">
        <f>VLOOKUP($A19,Model!$1:$1048576,MATCH(Summary!E$13,Model!$3:$3,0),FALSE)</f>
        <v>-102</v>
      </c>
      <c r="F19" s="420">
        <f>VLOOKUP($A19,Model!$1:$1048576,MATCH(Summary!F$13,Model!$3:$3,0),FALSE)</f>
        <v>226</v>
      </c>
      <c r="G19" s="420">
        <f>VLOOKUP($A19,Model!$1:$1048576,MATCH(Summary!G$13,Model!$3:$3,0),FALSE)</f>
        <v>246</v>
      </c>
      <c r="H19" s="420">
        <f>VLOOKUP($A19,Model!$1:$1048576,MATCH(Summary!H$13,Model!$3:$3,0),FALSE)</f>
        <v>270.60000000000002</v>
      </c>
      <c r="I19" s="420">
        <f>VLOOKUP($A19,Model!$1:$1048576,MATCH(Summary!I$13,Model!$3:$3,0),FALSE)</f>
        <v>278.71800000000002</v>
      </c>
      <c r="J19" s="420">
        <f>VLOOKUP($A19,Model!$1:$1048576,MATCH(Summary!J$13,Model!$3:$3,0),FALSE)</f>
        <v>287.07954000000001</v>
      </c>
      <c r="K19" s="404"/>
      <c r="L19" s="416" t="s">
        <v>379</v>
      </c>
      <c r="M19" s="420">
        <f>VLOOKUP($B19,BS!$1:$1048576,MATCH(Summary!M$13,CF!$3:$3,0),FALSE)</f>
        <v>8881</v>
      </c>
      <c r="N19" s="420">
        <f>VLOOKUP($B19,BS!$1:$1048576,MATCH(Summary!N$13,CF!$3:$3,0),FALSE)</f>
        <v>9678</v>
      </c>
      <c r="O19" s="420">
        <f>VLOOKUP($B19,BS!$1:$1048576,MATCH(Summary!O$13,CF!$3:$3,0),FALSE)</f>
        <v>10172</v>
      </c>
      <c r="P19" s="420">
        <f>VLOOKUP($B19,BS!$1:$1048576,MATCH(Summary!P$13,CF!$3:$3,0),FALSE)</f>
        <v>10552.43</v>
      </c>
      <c r="Q19" s="420">
        <f>VLOOKUP($B19,BS!$1:$1048576,MATCH(Summary!Q$13,CF!$3:$3,0),FALSE)</f>
        <v>10873.592700000001</v>
      </c>
      <c r="R19" s="420">
        <f>VLOOKUP($B19,BS!$1:$1048576,MATCH(Summary!R$13,CF!$3:$3,0),FALSE)</f>
        <v>11133.753183000001</v>
      </c>
    </row>
    <row r="20" spans="1:18" ht="34.5" customHeight="1">
      <c r="A20" s="24" t="s">
        <v>359</v>
      </c>
      <c r="B20" s="24" t="s">
        <v>442</v>
      </c>
      <c r="C20" s="24"/>
      <c r="D20" s="421" t="s">
        <v>216</v>
      </c>
      <c r="E20" s="420">
        <f>VLOOKUP($A20,Model!$1:$1048576,MATCH(Summary!E$13,Model!$3:$3,0),FALSE)</f>
        <v>0</v>
      </c>
      <c r="F20" s="420">
        <f>VLOOKUP($A20,Model!$1:$1048576,MATCH(Summary!F$13,Model!$3:$3,0),FALSE)</f>
        <v>-1492</v>
      </c>
      <c r="G20" s="420">
        <f>VLOOKUP($A20,Model!$1:$1048576,MATCH(Summary!G$13,Model!$3:$3,0),FALSE)</f>
        <v>-1554</v>
      </c>
      <c r="H20" s="420">
        <f>VLOOKUP($A20,Model!$1:$1048576,MATCH(Summary!H$13,Model!$3:$3,0),FALSE)</f>
        <v>-1554</v>
      </c>
      <c r="I20" s="420">
        <f>VLOOKUP($A20,Model!$1:$1048576,MATCH(Summary!I$13,Model!$3:$3,0),FALSE)</f>
        <v>-1554</v>
      </c>
      <c r="J20" s="420">
        <f>VLOOKUP($A20,Model!$1:$1048576,MATCH(Summary!J$13,Model!$3:$3,0),FALSE)</f>
        <v>-1554</v>
      </c>
      <c r="K20" s="404"/>
      <c r="L20" s="422" t="s">
        <v>380</v>
      </c>
      <c r="M20" s="420">
        <f>VLOOKUP($B20,BS!$1:$1048576,MATCH(Summary!M$13,CF!$3:$3,0),FALSE)</f>
        <v>9467</v>
      </c>
      <c r="N20" s="420">
        <f>VLOOKUP($B20,BS!$1:$1048576,MATCH(Summary!N$13,CF!$3:$3,0),FALSE)</f>
        <v>9604</v>
      </c>
      <c r="O20" s="420">
        <f>VLOOKUP($B20,BS!$1:$1048576,MATCH(Summary!O$13,CF!$3:$3,0),FALSE)</f>
        <v>9162</v>
      </c>
      <c r="P20" s="420">
        <f>VLOOKUP($B20,BS!$1:$1048576,MATCH(Summary!P$13,CF!$3:$3,0),FALSE)</f>
        <v>9190.4500000000007</v>
      </c>
      <c r="Q20" s="420">
        <f>VLOOKUP($B20,BS!$1:$1048576,MATCH(Summary!Q$13,CF!$3:$3,0),FALSE)</f>
        <v>9233.3225000000002</v>
      </c>
      <c r="R20" s="420">
        <f>VLOOKUP($B20,BS!$1:$1048576,MATCH(Summary!R$13,CF!$3:$3,0),FALSE)</f>
        <v>9292.1186249999992</v>
      </c>
    </row>
    <row r="21" spans="1:18" ht="34.5" customHeight="1">
      <c r="A21" s="24" t="s">
        <v>256</v>
      </c>
      <c r="B21" s="24" t="s">
        <v>381</v>
      </c>
      <c r="C21" s="24"/>
      <c r="D21" s="423" t="s">
        <v>391</v>
      </c>
      <c r="E21" s="424">
        <f>VLOOKUP($A21,Model!$1:$1048576,MATCH(Summary!E$13,Model!$3:$3,0),FALSE)</f>
        <v>64294</v>
      </c>
      <c r="F21" s="424">
        <f>VLOOKUP($A21,Model!$1:$1048576,MATCH(Summary!F$13,Model!$3:$3,0),FALSE)</f>
        <v>67922</v>
      </c>
      <c r="G21" s="424">
        <f>VLOOKUP($A21,Model!$1:$1048576,MATCH(Summary!G$13,Model!$3:$3,0),FALSE)</f>
        <v>69077</v>
      </c>
      <c r="H21" s="424">
        <f>VLOOKUP($A21,Model!$1:$1048576,MATCH(Summary!H$13,Model!$3:$3,0),FALSE)</f>
        <v>71152.748632299452</v>
      </c>
      <c r="I21" s="424">
        <f>VLOOKUP($A21,Model!$1:$1048576,MATCH(Summary!I$13,Model!$3:$3,0),FALSE)</f>
        <v>73998.058146344905</v>
      </c>
      <c r="J21" s="424">
        <f>VLOOKUP($A21,Model!$1:$1048576,MATCH(Summary!J$13,Model!$3:$3,0),FALSE)</f>
        <v>77031.118703059852</v>
      </c>
      <c r="K21" s="404"/>
      <c r="L21" s="422" t="s">
        <v>381</v>
      </c>
      <c r="M21" s="420">
        <f>VLOOKUP($B21,BS!$1:$1048576,MATCH(Summary!M$13,CF!$3:$3,0),FALSE)</f>
        <v>2189</v>
      </c>
      <c r="N21" s="420">
        <f>VLOOKUP($B21,BS!$1:$1048576,MATCH(Summary!N$13,CF!$3:$3,0),FALSE)</f>
        <v>2407</v>
      </c>
      <c r="O21" s="420">
        <f>VLOOKUP($B21,BS!$1:$1048576,MATCH(Summary!O$13,CF!$3:$3,0),FALSE)</f>
        <v>2241</v>
      </c>
      <c r="P21" s="420">
        <f>VLOOKUP($B21,BS!$1:$1048576,MATCH(Summary!P$13,CF!$3:$3,0),FALSE)</f>
        <v>2241</v>
      </c>
      <c r="Q21" s="420">
        <f>VLOOKUP($B21,BS!$1:$1048576,MATCH(Summary!Q$13,CF!$3:$3,0),FALSE)</f>
        <v>2241</v>
      </c>
      <c r="R21" s="420">
        <f>VLOOKUP($B21,BS!$1:$1048576,MATCH(Summary!R$13,CF!$3:$3,0),FALSE)</f>
        <v>2241</v>
      </c>
    </row>
    <row r="22" spans="1:18" ht="34.5" customHeight="1">
      <c r="A22" s="6" t="s">
        <v>44</v>
      </c>
      <c r="B22" s="24"/>
      <c r="C22" s="24"/>
      <c r="D22" s="425" t="s">
        <v>44</v>
      </c>
      <c r="E22" s="424">
        <f>VLOOKUP($A22,PL!$1:$1048576,MATCH(Summary!E$13,PL!$3:$3,0),FALSE)</f>
        <v>5694</v>
      </c>
      <c r="F22" s="424">
        <f>VLOOKUP($A22,PL!$1:$1048576,MATCH(Summary!F$13,PL!$3:$3,0),FALSE)</f>
        <v>6001</v>
      </c>
      <c r="G22" s="424">
        <f>VLOOKUP($A22,PL!$1:$1048576,MATCH(Summary!G$13,PL!$3:$3,0),FALSE)</f>
        <v>5707</v>
      </c>
      <c r="H22" s="424">
        <f>VLOOKUP($A22,PL!$1:$1048576,MATCH(Summary!H$13,PL!$3:$3,0),FALSE)</f>
        <v>6122.2554981411613</v>
      </c>
      <c r="I22" s="424">
        <f>VLOOKUP($A22,PL!$1:$1048576,MATCH(Summary!I$13,PL!$3:$3,0),FALSE)</f>
        <v>6587.8420883961971</v>
      </c>
      <c r="J22" s="424">
        <f>VLOOKUP($A22,PL!$1:$1048576,MATCH(Summary!J$13,PL!$3:$3,0),FALSE)</f>
        <v>7087.1761869074971</v>
      </c>
      <c r="K22" s="404"/>
      <c r="L22" s="422" t="s">
        <v>382</v>
      </c>
      <c r="M22" s="420">
        <f>M23-SUM(M19:M21)</f>
        <v>6736</v>
      </c>
      <c r="N22" s="420">
        <f t="shared" ref="N22" si="2">N23-SUM(N19:N21)</f>
        <v>5256</v>
      </c>
      <c r="O22" s="420">
        <f t="shared" ref="O22" si="3">O23-SUM(O19:O21)</f>
        <v>5263</v>
      </c>
      <c r="P22" s="420">
        <f t="shared" ref="P22" si="4">P23-SUM(P19:P21)</f>
        <v>5263</v>
      </c>
      <c r="Q22" s="420">
        <f t="shared" ref="Q22" si="5">Q23-SUM(Q19:Q21)</f>
        <v>5263</v>
      </c>
      <c r="R22" s="420">
        <f t="shared" ref="R22" si="6">R23-SUM(R19:R21)</f>
        <v>5263</v>
      </c>
    </row>
    <row r="23" spans="1:18" ht="34.5" customHeight="1">
      <c r="A23" s="6" t="s">
        <v>45</v>
      </c>
      <c r="B23" s="24" t="s">
        <v>422</v>
      </c>
      <c r="C23" s="24"/>
      <c r="D23" s="426" t="s">
        <v>45</v>
      </c>
      <c r="E23" s="420">
        <f>VLOOKUP($A23,PL!$1:$1048576,MATCH(Summary!E$13,PL!$3:$3,0),FALSE)</f>
        <v>-2578</v>
      </c>
      <c r="F23" s="420">
        <f>VLOOKUP($A23,PL!$1:$1048576,MATCH(Summary!F$13,PL!$3:$3,0),FALSE)</f>
        <v>-2778</v>
      </c>
      <c r="G23" s="420">
        <f>VLOOKUP($A23,PL!$1:$1048576,MATCH(Summary!G$13,PL!$3:$3,0),FALSE)</f>
        <v>-2953</v>
      </c>
      <c r="H23" s="420">
        <f>VLOOKUP($A23,PL!$1:$1048576,MATCH(Summary!H$13,PL!$3:$3,0),FALSE)</f>
        <v>-3071.12</v>
      </c>
      <c r="I23" s="420">
        <f>VLOOKUP($A23,PL!$1:$1048576,MATCH(Summary!I$13,PL!$3:$3,0),FALSE)</f>
        <v>-3193.9648000000002</v>
      </c>
      <c r="J23" s="420">
        <f>VLOOKUP($A23,PL!$1:$1048576,MATCH(Summary!J$13,PL!$3:$3,0),FALSE)</f>
        <v>-3321.7233920000003</v>
      </c>
      <c r="K23" s="404"/>
      <c r="L23" s="414" t="s">
        <v>383</v>
      </c>
      <c r="M23" s="424">
        <f>VLOOKUP($B23,BS!$1:$1048576,MATCH(Summary!M$13,CF!$3:$3,0),FALSE)</f>
        <v>27273</v>
      </c>
      <c r="N23" s="424">
        <f>VLOOKUP($B23,BS!$1:$1048576,MATCH(Summary!N$13,CF!$3:$3,0),FALSE)</f>
        <v>26945</v>
      </c>
      <c r="O23" s="424">
        <f>VLOOKUP($B23,BS!$1:$1048576,MATCH(Summary!O$13,CF!$3:$3,0),FALSE)</f>
        <v>26838</v>
      </c>
      <c r="P23" s="424">
        <f>VLOOKUP($B23,BS!$1:$1048576,MATCH(Summary!P$13,CF!$3:$3,0),FALSE)</f>
        <v>27246.880000000001</v>
      </c>
      <c r="Q23" s="424">
        <f>VLOOKUP($B23,BS!$1:$1048576,MATCH(Summary!Q$13,CF!$3:$3,0),FALSE)</f>
        <v>27610.915200000003</v>
      </c>
      <c r="R23" s="424">
        <f>VLOOKUP($B23,BS!$1:$1048576,MATCH(Summary!R$13,CF!$3:$3,0),FALSE)</f>
        <v>27929.871808</v>
      </c>
    </row>
    <row r="24" spans="1:18" ht="34.5" customHeight="1">
      <c r="B24" s="24" t="s">
        <v>423</v>
      </c>
      <c r="C24" s="24"/>
      <c r="D24" s="414" t="s">
        <v>39</v>
      </c>
      <c r="E24" s="420"/>
      <c r="F24" s="420"/>
      <c r="G24" s="420"/>
      <c r="H24" s="420"/>
      <c r="I24" s="420"/>
      <c r="J24" s="420"/>
      <c r="K24" s="404"/>
      <c r="L24" s="422" t="s">
        <v>384</v>
      </c>
      <c r="M24" s="420">
        <f>VLOOKUP($B24,BS!$1:$1048576,MATCH(Summary!M$13,CF!$3:$3,0),FALSE)</f>
        <v>7623</v>
      </c>
      <c r="N24" s="420">
        <f>VLOOKUP($B24,BS!$1:$1048576,MATCH(Summary!N$13,CF!$3:$3,0),FALSE)</f>
        <v>7762</v>
      </c>
      <c r="O24" s="420">
        <f>VLOOKUP($B24,BS!$1:$1048576,MATCH(Summary!O$13,CF!$3:$3,0),FALSE)</f>
        <v>8083</v>
      </c>
      <c r="P24" s="420">
        <f>VLOOKUP($B24,BS!$1:$1048576,MATCH(Summary!P$13,CF!$3:$3,0),FALSE)</f>
        <v>8325.8923693107172</v>
      </c>
      <c r="Q24" s="420">
        <f>VLOOKUP($B24,BS!$1:$1048576,MATCH(Summary!Q$13,CF!$3:$3,0),FALSE)</f>
        <v>8658.8344021440698</v>
      </c>
      <c r="R24" s="420">
        <f>VLOOKUP($B24,BS!$1:$1048576,MATCH(Summary!R$13,CF!$3:$3,0),FALSE)</f>
        <v>9013.7460005042594</v>
      </c>
    </row>
    <row r="25" spans="1:18" ht="34.5" customHeight="1">
      <c r="A25" s="24" t="s">
        <v>411</v>
      </c>
      <c r="B25" s="24" t="s">
        <v>445</v>
      </c>
      <c r="C25" s="24"/>
      <c r="D25" s="421" t="s">
        <v>1</v>
      </c>
      <c r="E25" s="420">
        <f>VLOOKUP($A25,Model!$1:$1048576,MATCH(Summary!E$13,Model!$3:$3,0),FALSE)</f>
        <v>2865</v>
      </c>
      <c r="F25" s="420">
        <f>VLOOKUP($A25,Model!$1:$1048576,MATCH(Summary!F$13,Model!$3:$3,0),FALSE)</f>
        <v>3150</v>
      </c>
      <c r="G25" s="420">
        <f>VLOOKUP($A25,Model!$1:$1048576,MATCH(Summary!G$13,Model!$3:$3,0),FALSE)</f>
        <v>2721</v>
      </c>
      <c r="H25" s="420">
        <f>VLOOKUP($A25,Model!$1:$1048576,MATCH(Summary!H$13,Model!$3:$3,0),FALSE)</f>
        <v>2936.1145803258728</v>
      </c>
      <c r="I25" s="420">
        <f>VLOOKUP($A25,Model!$1:$1048576,MATCH(Summary!I$13,Model!$3:$3,0),FALSE)</f>
        <v>3240.4218670668347</v>
      </c>
      <c r="J25" s="420">
        <f>VLOOKUP($A25,Model!$1:$1048576,MATCH(Summary!J$13,Model!$3:$3,0),FALSE)</f>
        <v>3583.8158288810278</v>
      </c>
      <c r="K25" s="404"/>
      <c r="L25" s="427" t="s">
        <v>215</v>
      </c>
      <c r="M25" s="420">
        <f>VLOOKUP($B25,BS!$1:$1048576,MATCH(Summary!M$13,CF!$3:$3,0),FALSE)</f>
        <v>466</v>
      </c>
      <c r="N25" s="420">
        <f>VLOOKUP($B25,BS!$1:$1048576,MATCH(Summary!N$13,CF!$3:$3,0),FALSE)</f>
        <v>712</v>
      </c>
      <c r="O25" s="420">
        <f>VLOOKUP($B25,BS!$1:$1048576,MATCH(Summary!O$13,CF!$3:$3,0),FALSE)</f>
        <v>244</v>
      </c>
      <c r="P25" s="420">
        <f>VLOOKUP($B25,BS!$1:$1048576,MATCH(Summary!P$13,CF!$3:$3,0),FALSE)</f>
        <v>244</v>
      </c>
      <c r="Q25" s="420">
        <f>VLOOKUP($B25,BS!$1:$1048576,MATCH(Summary!Q$13,CF!$3:$3,0),FALSE)</f>
        <v>244</v>
      </c>
      <c r="R25" s="420">
        <f>VLOOKUP($B25,BS!$1:$1048576,MATCH(Summary!R$13,CF!$3:$3,0),FALSE)</f>
        <v>244</v>
      </c>
    </row>
    <row r="26" spans="1:18" ht="34.5" customHeight="1">
      <c r="A26" s="24" t="s">
        <v>412</v>
      </c>
      <c r="B26" s="24"/>
      <c r="C26" s="24"/>
      <c r="D26" s="421" t="s">
        <v>390</v>
      </c>
      <c r="E26" s="420">
        <f>VLOOKUP($A26,Model!$1:$1048576,MATCH(Summary!E$13,Model!$3:$3,0),FALSE)</f>
        <v>63</v>
      </c>
      <c r="F26" s="420">
        <f>VLOOKUP($A26,Model!$1:$1048576,MATCH(Summary!F$13,Model!$3:$3,0),FALSE)</f>
        <v>122</v>
      </c>
      <c r="G26" s="420">
        <f>VLOOKUP($A26,Model!$1:$1048576,MATCH(Summary!G$13,Model!$3:$3,0),FALSE)</f>
        <v>137</v>
      </c>
      <c r="H26" s="420">
        <f>VLOOKUP($A26,Model!$1:$1048576,MATCH(Summary!H$13,Model!$3:$3,0),FALSE)</f>
        <v>147.73900499999999</v>
      </c>
      <c r="I26" s="420">
        <f>VLOOKUP($A26,Model!$1:$1048576,MATCH(Summary!I$13,Model!$3:$3,0),FALSE)</f>
        <v>161.36716049999998</v>
      </c>
      <c r="J26" s="420">
        <f>VLOOKUP($A26,Model!$1:$1048576,MATCH(Summary!J$13,Model!$3:$3,0),FALSE)</f>
        <v>169.43551852499999</v>
      </c>
      <c r="K26" s="404"/>
      <c r="L26" s="427" t="s">
        <v>385</v>
      </c>
      <c r="M26" s="420">
        <f>M27-SUM(M24:M25)</f>
        <v>3797</v>
      </c>
      <c r="N26" s="420">
        <f t="shared" ref="N26:R26" si="7">N27-SUM(N24:N25)</f>
        <v>4345</v>
      </c>
      <c r="O26" s="420">
        <f t="shared" si="7"/>
        <v>3970</v>
      </c>
      <c r="P26" s="420">
        <f t="shared" si="7"/>
        <v>3970</v>
      </c>
      <c r="Q26" s="420">
        <f t="shared" si="7"/>
        <v>3970</v>
      </c>
      <c r="R26" s="420">
        <f t="shared" si="7"/>
        <v>3970</v>
      </c>
    </row>
    <row r="27" spans="1:18" ht="34.5" customHeight="1">
      <c r="A27" s="24" t="s">
        <v>413</v>
      </c>
      <c r="B27" s="24" t="s">
        <v>424</v>
      </c>
      <c r="C27" s="24"/>
      <c r="D27" s="421" t="s">
        <v>3</v>
      </c>
      <c r="E27" s="420">
        <f>VLOOKUP($A27,Model!$1:$1048576,MATCH(Summary!E$13,Model!$3:$3,0),FALSE)</f>
        <v>228</v>
      </c>
      <c r="F27" s="420">
        <f>VLOOKUP($A27,Model!$1:$1048576,MATCH(Summary!F$13,Model!$3:$3,0),FALSE)</f>
        <v>100</v>
      </c>
      <c r="G27" s="420">
        <f>VLOOKUP($A27,Model!$1:$1048576,MATCH(Summary!G$13,Model!$3:$3,0),FALSE)</f>
        <v>138</v>
      </c>
      <c r="H27" s="420">
        <f>VLOOKUP($A27,Model!$1:$1048576,MATCH(Summary!H$13,Model!$3:$3,0),FALSE)</f>
        <v>157.7218101769912</v>
      </c>
      <c r="I27" s="420">
        <f>VLOOKUP($A27,Model!$1:$1048576,MATCH(Summary!I$13,Model!$3:$3,0),FALSE)</f>
        <v>178.22564550000007</v>
      </c>
      <c r="J27" s="420">
        <f>VLOOKUP($A27,Model!$1:$1048576,MATCH(Summary!J$13,Model!$3:$3,0),FALSE)</f>
        <v>201.61828223404638</v>
      </c>
      <c r="K27" s="404"/>
      <c r="L27" s="428" t="s">
        <v>386</v>
      </c>
      <c r="M27" s="424">
        <f>VLOOKUP($B27,BS!$1:$1048576,MATCH(Summary!M$13,CF!$3:$3,0),FALSE)</f>
        <v>11886</v>
      </c>
      <c r="N27" s="424">
        <f>VLOOKUP($B27,BS!$1:$1048576,MATCH(Summary!N$13,CF!$3:$3,0),FALSE)</f>
        <v>12819</v>
      </c>
      <c r="O27" s="424">
        <f>VLOOKUP($B27,BS!$1:$1048576,MATCH(Summary!O$13,CF!$3:$3,0),FALSE)</f>
        <v>12297</v>
      </c>
      <c r="P27" s="424">
        <f>VLOOKUP($B27,BS!$1:$1048576,MATCH(Summary!P$13,CF!$3:$3,0),FALSE)</f>
        <v>12539.892369310717</v>
      </c>
      <c r="Q27" s="424">
        <f>VLOOKUP($B27,BS!$1:$1048576,MATCH(Summary!Q$13,CF!$3:$3,0),FALSE)</f>
        <v>12872.83440214407</v>
      </c>
      <c r="R27" s="424">
        <f>VLOOKUP($B27,BS!$1:$1048576,MATCH(Summary!R$13,CF!$3:$3,0),FALSE)</f>
        <v>13227.746000504259</v>
      </c>
    </row>
    <row r="28" spans="1:18" ht="34.5" customHeight="1">
      <c r="A28" s="24" t="s">
        <v>414</v>
      </c>
      <c r="B28" s="24" t="s">
        <v>443</v>
      </c>
      <c r="C28" s="24"/>
      <c r="D28" s="421" t="s">
        <v>41</v>
      </c>
      <c r="E28" s="420">
        <f>VLOOKUP($A28,Model!$1:$1048576,MATCH(Summary!E$13,Model!$3:$3,0),FALSE)</f>
        <v>145</v>
      </c>
      <c r="F28" s="420">
        <f>VLOOKUP($A28,Model!$1:$1048576,MATCH(Summary!F$13,Model!$3:$3,0),FALSE)</f>
        <v>-29</v>
      </c>
      <c r="G28" s="420">
        <f>VLOOKUP($A28,Model!$1:$1048576,MATCH(Summary!G$13,Model!$3:$3,0),FALSE)</f>
        <v>-31</v>
      </c>
      <c r="H28" s="420">
        <f>VLOOKUP($A28,Model!$1:$1048576,MATCH(Summary!H$13,Model!$3:$3,0),FALSE)</f>
        <v>49.56010263829787</v>
      </c>
      <c r="I28" s="420">
        <f>VLOOKUP($A28,Model!$1:$1048576,MATCH(Summary!I$13,Model!$3:$3,0),FALSE)</f>
        <v>61.062615329361705</v>
      </c>
      <c r="J28" s="420">
        <f>VLOOKUP($A28,Model!$1:$1048576,MATCH(Summary!J$13,Model!$3:$3,0),FALSE)</f>
        <v>65.199165267422231</v>
      </c>
      <c r="K28" s="404"/>
      <c r="L28" s="427" t="s">
        <v>387</v>
      </c>
      <c r="M28" s="420">
        <f>VLOOKUP($B28,BS!$1:$1048576,MATCH(Summary!M$13,CF!$3:$3,0),FALSE)</f>
        <v>10343</v>
      </c>
      <c r="N28" s="420">
        <f>VLOOKUP($B28,BS!$1:$1048576,MATCH(Summary!N$13,CF!$3:$3,0),FALSE)</f>
        <v>10545</v>
      </c>
      <c r="O28" s="420">
        <f>VLOOKUP($B28,BS!$1:$1048576,MATCH(Summary!O$13,CF!$3:$3,0),FALSE)</f>
        <v>10175</v>
      </c>
      <c r="P28" s="420">
        <f>VLOOKUP($B28,BS!$1:$1048576,MATCH(Summary!P$13,CF!$3:$3,0),FALSE)</f>
        <v>10190.85</v>
      </c>
      <c r="Q28" s="420">
        <f>VLOOKUP($B28,BS!$1:$1048576,MATCH(Summary!Q$13,CF!$3:$3,0),FALSE)</f>
        <v>10220.4925</v>
      </c>
      <c r="R28" s="420">
        <f>VLOOKUP($B28,BS!$1:$1048576,MATCH(Summary!R$13,CF!$3:$3,0),FALSE)</f>
        <v>10265.397125</v>
      </c>
    </row>
    <row r="29" spans="1:18" ht="34.5" customHeight="1">
      <c r="A29" s="24" t="s">
        <v>415</v>
      </c>
      <c r="B29" s="24" t="s">
        <v>444</v>
      </c>
      <c r="C29" s="24"/>
      <c r="D29" s="421" t="s">
        <v>77</v>
      </c>
      <c r="E29" s="420">
        <f>VLOOKUP($A29,Model!$1:$1048576,MATCH(Summary!E$13,Model!$3:$3,0),FALSE)</f>
        <v>-185</v>
      </c>
      <c r="F29" s="420">
        <f>VLOOKUP($A29,Model!$1:$1048576,MATCH(Summary!F$13,Model!$3:$3,0),FALSE)</f>
        <v>-120</v>
      </c>
      <c r="G29" s="420">
        <f>VLOOKUP($A29,Model!$1:$1048576,MATCH(Summary!G$13,Model!$3:$3,0),FALSE)</f>
        <v>-211</v>
      </c>
      <c r="H29" s="420">
        <f>VLOOKUP($A29,Model!$1:$1048576,MATCH(Summary!H$13,Model!$3:$3,0),FALSE)</f>
        <v>-240</v>
      </c>
      <c r="I29" s="420">
        <f>VLOOKUP($A29,Model!$1:$1048576,MATCH(Summary!I$13,Model!$3:$3,0),FALSE)</f>
        <v>-247.20000000000002</v>
      </c>
      <c r="J29" s="420">
        <f>VLOOKUP($A29,Model!$1:$1048576,MATCH(Summary!J$13,Model!$3:$3,0),FALSE)</f>
        <v>-254.61600000000001</v>
      </c>
      <c r="K29" s="404"/>
      <c r="L29" s="427" t="s">
        <v>215</v>
      </c>
      <c r="M29" s="420">
        <f>VLOOKUP($B29,BS!$1:$1048576,MATCH(Summary!M$13,CF!$3:$3,0),FALSE)</f>
        <v>3289</v>
      </c>
      <c r="N29" s="420">
        <f>VLOOKUP($B29,BS!$1:$1048576,MATCH(Summary!N$13,CF!$3:$3,0),FALSE)</f>
        <v>3866</v>
      </c>
      <c r="O29" s="420">
        <f>VLOOKUP($B29,BS!$1:$1048576,MATCH(Summary!O$13,CF!$3:$3,0),FALSE)</f>
        <v>5267</v>
      </c>
      <c r="P29" s="420">
        <f>VLOOKUP($B29,BS!$1:$1048576,MATCH(Summary!P$13,CF!$3:$3,0),FALSE)</f>
        <v>5267</v>
      </c>
      <c r="Q29" s="420">
        <f>VLOOKUP($B29,BS!$1:$1048576,MATCH(Summary!Q$13,CF!$3:$3,0),FALSE)</f>
        <v>5267</v>
      </c>
      <c r="R29" s="420">
        <f>VLOOKUP($B29,BS!$1:$1048576,MATCH(Summary!R$13,CF!$3:$3,0),FALSE)</f>
        <v>5267</v>
      </c>
    </row>
    <row r="30" spans="1:18" ht="34.5" customHeight="1">
      <c r="A30" s="24" t="s">
        <v>84</v>
      </c>
      <c r="B30" s="24"/>
      <c r="C30" s="24"/>
      <c r="D30" s="423" t="s">
        <v>84</v>
      </c>
      <c r="E30" s="424">
        <f>VLOOKUP($A30,Model!$1:$1048576,MATCH(Summary!E$13,Model!$3:$3,0),FALSE)</f>
        <v>3116</v>
      </c>
      <c r="F30" s="424">
        <f>VLOOKUP($A30,Model!$1:$1048576,MATCH(Summary!F$13,Model!$3:$3,0),FALSE)</f>
        <v>3223</v>
      </c>
      <c r="G30" s="424">
        <f>VLOOKUP($A30,Model!$1:$1048576,MATCH(Summary!G$13,Model!$3:$3,0),FALSE)</f>
        <v>2754</v>
      </c>
      <c r="H30" s="424">
        <f>VLOOKUP($A30,Model!$1:$1048576,MATCH(Summary!H$13,Model!$3:$3,0),FALSE)</f>
        <v>3051.1354981411619</v>
      </c>
      <c r="I30" s="424">
        <f>VLOOKUP($A30,Model!$1:$1048576,MATCH(Summary!I$13,Model!$3:$3,0),FALSE)</f>
        <v>3393.8772883961965</v>
      </c>
      <c r="J30" s="424">
        <f>VLOOKUP($A30,Model!$1:$1048576,MATCH(Summary!J$13,Model!$3:$3,0),FALSE)</f>
        <v>3765.4527949074968</v>
      </c>
      <c r="K30" s="404"/>
      <c r="L30" s="427" t="s">
        <v>388</v>
      </c>
      <c r="M30" s="420">
        <f>M31-SUM(M28:M29)</f>
        <v>1565</v>
      </c>
      <c r="N30" s="420">
        <f t="shared" ref="N30" si="8">N31-SUM(N28:N29)</f>
        <v>1136</v>
      </c>
      <c r="O30" s="420">
        <f t="shared" ref="O30" si="9">O31-SUM(O28:O29)</f>
        <v>1128</v>
      </c>
      <c r="P30" s="420">
        <f t="shared" ref="P30" si="10">P31-SUM(P28:P29)</f>
        <v>1127.9999999999982</v>
      </c>
      <c r="Q30" s="420">
        <f t="shared" ref="Q30" si="11">Q31-SUM(Q28:Q29)</f>
        <v>1128</v>
      </c>
      <c r="R30" s="420">
        <f t="shared" ref="R30" si="12">R31-SUM(R28:R29)</f>
        <v>1128</v>
      </c>
    </row>
    <row r="31" spans="1:18" ht="34.5" customHeight="1">
      <c r="A31" s="24" t="s">
        <v>416</v>
      </c>
      <c r="B31" s="24" t="s">
        <v>446</v>
      </c>
      <c r="C31" s="24"/>
      <c r="D31" s="422" t="s">
        <v>85</v>
      </c>
      <c r="E31" s="420">
        <f>VLOOKUP($A31,PL!$1:$1048576,MATCH(Summary!E$13,PL!$3:$3,0),FALSE)</f>
        <v>-677</v>
      </c>
      <c r="F31" s="420">
        <f>VLOOKUP($A31,PL!$1:$1048576,MATCH(Summary!F$13,PL!$3:$3,0),FALSE)</f>
        <v>-740</v>
      </c>
      <c r="G31" s="420">
        <f>VLOOKUP($A31,PL!$1:$1048576,MATCH(Summary!G$13,PL!$3:$3,0),FALSE)</f>
        <v>-811</v>
      </c>
      <c r="H31" s="420">
        <f>VLOOKUP($A31,PL!$1:$1048576,MATCH(Summary!H$13,PL!$3:$3,0),FALSE)</f>
        <v>-815</v>
      </c>
      <c r="I31" s="420">
        <f>VLOOKUP($A31,PL!$1:$1048576,MATCH(Summary!I$13,PL!$3:$3,0),FALSE)</f>
        <v>-833.30000000000007</v>
      </c>
      <c r="J31" s="420">
        <f>VLOOKUP($A31,PL!$1:$1048576,MATCH(Summary!J$13,PL!$3:$3,0),FALSE)</f>
        <v>-852.14900000000011</v>
      </c>
      <c r="K31" s="404"/>
      <c r="L31" s="429" t="s">
        <v>389</v>
      </c>
      <c r="M31" s="424">
        <f>VLOOKUP($B31,BS!$1:$1048576,MATCH(Summary!M$13,CF!$3:$3,0),FALSE)</f>
        <v>15197</v>
      </c>
      <c r="N31" s="424">
        <f>VLOOKUP($B31,BS!$1:$1048576,MATCH(Summary!N$13,CF!$3:$3,0),FALSE)</f>
        <v>15547</v>
      </c>
      <c r="O31" s="424">
        <f>VLOOKUP($B31,BS!$1:$1048576,MATCH(Summary!O$13,CF!$3:$3,0),FALSE)</f>
        <v>16570</v>
      </c>
      <c r="P31" s="424">
        <f>VLOOKUP($B31,BS!$1:$1048576,MATCH(Summary!P$13,CF!$3:$3,0),FALSE)</f>
        <v>16585.849999999999</v>
      </c>
      <c r="Q31" s="424">
        <f>VLOOKUP($B31,BS!$1:$1048576,MATCH(Summary!Q$13,CF!$3:$3,0),FALSE)</f>
        <v>16615.4925</v>
      </c>
      <c r="R31" s="424">
        <f>VLOOKUP($B31,BS!$1:$1048576,MATCH(Summary!R$13,CF!$3:$3,0),FALSE)</f>
        <v>16660.397125</v>
      </c>
    </row>
    <row r="32" spans="1:18" ht="34.5" customHeight="1">
      <c r="A32" s="24" t="s">
        <v>86</v>
      </c>
      <c r="B32" s="24" t="s">
        <v>448</v>
      </c>
      <c r="C32" s="24"/>
      <c r="D32" s="423" t="s">
        <v>86</v>
      </c>
      <c r="E32" s="424">
        <f>VLOOKUP($A32,PL!$1:$1048576,MATCH(Summary!E$13,PL!$3:$3,0),FALSE)</f>
        <v>2439</v>
      </c>
      <c r="F32" s="424">
        <f>VLOOKUP($A32,PL!$1:$1048576,MATCH(Summary!F$13,PL!$3:$3,0),FALSE)</f>
        <v>2483</v>
      </c>
      <c r="G32" s="424">
        <f>VLOOKUP($A32,PL!$1:$1048576,MATCH(Summary!G$13,PL!$3:$3,0),FALSE)</f>
        <v>1943</v>
      </c>
      <c r="H32" s="424">
        <f>VLOOKUP($A32,PL!$1:$1048576,MATCH(Summary!H$13,PL!$3:$3,0),FALSE)</f>
        <v>2236.1354981411619</v>
      </c>
      <c r="I32" s="424">
        <f>VLOOKUP($A32,PL!$1:$1048576,MATCH(Summary!I$13,PL!$3:$3,0),FALSE)</f>
        <v>2560.5772883961963</v>
      </c>
      <c r="J32" s="424">
        <f>VLOOKUP($A32,PL!$1:$1048576,MATCH(Summary!J$13,PL!$3:$3,0),FALSE)</f>
        <v>2913.3037949074969</v>
      </c>
      <c r="K32" s="404"/>
      <c r="L32" s="430" t="s">
        <v>155</v>
      </c>
      <c r="M32" s="420">
        <f>VLOOKUP($B32,BS!$1:$1048576,MATCH(Summary!M$13,CF!$3:$3,0),FALSE)</f>
        <v>5406</v>
      </c>
      <c r="N32" s="420">
        <f>VLOOKUP($B32,BS!$1:$1048576,MATCH(Summary!N$13,CF!$3:$3,0),FALSE)</f>
        <v>5604</v>
      </c>
      <c r="O32" s="420">
        <f>VLOOKUP($B32,BS!$1:$1048576,MATCH(Summary!O$13,CF!$3:$3,0),FALSE)</f>
        <v>5627</v>
      </c>
      <c r="P32" s="420">
        <f>VLOOKUP($B32,BS!$1:$1048576,MATCH(Summary!P$13,CF!$3:$3,0),FALSE)</f>
        <v>5627</v>
      </c>
      <c r="Q32" s="420">
        <f>VLOOKUP($B32,BS!$1:$1048576,MATCH(Summary!Q$13,CF!$3:$3,0),FALSE)</f>
        <v>5627</v>
      </c>
      <c r="R32" s="420">
        <f>VLOOKUP($B32,BS!$1:$1048576,MATCH(Summary!R$13,CF!$3:$3,0),FALSE)</f>
        <v>5627</v>
      </c>
    </row>
    <row r="33" spans="1:18" ht="34.5" customHeight="1">
      <c r="A33" s="24" t="s">
        <v>396</v>
      </c>
      <c r="B33" s="24" t="s">
        <v>149</v>
      </c>
      <c r="C33" s="24"/>
      <c r="D33" s="422" t="s">
        <v>392</v>
      </c>
      <c r="E33" s="420">
        <f>VLOOKUP($A33,PL!$1:$1048576,MATCH(Summary!E$13,PL!$3:$3,0),FALSE)</f>
        <v>-707</v>
      </c>
      <c r="F33" s="420">
        <f>VLOOKUP($A33,PL!$1:$1048576,MATCH(Summary!F$13,PL!$3:$3,0),FALSE)</f>
        <v>-763</v>
      </c>
      <c r="G33" s="420">
        <f>VLOOKUP($A33,PL!$1:$1048576,MATCH(Summary!G$13,PL!$3:$3,0),FALSE)</f>
        <v>-568</v>
      </c>
      <c r="H33" s="420">
        <f>VLOOKUP($A33,PL!$1:$1048576,MATCH(Summary!H$13,PL!$3:$3,0),FALSE)</f>
        <v>-664.13224294792508</v>
      </c>
      <c r="I33" s="420">
        <f>VLOOKUP($A33,PL!$1:$1048576,MATCH(Summary!I$13,PL!$3:$3,0),FALSE)</f>
        <v>-760.4914546536703</v>
      </c>
      <c r="J33" s="420">
        <f>VLOOKUP($A33,PL!$1:$1048576,MATCH(Summary!J$13,PL!$3:$3,0),FALSE)</f>
        <v>-865.25122708752656</v>
      </c>
      <c r="K33" s="404"/>
      <c r="L33" s="430" t="s">
        <v>149</v>
      </c>
      <c r="M33" s="420">
        <f>VLOOKUP($B33,BS!$1:$1048576,MATCH(Summary!M$13,CF!$3:$3,0),FALSE)</f>
        <v>-7567</v>
      </c>
      <c r="N33" s="420">
        <f>VLOOKUP($B33,BS!$1:$1048576,MATCH(Summary!N$13,CF!$3:$3,0),FALSE)</f>
        <v>-7609</v>
      </c>
      <c r="O33" s="420">
        <f>VLOOKUP($B33,BS!$1:$1048576,MATCH(Summary!O$13,CF!$3:$3,0),FALSE)</f>
        <v>-7479</v>
      </c>
      <c r="P33" s="420">
        <f>VLOOKUP($B33,BS!$1:$1048576,MATCH(Summary!P$13,CF!$3:$3,0),FALSE)</f>
        <v>-7479</v>
      </c>
      <c r="Q33" s="420">
        <f>VLOOKUP($B33,BS!$1:$1048576,MATCH(Summary!Q$13,CF!$3:$3,0),FALSE)</f>
        <v>-7479</v>
      </c>
      <c r="R33" s="420">
        <f>VLOOKUP($B33,BS!$1:$1048576,MATCH(Summary!R$13,CF!$3:$3,0),FALSE)</f>
        <v>-7479</v>
      </c>
    </row>
    <row r="34" spans="1:18" ht="34.5" customHeight="1">
      <c r="A34" s="24" t="s">
        <v>447</v>
      </c>
      <c r="B34" s="24" t="s">
        <v>150</v>
      </c>
      <c r="C34" s="24"/>
      <c r="D34" s="422" t="s">
        <v>284</v>
      </c>
      <c r="E34" s="420">
        <f>VLOOKUP($A34,PL!$1:$1048576,MATCH(Summary!E$13,PL!$3:$3,0),FALSE)</f>
        <v>-11</v>
      </c>
      <c r="F34" s="420">
        <f>VLOOKUP($A34,PL!$1:$1048576,MATCH(Summary!F$13,PL!$3:$3,0),FALSE)</f>
        <v>-9</v>
      </c>
      <c r="G34" s="420">
        <f>VLOOKUP($A34,PL!$1:$1048576,MATCH(Summary!G$13,PL!$3:$3,0),FALSE)</f>
        <v>10</v>
      </c>
      <c r="H34" s="420">
        <f>VLOOKUP($A34,PL!$1:$1048576,MATCH(Summary!H$13,PL!$3:$3,0),FALSE)</f>
        <v>10</v>
      </c>
      <c r="I34" s="420">
        <f>VLOOKUP($A34,PL!$1:$1048576,MATCH(Summary!I$13,PL!$3:$3,0),FALSE)</f>
        <v>10</v>
      </c>
      <c r="J34" s="420">
        <f>VLOOKUP($A34,PL!$1:$1048576,MATCH(Summary!J$13,PL!$3:$3,0),FALSE)</f>
        <v>10</v>
      </c>
      <c r="K34" s="404"/>
      <c r="L34" s="430" t="s">
        <v>150</v>
      </c>
      <c r="M34" s="420">
        <f>VLOOKUP($B34,BS!$1:$1048576,MATCH(Summary!M$13,CF!$3:$3,0),FALSE)</f>
        <v>8586</v>
      </c>
      <c r="N34" s="420">
        <f>VLOOKUP($B34,BS!$1:$1048576,MATCH(Summary!N$13,CF!$3:$3,0),FALSE)</f>
        <v>7413</v>
      </c>
      <c r="O34" s="420">
        <f>VLOOKUP($B34,BS!$1:$1048576,MATCH(Summary!O$13,CF!$3:$3,0),FALSE)</f>
        <v>6712</v>
      </c>
      <c r="P34" s="420">
        <f>VLOOKUP($B34,BS!$1:$1048576,MATCH(Summary!P$13,CF!$3:$3,0),FALSE)</f>
        <v>7132.547806101421</v>
      </c>
      <c r="Q34" s="420">
        <f>VLOOKUP($B34,BS!$1:$1048576,MATCH(Summary!Q$13,CF!$3:$3,0),FALSE)</f>
        <v>7615.2314882012888</v>
      </c>
      <c r="R34" s="420">
        <f>VLOOKUP($B34,BS!$1:$1048576,MATCH(Summary!R$13,CF!$3:$3,0),FALSE)</f>
        <v>8165.7434649397974</v>
      </c>
    </row>
    <row r="35" spans="1:18" ht="34.5" customHeight="1">
      <c r="A35" s="24" t="s">
        <v>217</v>
      </c>
      <c r="B35" s="24" t="s">
        <v>447</v>
      </c>
      <c r="C35" s="24"/>
      <c r="D35" s="423" t="s">
        <v>393</v>
      </c>
      <c r="E35" s="424">
        <f>VLOOKUP($A35,PL!$1:$1048576,MATCH(Summary!E$13,PL!$3:$3,0),FALSE)</f>
        <v>1721</v>
      </c>
      <c r="F35" s="424">
        <f>VLOOKUP($A35,PL!$1:$1048576,MATCH(Summary!F$13,PL!$3:$3,0),FALSE)</f>
        <v>1711</v>
      </c>
      <c r="G35" s="424">
        <f>VLOOKUP($A35,PL!$1:$1048576,MATCH(Summary!G$13,PL!$3:$3,0),FALSE)</f>
        <v>1385</v>
      </c>
      <c r="H35" s="424">
        <f>VLOOKUP($A35,PL!$1:$1048576,MATCH(Summary!H$13,PL!$3:$3,0),FALSE)</f>
        <v>1582.0032551932368</v>
      </c>
      <c r="I35" s="424">
        <f>VLOOKUP($A35,PL!$1:$1048576,MATCH(Summary!I$13,PL!$3:$3,0),FALSE)</f>
        <v>1810.0858337425261</v>
      </c>
      <c r="J35" s="424">
        <f>VLOOKUP($A35,PL!$1:$1048576,MATCH(Summary!J$13,PL!$3:$3,0),FALSE)</f>
        <v>2058.0525678199701</v>
      </c>
      <c r="K35" s="404"/>
      <c r="L35" s="430" t="s">
        <v>152</v>
      </c>
      <c r="M35" s="420">
        <f>VLOOKUP($B35,BS!$1:$1048576,MATCH(Summary!M$13,CF!$3:$3,0),FALSE)</f>
        <v>140</v>
      </c>
      <c r="N35" s="420">
        <f>VLOOKUP($B35,BS!$1:$1048576,MATCH(Summary!N$13,CF!$3:$3,0),FALSE)</f>
        <v>162</v>
      </c>
      <c r="O35" s="420">
        <f>VLOOKUP($B35,BS!$1:$1048576,MATCH(Summary!O$13,CF!$3:$3,0),FALSE)</f>
        <v>102</v>
      </c>
      <c r="P35" s="420">
        <f>VLOOKUP($B35,BS!$1:$1048576,MATCH(Summary!P$13,CF!$3:$3,0),FALSE)</f>
        <v>92</v>
      </c>
      <c r="Q35" s="420">
        <f>VLOOKUP($B35,BS!$1:$1048576,MATCH(Summary!Q$13,CF!$3:$3,0),FALSE)</f>
        <v>82</v>
      </c>
      <c r="R35" s="420">
        <f>VLOOKUP($B35,BS!$1:$1048576,MATCH(Summary!R$13,CF!$3:$3,0),FALSE)</f>
        <v>72</v>
      </c>
    </row>
    <row r="36" spans="1:18" ht="34.5" customHeight="1">
      <c r="A36" s="24" t="s">
        <v>417</v>
      </c>
      <c r="B36" s="24" t="s">
        <v>153</v>
      </c>
      <c r="C36" s="24"/>
      <c r="D36" s="422" t="s">
        <v>394</v>
      </c>
      <c r="E36" s="420">
        <f>VLOOKUP($A36,PL!$1:$1048576,MATCH(Summary!E$13,PL!$3:$3,0),FALSE)</f>
        <v>1223.0999999999999</v>
      </c>
      <c r="F36" s="420">
        <f>VLOOKUP($A36,PL!$1:$1048576,MATCH(Summary!F$13,PL!$3:$3,0),FALSE)</f>
        <v>1225.7</v>
      </c>
      <c r="G36" s="420">
        <f>VLOOKUP($A36,PL!$1:$1048576,MATCH(Summary!G$13,PL!$3:$3,0),FALSE)</f>
        <v>1228.7</v>
      </c>
      <c r="H36" s="420">
        <f>VLOOKUP($A36,PL!$1:$1048576,MATCH(Summary!H$13,PL!$3:$3,0),FALSE)</f>
        <v>1230.7</v>
      </c>
      <c r="I36" s="420">
        <f>VLOOKUP($A36,PL!$1:$1048576,MATCH(Summary!I$13,PL!$3:$3,0),FALSE)</f>
        <v>1232.7</v>
      </c>
      <c r="J36" s="420">
        <f>VLOOKUP($A36,PL!$1:$1048576,MATCH(Summary!J$13,PL!$3:$3,0),FALSE)</f>
        <v>1234.7</v>
      </c>
      <c r="K36" s="404"/>
      <c r="L36" s="428" t="s">
        <v>153</v>
      </c>
      <c r="M36" s="424">
        <f>VLOOKUP($B36,BS!$1:$1048576,MATCH(Summary!M$13,CF!$3:$3,0),FALSE)</f>
        <v>6565</v>
      </c>
      <c r="N36" s="424">
        <f>VLOOKUP($B36,BS!$1:$1048576,MATCH(Summary!N$13,CF!$3:$3,0),FALSE)</f>
        <v>5570</v>
      </c>
      <c r="O36" s="424">
        <f>VLOOKUP($B36,BS!$1:$1048576,MATCH(Summary!O$13,CF!$3:$3,0),FALSE)</f>
        <v>4962</v>
      </c>
      <c r="P36" s="424">
        <f>VLOOKUP($B36,BS!$1:$1048576,MATCH(Summary!P$13,CF!$3:$3,0),FALSE)</f>
        <v>5372.547806101421</v>
      </c>
      <c r="Q36" s="424">
        <f>VLOOKUP($B36,BS!$1:$1048576,MATCH(Summary!Q$13,CF!$3:$3,0),FALSE)</f>
        <v>5845.2314882012888</v>
      </c>
      <c r="R36" s="424">
        <f>VLOOKUP($B36,BS!$1:$1048576,MATCH(Summary!R$13,CF!$3:$3,0),FALSE)</f>
        <v>6385.7434649397974</v>
      </c>
    </row>
    <row r="37" spans="1:18" ht="34.5" customHeight="1">
      <c r="A37" s="24" t="s">
        <v>218</v>
      </c>
      <c r="B37" s="24" t="s">
        <v>221</v>
      </c>
      <c r="C37" s="24"/>
      <c r="D37" s="423" t="s">
        <v>218</v>
      </c>
      <c r="E37" s="431">
        <f>VLOOKUP($A37,PL!$1:$1048576,MATCH(Summary!E$13,PL!$3:$3,0),FALSE)</f>
        <v>1.4070803695527758</v>
      </c>
      <c r="F37" s="431">
        <f>VLOOKUP($A37,PL!$1:$1048576,MATCH(Summary!F$13,PL!$3:$3,0),FALSE)</f>
        <v>1.3959370155829323</v>
      </c>
      <c r="G37" s="431">
        <f>VLOOKUP($A37,PL!$1:$1048576,MATCH(Summary!G$13,PL!$3:$3,0),FALSE)</f>
        <v>1.1272076178074386</v>
      </c>
      <c r="H37" s="431">
        <f>VLOOKUP($A37,PL!$1:$1048576,MATCH(Summary!H$13,PL!$3:$3,0),FALSE)</f>
        <v>1.2854499514042714</v>
      </c>
      <c r="I37" s="431">
        <f>VLOOKUP($A37,PL!$1:$1048576,MATCH(Summary!I$13,PL!$3:$3,0),FALSE)</f>
        <v>1.4683912012188902</v>
      </c>
      <c r="J37" s="431">
        <f>VLOOKUP($A37,PL!$1:$1048576,MATCH(Summary!J$13,PL!$3:$3,0),FALSE)</f>
        <v>1.6668442276018223</v>
      </c>
      <c r="K37" s="404"/>
      <c r="L37" s="428" t="s">
        <v>395</v>
      </c>
      <c r="M37" s="424">
        <f>VLOOKUP($B37,BS!$1:$1048576,MATCH(Summary!M$13,CF!$3:$3,0),FALSE)</f>
        <v>2620</v>
      </c>
      <c r="N37" s="424">
        <f>VLOOKUP($B37,BS!$1:$1048576,MATCH(Summary!N$13,CF!$3:$3,0),FALSE)</f>
        <v>3280</v>
      </c>
      <c r="O37" s="424">
        <f>VLOOKUP($B37,BS!$1:$1048576,MATCH(Summary!O$13,CF!$3:$3,0),FALSE)</f>
        <v>4236</v>
      </c>
      <c r="P37" s="424">
        <f>VLOOKUP($B37,BS!$1:$1048576,MATCH(Summary!P$13,CF!$3:$3,0),FALSE)</f>
        <v>4131.938828364141</v>
      </c>
      <c r="Q37" s="424">
        <f>VLOOKUP($B37,BS!$1:$1048576,MATCH(Summary!Q$13,CF!$3:$3,0),FALSE)</f>
        <v>3875.0194837058089</v>
      </c>
      <c r="R37" s="424">
        <f>VLOOKUP($B37,BS!$1:$1048576,MATCH(Summary!R$13,CF!$3:$3,0),FALSE)</f>
        <v>3482.1032975539229</v>
      </c>
    </row>
    <row r="38" spans="1:18" ht="34.5" customHeight="1">
      <c r="A38" s="24" t="s">
        <v>219</v>
      </c>
      <c r="B38" s="24"/>
      <c r="C38" s="24"/>
      <c r="D38" s="422" t="s">
        <v>551</v>
      </c>
      <c r="E38" s="432">
        <f>VLOOKUP($A38,PL!$1:$1048576,MATCH(Summary!E$13,PL!$3:$3,0),FALSE)</f>
        <v>1.04</v>
      </c>
      <c r="F38" s="432">
        <f>VLOOKUP($A38,PL!$1:$1048576,MATCH(Summary!F$13,PL!$3:$3,0),FALSE)</f>
        <v>1.44</v>
      </c>
      <c r="G38" s="432">
        <f>VLOOKUP($A38,PL!$1:$1048576,MATCH(Summary!G$13,PL!$3:$3,0),FALSE)</f>
        <v>0.84</v>
      </c>
      <c r="H38" s="432">
        <f>VLOOKUP($A38,PL!$1:$1048576,MATCH(Summary!H$13,PL!$3:$3,0),FALSE)</f>
        <v>0.9512329640391608</v>
      </c>
      <c r="I38" s="432">
        <f>VLOOKUP($A38,PL!$1:$1048576,MATCH(Summary!I$13,PL!$3:$3,0),FALSE)</f>
        <v>1.0866094889019788</v>
      </c>
      <c r="J38" s="432">
        <f>VLOOKUP($A38,PL!$1:$1048576,MATCH(Summary!J$13,PL!$3:$3,0),FALSE)</f>
        <v>1.2334647284253484</v>
      </c>
      <c r="K38" s="404"/>
      <c r="L38" s="417" t="s">
        <v>484</v>
      </c>
      <c r="M38" s="418" t="str">
        <f>E$13</f>
        <v>FY23</v>
      </c>
      <c r="N38" s="418" t="str">
        <f t="shared" ref="N38" si="13">F$13</f>
        <v>FY24</v>
      </c>
      <c r="O38" s="418" t="str">
        <f t="shared" ref="O38" si="14">G$13</f>
        <v>FY25</v>
      </c>
      <c r="P38" s="418" t="str">
        <f t="shared" ref="P38" si="15">H$13</f>
        <v>FY26E</v>
      </c>
      <c r="Q38" s="418" t="str">
        <f t="shared" ref="Q38" si="16">I$13</f>
        <v>FY27E</v>
      </c>
      <c r="R38" s="418" t="str">
        <f t="shared" ref="R38" si="17">J$13</f>
        <v>FY28E</v>
      </c>
    </row>
    <row r="39" spans="1:18" ht="34.5" customHeight="1">
      <c r="B39" s="24" t="s">
        <v>361</v>
      </c>
      <c r="C39" s="24"/>
      <c r="D39" s="426"/>
      <c r="E39" s="433"/>
      <c r="F39" s="433"/>
      <c r="G39" s="433"/>
      <c r="H39" s="433"/>
      <c r="I39" s="433"/>
      <c r="J39" s="433"/>
      <c r="K39" s="404"/>
      <c r="L39" s="434" t="s">
        <v>455</v>
      </c>
      <c r="M39" s="435">
        <f>VLOOKUP($B39,Model!$1:$1048576,MATCH(Summary!M$13,CF!$3:$3,0),FALSE)</f>
        <v>4.2000000000000003E-2</v>
      </c>
      <c r="N39" s="435">
        <f>VLOOKUP($B39,Model!$1:$1048576,MATCH(Summary!N$13,CF!$3:$3,0),FALSE)</f>
        <v>2.8000000000000001E-2</v>
      </c>
      <c r="O39" s="435">
        <f>VLOOKUP($B39,Model!$1:$1048576,MATCH(Summary!O$13,CF!$3:$3,0),FALSE)</f>
        <v>2.4E-2</v>
      </c>
      <c r="P39" s="435">
        <f>VLOOKUP($B39,Model!$1:$1048576,MATCH(Summary!P$13,CF!$3:$3,0),FALSE)</f>
        <v>2.9749999999999999E-2</v>
      </c>
      <c r="Q39" s="435">
        <f>VLOOKUP($B39,Model!$1:$1048576,MATCH(Summary!Q$13,CF!$3:$3,0),FALSE)</f>
        <v>3.5000000000000003E-2</v>
      </c>
      <c r="R39" s="435">
        <f>VLOOKUP($B39,Model!$1:$1048576,MATCH(Summary!R$13,CF!$3:$3,0),FALSE)</f>
        <v>3.5000000000000003E-2</v>
      </c>
    </row>
    <row r="40" spans="1:18" ht="34.5" customHeight="1">
      <c r="B40" s="24" t="s">
        <v>433</v>
      </c>
      <c r="C40" s="24"/>
      <c r="D40" s="417" t="s">
        <v>483</v>
      </c>
      <c r="E40" s="418" t="s">
        <v>14</v>
      </c>
      <c r="F40" s="418" t="s">
        <v>15</v>
      </c>
      <c r="G40" s="418" t="s">
        <v>16</v>
      </c>
      <c r="H40" s="418" t="s">
        <v>35</v>
      </c>
      <c r="I40" s="418" t="s">
        <v>36</v>
      </c>
      <c r="J40" s="418" t="s">
        <v>372</v>
      </c>
      <c r="K40" s="404"/>
      <c r="L40" s="434" t="s">
        <v>433</v>
      </c>
      <c r="M40" s="460">
        <f>VLOOKUP($B40,Model!$1:$1048576,MATCH(Summary!M$13,CF!$3:$3,0),FALSE)</f>
        <v>5.9629113160030806E-2</v>
      </c>
      <c r="N40" s="460">
        <f>VLOOKUP($B40,Model!$1:$1048576,MATCH(Summary!N$13,CF!$3:$3,0),FALSE)</f>
        <v>6.1979812289711354E-2</v>
      </c>
      <c r="O40" s="460">
        <f>VLOOKUP($B40,Model!$1:$1048576,MATCH(Summary!O$13,CF!$3:$3,0),FALSE)</f>
        <v>5.2847265382224985E-2</v>
      </c>
      <c r="P40" s="460">
        <f>VLOOKUP($B40,Model!$1:$1048576,MATCH(Summary!P$13,CF!$3:$3,0),FALSE)</f>
        <v>5.5034150024018264E-2</v>
      </c>
      <c r="Q40" s="460">
        <f>VLOOKUP($B40,Model!$1:$1048576,MATCH(Summary!Q$13,CF!$3:$3,0),FALSE)</f>
        <v>5.8387882403232706E-2</v>
      </c>
      <c r="R40" s="460">
        <f>VLOOKUP($B40,Model!$1:$1048576,MATCH(Summary!R$13,CF!$3:$3,0),FALSE)</f>
        <v>6.2087062570586049E-2</v>
      </c>
    </row>
    <row r="41" spans="1:18" ht="34.5" customHeight="1">
      <c r="A41" s="24" t="s">
        <v>39</v>
      </c>
      <c r="B41" s="24" t="s">
        <v>363</v>
      </c>
      <c r="C41" s="24"/>
      <c r="D41" s="404" t="s">
        <v>39</v>
      </c>
      <c r="E41" s="436">
        <f>VLOOKUP($A41,CF!$1:$1048576,MATCH(Summary!E$13,CF!$3:$3,0),FALSE)</f>
        <v>3116</v>
      </c>
      <c r="F41" s="436">
        <f>VLOOKUP($A41,CF!$1:$1048576,MATCH(Summary!F$13,CF!$3:$3,0),FALSE)</f>
        <v>3223</v>
      </c>
      <c r="G41" s="436">
        <f>VLOOKUP($A41,CF!$1:$1048576,MATCH(Summary!G$13,CF!$3:$3,0),FALSE)</f>
        <v>2754</v>
      </c>
      <c r="H41" s="436">
        <f>VLOOKUP($A41,CF!$1:$1048576,MATCH(Summary!H$13,CF!$3:$3,0),FALSE)</f>
        <v>3051.1354981411619</v>
      </c>
      <c r="I41" s="436">
        <f>VLOOKUP($A41,CF!$1:$1048576,MATCH(Summary!I$13,CF!$3:$3,0),FALSE)</f>
        <v>3393.8772883961965</v>
      </c>
      <c r="J41" s="436">
        <f>VLOOKUP($A41,CF!$1:$1048576,MATCH(Summary!J$13,CF!$3:$3,0),FALSE)</f>
        <v>3765.4527949074968</v>
      </c>
      <c r="K41" s="404"/>
      <c r="L41" s="434" t="s">
        <v>456</v>
      </c>
      <c r="M41" s="435">
        <f>VLOOKUP($B41,Model!$1:$1048576,MATCH(Summary!M$13,CF!$3:$3,0),FALSE)</f>
        <v>3.5000000000000003E-2</v>
      </c>
      <c r="N41" s="435">
        <f>VLOOKUP($B41,Model!$1:$1048576,MATCH(Summary!N$13,CF!$3:$3,0),FALSE)</f>
        <v>1.7999999999999999E-2</v>
      </c>
      <c r="O41" s="435">
        <f>VLOOKUP($B41,Model!$1:$1048576,MATCH(Summary!O$13,CF!$3:$3,0),FALSE)</f>
        <v>3.7999999999999999E-2</v>
      </c>
      <c r="P41" s="435">
        <f>VLOOKUP($B41,Model!$1:$1048576,MATCH(Summary!P$13,CF!$3:$3,0),FALSE)</f>
        <v>3.4250000000000003E-2</v>
      </c>
      <c r="Q41" s="435">
        <f>VLOOKUP($B41,Model!$1:$1048576,MATCH(Summary!Q$13,CF!$3:$3,0),FALSE)</f>
        <v>3.5000000000000003E-2</v>
      </c>
      <c r="R41" s="435">
        <f>VLOOKUP($B41,Model!$1:$1048576,MATCH(Summary!R$13,CF!$3:$3,0),FALSE)</f>
        <v>3.5000000000000003E-2</v>
      </c>
    </row>
    <row r="42" spans="1:18" ht="34.5" customHeight="1">
      <c r="A42" s="24" t="s">
        <v>45</v>
      </c>
      <c r="B42" s="24" t="s">
        <v>434</v>
      </c>
      <c r="C42" s="24"/>
      <c r="D42" s="404" t="s">
        <v>45</v>
      </c>
      <c r="E42" s="436">
        <f>VLOOKUP($A42,CF!$1:$1048576,MATCH(Summary!E$13,CF!$3:$3,0),FALSE)</f>
        <v>2578</v>
      </c>
      <c r="F42" s="436">
        <f>VLOOKUP($A42,CF!$1:$1048576,MATCH(Summary!F$13,CF!$3:$3,0),FALSE)</f>
        <v>2778</v>
      </c>
      <c r="G42" s="436">
        <f>VLOOKUP($A42,CF!$1:$1048576,MATCH(Summary!G$13,CF!$3:$3,0),FALSE)</f>
        <v>2953</v>
      </c>
      <c r="H42" s="436">
        <f>VLOOKUP($A42,CF!$1:$1048576,MATCH(Summary!H$13,CF!$3:$3,0),FALSE)</f>
        <v>3071.12</v>
      </c>
      <c r="I42" s="436">
        <f>VLOOKUP($A42,CF!$1:$1048576,MATCH(Summary!I$13,CF!$3:$3,0),FALSE)</f>
        <v>3193.9648000000002</v>
      </c>
      <c r="J42" s="436">
        <f>VLOOKUP($A42,CF!$1:$1048576,MATCH(Summary!J$13,CF!$3:$3,0),FALSE)</f>
        <v>3321.7233920000003</v>
      </c>
      <c r="K42" s="404"/>
      <c r="L42" s="434" t="s">
        <v>434</v>
      </c>
      <c r="M42" s="460">
        <f>VLOOKUP($B42,Model!$1:$1048576,MATCH(Summary!M$13,CF!$3:$3,0),FALSE)</f>
        <v>3.1471183013144589E-2</v>
      </c>
      <c r="N42" s="460">
        <f>VLOOKUP($B42,Model!$1:$1048576,MATCH(Summary!N$13,CF!$3:$3,0),FALSE)</f>
        <v>1.3225569434239529E-2</v>
      </c>
      <c r="O42" s="460">
        <f>VLOOKUP($B42,Model!$1:$1048576,MATCH(Summary!O$13,CF!$3:$3,0),FALSE)</f>
        <v>1.8102824040550327E-2</v>
      </c>
      <c r="P42" s="460">
        <f>VLOOKUP($B42,Model!$1:$1048576,MATCH(Summary!P$13,CF!$3:$3,0),FALSE)</f>
        <v>2.1000000000000001E-2</v>
      </c>
      <c r="Q42" s="460">
        <f>VLOOKUP($B42,Model!$1:$1048576,MATCH(Summary!Q$13,CF!$3:$3,0),FALSE)</f>
        <v>2.3E-2</v>
      </c>
      <c r="R42" s="460">
        <f>VLOOKUP($B42,Model!$1:$1048576,MATCH(Summary!R$13,CF!$3:$3,0),FALSE)</f>
        <v>2.5000000000000001E-2</v>
      </c>
    </row>
    <row r="43" spans="1:18" ht="34.5" customHeight="1">
      <c r="A43" s="24" t="s">
        <v>85</v>
      </c>
      <c r="B43" s="24"/>
      <c r="C43" s="24"/>
      <c r="D43" s="436" t="s">
        <v>85</v>
      </c>
      <c r="E43" s="436">
        <f>VLOOKUP($A43,CF!$1:$1048576,MATCH(Summary!E$13,CF!$3:$3,0),FALSE)</f>
        <v>-677</v>
      </c>
      <c r="F43" s="436">
        <f>VLOOKUP($A43,CF!$1:$1048576,MATCH(Summary!F$13,CF!$3:$3,0),FALSE)</f>
        <v>-740</v>
      </c>
      <c r="G43" s="436">
        <f>VLOOKUP($A43,CF!$1:$1048576,MATCH(Summary!G$13,CF!$3:$3,0),FALSE)</f>
        <v>-811</v>
      </c>
      <c r="H43" s="436">
        <f>VLOOKUP($A43,CF!$1:$1048576,MATCH(Summary!H$13,CF!$3:$3,0),FALSE)</f>
        <v>-815</v>
      </c>
      <c r="I43" s="436">
        <f>VLOOKUP($A43,CF!$1:$1048576,MATCH(Summary!I$13,CF!$3:$3,0),FALSE)</f>
        <v>-833.30000000000007</v>
      </c>
      <c r="J43" s="436">
        <f>VLOOKUP($A43,CF!$1:$1048576,MATCH(Summary!J$13,CF!$3:$3,0),FALSE)</f>
        <v>-852.14900000000011</v>
      </c>
      <c r="K43" s="404"/>
      <c r="L43" s="417" t="s">
        <v>485</v>
      </c>
      <c r="M43" s="418" t="str">
        <f>E$13</f>
        <v>FY23</v>
      </c>
      <c r="N43" s="418" t="str">
        <f t="shared" ref="N43" si="18">F$13</f>
        <v>FY24</v>
      </c>
      <c r="O43" s="418" t="str">
        <f t="shared" ref="O43" si="19">G$13</f>
        <v>FY25</v>
      </c>
      <c r="P43" s="418" t="str">
        <f t="shared" ref="P43" si="20">H$13</f>
        <v>FY26E</v>
      </c>
      <c r="Q43" s="418" t="str">
        <f t="shared" ref="Q43" si="21">I$13</f>
        <v>FY27E</v>
      </c>
      <c r="R43" s="418" t="str">
        <f t="shared" ref="R43" si="22">J$13</f>
        <v>FY28E</v>
      </c>
    </row>
    <row r="44" spans="1:18" ht="34.5" customHeight="1">
      <c r="A44" s="24" t="s">
        <v>396</v>
      </c>
      <c r="B44" s="24" t="s">
        <v>435</v>
      </c>
      <c r="C44" s="24"/>
      <c r="D44" s="426" t="s">
        <v>396</v>
      </c>
      <c r="E44" s="436">
        <f>VLOOKUP($A44,CF!$1:$1048576,MATCH(Summary!E$13,CF!$3:$3,0),FALSE)</f>
        <v>-707</v>
      </c>
      <c r="F44" s="436">
        <f>VLOOKUP($A44,CF!$1:$1048576,MATCH(Summary!F$13,CF!$3:$3,0),FALSE)</f>
        <v>-763</v>
      </c>
      <c r="G44" s="436">
        <f>VLOOKUP($A44,CF!$1:$1048576,MATCH(Summary!G$13,CF!$3:$3,0),FALSE)</f>
        <v>-568</v>
      </c>
      <c r="H44" s="436">
        <f>VLOOKUP($A44,CF!$1:$1048576,MATCH(Summary!H$13,CF!$3:$3,0),FALSE)</f>
        <v>-664.13224294792508</v>
      </c>
      <c r="I44" s="436">
        <f>VLOOKUP($A44,CF!$1:$1048576,MATCH(Summary!I$13,CF!$3:$3,0),FALSE)</f>
        <v>-760.4914546536703</v>
      </c>
      <c r="J44" s="436">
        <f>VLOOKUP($A44,CF!$1:$1048576,MATCH(Summary!J$13,CF!$3:$3,0),FALSE)</f>
        <v>-865.25122708752656</v>
      </c>
      <c r="K44" s="438"/>
      <c r="L44" s="404" t="s">
        <v>457</v>
      </c>
      <c r="M44" s="435">
        <f>VLOOKUP($B44,PL!$1:$1048576,MATCH(Summary!M$13,CF!$3:$3,0),FALSE)</f>
        <v>5.6615556541602885E-2</v>
      </c>
      <c r="N44" s="435">
        <f>VLOOKUP($B44,PL!$1:$1048576,MATCH(Summary!N$13,CF!$3:$3,0),FALSE)</f>
        <v>5.6428282576912236E-2</v>
      </c>
      <c r="O44" s="435">
        <f>VLOOKUP($B44,PL!$1:$1048576,MATCH(Summary!O$13,CF!$3:$3,0),FALSE)</f>
        <v>1.7004799623097089E-2</v>
      </c>
      <c r="P44" s="435">
        <f>VLOOKUP($B44,PL!$1:$1048576,MATCH(Summary!P$13,CF!$3:$3,0),FALSE)</f>
        <v>3.0049779699457879E-2</v>
      </c>
      <c r="Q44" s="435">
        <f>VLOOKUP($B44,PL!$1:$1048576,MATCH(Summary!Q$13,CF!$3:$3,0),FALSE)</f>
        <v>3.9988750522475858E-2</v>
      </c>
      <c r="R44" s="435">
        <f>VLOOKUP($B44,PL!$1:$1048576,MATCH(Summary!R$13,CF!$3:$3,0),FALSE)</f>
        <v>4.0988380407449343E-2</v>
      </c>
    </row>
    <row r="45" spans="1:18" ht="34.5" customHeight="1">
      <c r="A45" s="24" t="s">
        <v>418</v>
      </c>
      <c r="B45" s="24" t="s">
        <v>436</v>
      </c>
      <c r="C45" s="24"/>
      <c r="D45" s="437" t="s">
        <v>397</v>
      </c>
      <c r="E45" s="436">
        <f>VLOOKUP($A45,CF!$1:$1048576,MATCH(Summary!E$13,CF!$3:$3,0),FALSE)</f>
        <v>544</v>
      </c>
      <c r="F45" s="436">
        <f>VLOOKUP($A45,CF!$1:$1048576,MATCH(Summary!F$13,CF!$3:$3,0),FALSE)</f>
        <v>-396</v>
      </c>
      <c r="G45" s="436">
        <f>VLOOKUP($A45,CF!$1:$1048576,MATCH(Summary!G$13,CF!$3:$3,0),FALSE)</f>
        <v>367</v>
      </c>
      <c r="H45" s="436">
        <f>VLOOKUP($A45,CF!$1:$1048576,MATCH(Summary!H$13,CF!$3:$3,0),FALSE)</f>
        <v>86.543365534438635</v>
      </c>
      <c r="I45" s="436">
        <f>VLOOKUP($A45,CF!$1:$1048576,MATCH(Summary!I$13,CF!$3:$3,0),FALSE)</f>
        <v>118.62836255846378</v>
      </c>
      <c r="J45" s="436">
        <f>VLOOKUP($A45,CF!$1:$1048576,MATCH(Summary!J$13,CF!$3:$3,0),FALSE)</f>
        <v>126.45619241337772</v>
      </c>
      <c r="K45" s="404"/>
      <c r="L45" s="404" t="s">
        <v>458</v>
      </c>
      <c r="M45" s="435">
        <f>VLOOKUP($B45,PL!$1:$1048576,MATCH(Summary!M$13,CF!$3:$3,0),FALSE)</f>
        <v>0.1583643122676579</v>
      </c>
      <c r="N45" s="435">
        <f>VLOOKUP($B45,PL!$1:$1048576,MATCH(Summary!N$13,CF!$3:$3,0),FALSE)</f>
        <v>3.4338896020539078E-2</v>
      </c>
      <c r="O45" s="435">
        <f>VLOOKUP($B45,PL!$1:$1048576,MATCH(Summary!O$13,CF!$3:$3,0),FALSE)</f>
        <v>-0.14551659944151407</v>
      </c>
      <c r="P45" s="435">
        <f>VLOOKUP($B45,PL!$1:$1048576,MATCH(Summary!P$13,CF!$3:$3,0),FALSE)</f>
        <v>0.10789233774188878</v>
      </c>
      <c r="Q45" s="435">
        <f>VLOOKUP($B45,PL!$1:$1048576,MATCH(Summary!Q$13,CF!$3:$3,0),FALSE)</f>
        <v>0.11233253667817844</v>
      </c>
      <c r="R45" s="435">
        <f>VLOOKUP($B45,PL!$1:$1048576,MATCH(Summary!R$13,CF!$3:$3,0),FALSE)</f>
        <v>0.10948407232687285</v>
      </c>
    </row>
    <row r="46" spans="1:18" ht="34.5" customHeight="1">
      <c r="A46" s="24" t="s">
        <v>77</v>
      </c>
      <c r="B46" s="24" t="s">
        <v>438</v>
      </c>
      <c r="C46" s="24"/>
      <c r="D46" s="426" t="s">
        <v>77</v>
      </c>
      <c r="E46" s="436">
        <f>VLOOKUP($A46,CF!$1:$1048576,MATCH(Summary!E$13,CF!$3:$3,0),FALSE)</f>
        <v>-100</v>
      </c>
      <c r="F46" s="436">
        <f>VLOOKUP($A46,CF!$1:$1048576,MATCH(Summary!F$13,CF!$3:$3,0),FALSE)</f>
        <v>257</v>
      </c>
      <c r="G46" s="436">
        <f>VLOOKUP($A46,CF!$1:$1048576,MATCH(Summary!G$13,CF!$3:$3,0),FALSE)</f>
        <v>-145</v>
      </c>
      <c r="H46" s="436">
        <f>VLOOKUP($A46,CF!$1:$1048576,MATCH(Summary!H$13,CF!$3:$3,0),FALSE)</f>
        <v>0</v>
      </c>
      <c r="I46" s="436">
        <f>VLOOKUP($A46,CF!$1:$1048576,MATCH(Summary!I$13,CF!$3:$3,0),FALSE)</f>
        <v>0</v>
      </c>
      <c r="J46" s="436">
        <f>VLOOKUP($A46,CF!$1:$1048576,MATCH(Summary!J$13,CF!$3:$3,0),FALSE)</f>
        <v>0</v>
      </c>
      <c r="K46" s="404"/>
      <c r="L46" s="404" t="s">
        <v>438</v>
      </c>
      <c r="M46" s="435">
        <f>VLOOKUP($B46,PL!$1:$1048576,MATCH(Summary!M$13,CF!$3:$3,0),FALSE)</f>
        <v>0.13672391017173058</v>
      </c>
      <c r="N46" s="435">
        <f>VLOOKUP($B46,PL!$1:$1048576,MATCH(Summary!N$13,CF!$3:$3,0),FALSE)</f>
        <v>-5.8105752469495009E-3</v>
      </c>
      <c r="O46" s="435">
        <f>VLOOKUP($B46,PL!$1:$1048576,MATCH(Summary!O$13,CF!$3:$3,0),FALSE)</f>
        <v>-0.19053185271770889</v>
      </c>
      <c r="P46" s="435">
        <f>VLOOKUP($B46,PL!$1:$1048576,MATCH(Summary!P$13,CF!$3:$3,0),FALSE)</f>
        <v>0.14224061746804106</v>
      </c>
      <c r="Q46" s="435">
        <f>VLOOKUP($B46,PL!$1:$1048576,MATCH(Summary!Q$13,CF!$3:$3,0),FALSE)</f>
        <v>0.14417326753315041</v>
      </c>
      <c r="R46" s="435">
        <f>VLOOKUP($B46,PL!$1:$1048576,MATCH(Summary!R$13,CF!$3:$3,0),FALSE)</f>
        <v>0.13699169920840104</v>
      </c>
    </row>
    <row r="47" spans="1:18" ht="34.5" customHeight="1">
      <c r="A47" s="24" t="s">
        <v>220</v>
      </c>
      <c r="B47" s="24" t="s">
        <v>439</v>
      </c>
      <c r="C47" s="24"/>
      <c r="D47" s="439" t="s">
        <v>398</v>
      </c>
      <c r="E47" s="440">
        <f>VLOOKUP($A47,CF!$1:$1048576,MATCH(Summary!E$13,CF!$3:$3,0),FALSE)</f>
        <v>4754</v>
      </c>
      <c r="F47" s="440">
        <f>VLOOKUP($A47,CF!$1:$1048576,MATCH(Summary!F$13,CF!$3:$3,0),FALSE)</f>
        <v>4359</v>
      </c>
      <c r="G47" s="440">
        <f>VLOOKUP($A47,CF!$1:$1048576,MATCH(Summary!G$13,CF!$3:$3,0),FALSE)</f>
        <v>4550</v>
      </c>
      <c r="H47" s="440">
        <f>VLOOKUP($A47,CF!$1:$1048576,MATCH(Summary!H$13,CF!$3:$3,0),FALSE)</f>
        <v>4729.6666207276749</v>
      </c>
      <c r="I47" s="440">
        <f>VLOOKUP($A47,CF!$1:$1048576,MATCH(Summary!I$13,CF!$3:$3,0),FALSE)</f>
        <v>5112.6789963009905</v>
      </c>
      <c r="J47" s="440">
        <f>VLOOKUP($A47,CF!$1:$1048576,MATCH(Summary!J$13,CF!$3:$3,0),FALSE)</f>
        <v>5496.2321522333477</v>
      </c>
      <c r="K47" s="404"/>
      <c r="L47" s="404" t="s">
        <v>439</v>
      </c>
      <c r="M47" s="435">
        <f>VLOOKUP($B47,PL!$1:$1048576,MATCH(Summary!M$13,CF!$3:$3,0),FALSE)</f>
        <v>0.14341544165177011</v>
      </c>
      <c r="N47" s="435">
        <f>VLOOKUP($B47,PL!$1:$1048576,MATCH(Summary!N$13,CF!$3:$3,0),FALSE)</f>
        <v>-7.9194864849015945E-3</v>
      </c>
      <c r="O47" s="435">
        <f>VLOOKUP($B47,PL!$1:$1048576,MATCH(Summary!O$13,CF!$3:$3,0),FALSE)</f>
        <v>-0.19250825415162043</v>
      </c>
      <c r="P47" s="435">
        <f>VLOOKUP($B47,PL!$1:$1048576,MATCH(Summary!P$13,CF!$3:$3,0),FALSE)</f>
        <v>0.14038437205085086</v>
      </c>
      <c r="Q47" s="435">
        <f>VLOOKUP($B47,PL!$1:$1048576,MATCH(Summary!Q$13,CF!$3:$3,0),FALSE)</f>
        <v>0.14231689815287418</v>
      </c>
      <c r="R47" s="435">
        <f>VLOOKUP($B47,PL!$1:$1048576,MATCH(Summary!R$13,CF!$3:$3,0),FALSE)</f>
        <v>0.13514996972073856</v>
      </c>
    </row>
    <row r="48" spans="1:18" ht="34.5" customHeight="1">
      <c r="A48" s="170" t="s">
        <v>516</v>
      </c>
      <c r="B48" s="24"/>
      <c r="C48" s="24"/>
      <c r="D48" s="436" t="s">
        <v>516</v>
      </c>
      <c r="E48" s="436">
        <f>VLOOKUP($A48,CF!$1:$1048576,MATCH(Summary!E$13,CF!$3:$3,0),FALSE)</f>
        <v>-2158</v>
      </c>
      <c r="F48" s="436">
        <f>VLOOKUP($A48,CF!$1:$1048576,MATCH(Summary!F$13,CF!$3:$3,0),FALSE)</f>
        <v>-2206</v>
      </c>
      <c r="G48" s="436">
        <f>VLOOKUP($A48,CF!$1:$1048576,MATCH(Summary!G$13,CF!$3:$3,0),FALSE)</f>
        <v>-2230</v>
      </c>
      <c r="H48" s="436">
        <f>VLOOKUP($A48,CF!$1:$1048576,MATCH(Summary!H$13,CF!$3:$3,0),FALSE)</f>
        <v>-2180</v>
      </c>
      <c r="I48" s="436">
        <f>VLOOKUP($A48,CF!$1:$1048576,MATCH(Summary!I$13,CF!$3:$3,0),FALSE)</f>
        <v>-2180</v>
      </c>
      <c r="J48" s="436">
        <f>VLOOKUP($A48,CF!$1:$1048576,MATCH(Summary!J$13,CF!$3:$3,0),FALSE)</f>
        <v>-2180</v>
      </c>
      <c r="K48" s="404"/>
      <c r="L48" s="404" t="s">
        <v>462</v>
      </c>
      <c r="M48" s="441">
        <f t="shared" ref="M48:R48" si="23">E35/M36</f>
        <v>0.26214775323686212</v>
      </c>
      <c r="N48" s="441">
        <f t="shared" si="23"/>
        <v>0.30718132854578095</v>
      </c>
      <c r="O48" s="441">
        <f t="shared" si="23"/>
        <v>0.27912132204756146</v>
      </c>
      <c r="P48" s="441">
        <f t="shared" si="23"/>
        <v>0.29446052641851028</v>
      </c>
      <c r="Q48" s="441">
        <f t="shared" si="23"/>
        <v>0.30966880223584281</v>
      </c>
      <c r="R48" s="441">
        <f t="shared" si="23"/>
        <v>0.32228863860871881</v>
      </c>
    </row>
    <row r="49" spans="1:18" ht="34.5" customHeight="1">
      <c r="A49" s="24" t="s">
        <v>109</v>
      </c>
      <c r="B49" s="24"/>
      <c r="C49" s="24"/>
      <c r="D49" s="404" t="s">
        <v>109</v>
      </c>
      <c r="E49" s="436">
        <f>VLOOKUP($A49,CF!$1:$1048576,MATCH(Summary!E$13,CF!$3:$3,0),FALSE)</f>
        <v>-373</v>
      </c>
      <c r="F49" s="436">
        <f>VLOOKUP($A49,CF!$1:$1048576,MATCH(Summary!F$13,CF!$3:$3,0),FALSE)</f>
        <v>-487</v>
      </c>
      <c r="G49" s="436">
        <f>VLOOKUP($A49,CF!$1:$1048576,MATCH(Summary!G$13,CF!$3:$3,0),FALSE)</f>
        <v>-84</v>
      </c>
      <c r="H49" s="436">
        <f>VLOOKUP($A49,CF!$1:$1048576,MATCH(Summary!H$13,CF!$3:$3,0),FALSE)</f>
        <v>0</v>
      </c>
      <c r="I49" s="436">
        <f>VLOOKUP($A49,CF!$1:$1048576,MATCH(Summary!I$13,CF!$3:$3,0),FALSE)</f>
        <v>0</v>
      </c>
      <c r="J49" s="436">
        <f>VLOOKUP($A49,CF!$1:$1048576,MATCH(Summary!J$13,CF!$3:$3,0),FALSE)</f>
        <v>0</v>
      </c>
      <c r="K49" s="404"/>
      <c r="L49" s="426"/>
      <c r="M49" s="442"/>
      <c r="N49" s="442"/>
      <c r="O49" s="442"/>
      <c r="P49" s="442"/>
      <c r="Q49" s="442"/>
      <c r="R49" s="442"/>
    </row>
    <row r="50" spans="1:18" ht="34.5" customHeight="1">
      <c r="A50" s="170" t="s">
        <v>550</v>
      </c>
      <c r="B50" s="24"/>
      <c r="C50" s="24"/>
      <c r="D50" s="404" t="s">
        <v>550</v>
      </c>
      <c r="E50" s="436">
        <f>VLOOKUP($A50,CF!$1:$1048576,MATCH(Summary!E$13,CF!$3:$3,0),FALSE)</f>
        <v>659</v>
      </c>
      <c r="F50" s="436">
        <f>VLOOKUP($A50,CF!$1:$1048576,MATCH(Summary!F$13,CF!$3:$3,0),FALSE)</f>
        <v>466</v>
      </c>
      <c r="G50" s="436">
        <f>VLOOKUP($A50,CF!$1:$1048576,MATCH(Summary!G$13,CF!$3:$3,0),FALSE)</f>
        <v>408</v>
      </c>
      <c r="H50" s="436">
        <f>VLOOKUP($A50,CF!$1:$1048576,MATCH(Summary!H$13,CF!$3:$3,0),FALSE)</f>
        <v>0</v>
      </c>
      <c r="I50" s="436">
        <f>VLOOKUP($A50,CF!$1:$1048576,MATCH(Summary!I$13,CF!$3:$3,0),FALSE)</f>
        <v>0</v>
      </c>
      <c r="J50" s="436">
        <f>VLOOKUP($A50,CF!$1:$1048576,MATCH(Summary!J$13,CF!$3:$3,0),FALSE)</f>
        <v>0</v>
      </c>
      <c r="K50" s="426"/>
      <c r="L50" s="417" t="s">
        <v>211</v>
      </c>
      <c r="M50" s="418" t="s">
        <v>14</v>
      </c>
      <c r="N50" s="418" t="s">
        <v>15</v>
      </c>
      <c r="O50" s="418" t="s">
        <v>16</v>
      </c>
      <c r="P50" s="418" t="s">
        <v>35</v>
      </c>
      <c r="Q50" s="418" t="s">
        <v>36</v>
      </c>
      <c r="R50" s="418" t="s">
        <v>372</v>
      </c>
    </row>
    <row r="51" spans="1:18" ht="34.5" customHeight="1">
      <c r="A51" s="24" t="s">
        <v>450</v>
      </c>
      <c r="B51" s="24"/>
      <c r="C51" s="24"/>
      <c r="D51" s="422" t="s">
        <v>400</v>
      </c>
      <c r="E51" s="436">
        <f>VLOOKUP($A51,CF!$1:$1048576,MATCH(Summary!E$13,CF!$3:$3,0),FALSE)</f>
        <v>-1067</v>
      </c>
      <c r="F51" s="436">
        <f>VLOOKUP($A51,CF!$1:$1048576,MATCH(Summary!F$13,CF!$3:$3,0),FALSE)</f>
        <v>-1138</v>
      </c>
      <c r="G51" s="436">
        <f>VLOOKUP($A51,CF!$1:$1048576,MATCH(Summary!G$13,CF!$3:$3,0),FALSE)</f>
        <v>-1223</v>
      </c>
      <c r="H51" s="436">
        <f>VLOOKUP($A51,CF!$1:$1048576,MATCH(Summary!H$13,CF!$3:$3,0),FALSE)</f>
        <v>-1284.1500000000001</v>
      </c>
      <c r="I51" s="436">
        <f>VLOOKUP($A51,CF!$1:$1048576,MATCH(Summary!I$13,CF!$3:$3,0),FALSE)</f>
        <v>-1348.3575000000001</v>
      </c>
      <c r="J51" s="436">
        <f>VLOOKUP($A51,CF!$1:$1048576,MATCH(Summary!J$13,CF!$3:$3,0),FALSE)</f>
        <v>-1415.7753750000002</v>
      </c>
      <c r="K51" s="426"/>
      <c r="L51" s="444" t="s">
        <v>210</v>
      </c>
      <c r="M51" s="442">
        <f t="shared" ref="M51:R51" si="24">$F$9/E37</f>
        <v>22.564453805926785</v>
      </c>
      <c r="N51" s="442">
        <f t="shared" si="24"/>
        <v>22.744579193454118</v>
      </c>
      <c r="O51" s="442">
        <f t="shared" si="24"/>
        <v>28.166949458483757</v>
      </c>
      <c r="P51" s="442">
        <f t="shared" si="24"/>
        <v>24.69952250207421</v>
      </c>
      <c r="Q51" s="442">
        <f t="shared" si="24"/>
        <v>21.622303357337461</v>
      </c>
      <c r="R51" s="442">
        <f t="shared" si="24"/>
        <v>19.047970694706379</v>
      </c>
    </row>
    <row r="52" spans="1:18" ht="34.5" customHeight="1">
      <c r="A52" s="24"/>
      <c r="B52" s="24"/>
      <c r="C52" s="24"/>
      <c r="D52" s="425" t="s">
        <v>401</v>
      </c>
      <c r="E52" s="443">
        <f t="shared" ref="E52:J52" si="25">SUM(E47:E51)</f>
        <v>1815</v>
      </c>
      <c r="F52" s="443">
        <f t="shared" si="25"/>
        <v>994</v>
      </c>
      <c r="G52" s="443">
        <f t="shared" si="25"/>
        <v>1421</v>
      </c>
      <c r="H52" s="443">
        <f t="shared" si="25"/>
        <v>1265.5166207276748</v>
      </c>
      <c r="I52" s="443">
        <f t="shared" si="25"/>
        <v>1584.3214963009905</v>
      </c>
      <c r="J52" s="443">
        <f t="shared" si="25"/>
        <v>1900.4567772333476</v>
      </c>
      <c r="K52" s="426"/>
      <c r="L52" s="437" t="s">
        <v>475</v>
      </c>
      <c r="M52" s="445">
        <f t="shared" ref="M52:R52" si="26">E38/$F$9</f>
        <v>3.2755905511811026E-2</v>
      </c>
      <c r="N52" s="445">
        <f t="shared" si="26"/>
        <v>4.5354330708661413E-2</v>
      </c>
      <c r="O52" s="445">
        <f t="shared" si="26"/>
        <v>2.6456692913385826E-2</v>
      </c>
      <c r="P52" s="445">
        <f t="shared" si="26"/>
        <v>2.996009335556412E-2</v>
      </c>
      <c r="Q52" s="445">
        <f t="shared" si="26"/>
        <v>3.4223920910298543E-2</v>
      </c>
      <c r="R52" s="445">
        <f t="shared" si="26"/>
        <v>3.8849282785050343E-2</v>
      </c>
    </row>
    <row r="53" spans="1:18" ht="34.5" customHeight="1">
      <c r="A53" s="24" t="s">
        <v>252</v>
      </c>
      <c r="B53" s="24"/>
      <c r="C53" s="24"/>
      <c r="D53" s="426" t="s">
        <v>252</v>
      </c>
      <c r="E53" s="436">
        <f>VLOOKUP($A53,CF!$1:$1048576,MATCH(Summary!E$13,CF!$3:$3,0),FALSE)</f>
        <v>-1026</v>
      </c>
      <c r="F53" s="436">
        <f>VLOOKUP($A53,CF!$1:$1048576,MATCH(Summary!F$13,CF!$3:$3,0),FALSE)</f>
        <v>-1172</v>
      </c>
      <c r="G53" s="436">
        <f>VLOOKUP($A53,CF!$1:$1048576,MATCH(Summary!G$13,CF!$3:$3,0),FALSE)</f>
        <v>-1661</v>
      </c>
      <c r="H53" s="436">
        <f>VLOOKUP($A53,CF!$1:$1048576,MATCH(Summary!H$13,CF!$3:$3,0),FALSE)</f>
        <v>-1161.4554490918156</v>
      </c>
      <c r="I53" s="436">
        <f>VLOOKUP($A53,CF!$1:$1048576,MATCH(Summary!I$13,CF!$3:$3,0),FALSE)</f>
        <v>-1327.4021516426578</v>
      </c>
      <c r="J53" s="436">
        <f>VLOOKUP($A53,CF!$1:$1048576,MATCH(Summary!J$13,CF!$3:$3,0),FALSE)</f>
        <v>-1507.5405910814613</v>
      </c>
      <c r="K53" s="426"/>
      <c r="L53" s="426" t="s">
        <v>473</v>
      </c>
      <c r="M53" s="446">
        <f>VLOOKUP($B54,PL!$1:$1048576,MATCH(Summary!M$13,PL!$3:$3,0),FALSE)</f>
        <v>0.73404299825682739</v>
      </c>
      <c r="N53" s="446">
        <f>VLOOKUP($B54,PL!$1:$1048576,MATCH(Summary!N$13,PL!$3:$3,0),FALSE)</f>
        <v>1.0265996493278784</v>
      </c>
      <c r="O53" s="446">
        <f>VLOOKUP($B54,PL!$1:$1048576,MATCH(Summary!O$13,PL!$3:$3,0),FALSE)</f>
        <v>0.74017039711191335</v>
      </c>
      <c r="P53" s="446">
        <f>VLOOKUP($B54,PL!$1:$1048576,MATCH(Summary!P$13,PL!$3:$3,0),FALSE)</f>
        <v>0.74</v>
      </c>
      <c r="Q53" s="446">
        <f>VLOOKUP($B54,PL!$1:$1048576,MATCH(Summary!Q$13,PL!$3:$3,0),FALSE)</f>
        <v>0.74</v>
      </c>
      <c r="R53" s="446">
        <f>VLOOKUP($B54,PL!$1:$1048576,MATCH(Summary!R$13,PL!$3:$3,0),FALSE)</f>
        <v>0.74</v>
      </c>
    </row>
    <row r="54" spans="1:18" ht="34.5" customHeight="1">
      <c r="A54" s="170" t="s">
        <v>553</v>
      </c>
      <c r="B54" s="24" t="s">
        <v>473</v>
      </c>
      <c r="C54" s="24"/>
      <c r="D54" s="426" t="s">
        <v>552</v>
      </c>
      <c r="E54" s="436">
        <f>VLOOKUP($A54,CF!$1:$1048576,MATCH(Summary!E$13,CF!$3:$3,0),FALSE)</f>
        <v>-115</v>
      </c>
      <c r="F54" s="436">
        <f>VLOOKUP($A54,CF!$1:$1048576,MATCH(Summary!F$13,CF!$3:$3,0),FALSE)</f>
        <v>-60</v>
      </c>
      <c r="G54" s="436">
        <f>VLOOKUP($A54,CF!$1:$1048576,MATCH(Summary!G$13,CF!$3:$3,0),FALSE)</f>
        <v>-450</v>
      </c>
      <c r="H54" s="436">
        <f>VLOOKUP($A54,CF!$1:$1048576,MATCH(Summary!H$13,CF!$3:$3,0),FALSE)</f>
        <v>-2.2737367544323206E-13</v>
      </c>
      <c r="I54" s="436">
        <f>VLOOKUP($A54,CF!$1:$1048576,MATCH(Summary!I$13,CF!$3:$3,0),FALSE)</f>
        <v>0</v>
      </c>
      <c r="J54" s="436">
        <f>VLOOKUP($A54,CF!$1:$1048576,MATCH(Summary!J$13,CF!$3:$3,0),FALSE)</f>
        <v>-2.2737367544323206E-13</v>
      </c>
      <c r="K54" s="426"/>
      <c r="L54" s="404" t="s">
        <v>474</v>
      </c>
      <c r="M54" s="445">
        <f>(E52/VLOOKUP($B55,PL!$1:$1048576,MATCH(Summary!M$50,PL!$3:$3,0),FALSE))/$F$9</f>
        <v>4.7061294418958309E-2</v>
      </c>
      <c r="N54" s="445">
        <f>(F52/VLOOKUP($B55,PL!$1:$1048576,MATCH(Summary!N$50,PL!$3:$3,0),FALSE))/$F$9</f>
        <v>2.5665753905700302E-2</v>
      </c>
      <c r="O54" s="445">
        <f>(G52/VLOOKUP($B55,PL!$1:$1048576,MATCH(Summary!O$50,PL!$3:$3,0),FALSE))/$F$9</f>
        <v>3.6673144470510503E-2</v>
      </c>
      <c r="P54" s="445">
        <f>(H52/VLOOKUP($B55,PL!$1:$1048576,MATCH(Summary!P$50,PL!$3:$3,0),FALSE))/$F$9</f>
        <v>3.264438264047604E-2</v>
      </c>
      <c r="Q54" s="445">
        <f>(I52/VLOOKUP($B55,PL!$1:$1048576,MATCH(Summary!Q$50,PL!$3:$3,0),FALSE))/$F$9</f>
        <v>4.0847977772818657E-2</v>
      </c>
      <c r="R54" s="445">
        <f>(J52/VLOOKUP($B55,PL!$1:$1048576,MATCH(Summary!R$50,PL!$3:$3,0),FALSE))/$F$9</f>
        <v>4.8974722933688618E-2</v>
      </c>
    </row>
    <row r="55" spans="1:18" ht="34.5" customHeight="1">
      <c r="A55" s="170" t="s">
        <v>461</v>
      </c>
      <c r="B55" s="24" t="s">
        <v>481</v>
      </c>
      <c r="C55" s="24"/>
      <c r="D55" s="425" t="s">
        <v>493</v>
      </c>
      <c r="E55" s="440">
        <f t="shared" ref="E55:J55" si="27">SUM(E52:E54)</f>
        <v>674</v>
      </c>
      <c r="F55" s="440">
        <f t="shared" si="27"/>
        <v>-238</v>
      </c>
      <c r="G55" s="440">
        <f t="shared" si="27"/>
        <v>-690</v>
      </c>
      <c r="H55" s="440">
        <f t="shared" si="27"/>
        <v>104.06117163585895</v>
      </c>
      <c r="I55" s="440">
        <f t="shared" si="27"/>
        <v>256.91934465833265</v>
      </c>
      <c r="J55" s="440">
        <f t="shared" si="27"/>
        <v>392.916186151886</v>
      </c>
      <c r="K55" s="426"/>
      <c r="L55" s="134"/>
      <c r="M55" s="200"/>
      <c r="N55" s="200"/>
      <c r="O55" s="200"/>
      <c r="P55" s="200"/>
      <c r="Q55" s="200"/>
      <c r="R55" s="200"/>
    </row>
    <row r="56" spans="1:18" ht="34.5" customHeight="1">
      <c r="A56" s="24" t="s">
        <v>460</v>
      </c>
      <c r="B56" s="24"/>
      <c r="C56" s="24"/>
      <c r="D56" s="425" t="s">
        <v>402</v>
      </c>
      <c r="E56" s="440">
        <f>VLOOKUP($A56,BS!$1:$1048576,MATCH(Summary!E$13,CF!$3:$3,0),FALSE)</f>
        <v>-640</v>
      </c>
      <c r="F56" s="440">
        <f>VLOOKUP($A56,BS!$1:$1048576,MATCH(Summary!F$13,CF!$3:$3,0),FALSE)</f>
        <v>660</v>
      </c>
      <c r="G56" s="440">
        <f>VLOOKUP($A56,BS!$1:$1048576,MATCH(Summary!G$13,CF!$3:$3,0),FALSE)</f>
        <v>956</v>
      </c>
      <c r="H56" s="440">
        <f>VLOOKUP($A56,BS!$1:$1048576,MATCH(Summary!H$13,CF!$3:$3,0),FALSE)</f>
        <v>-104.06117163585895</v>
      </c>
      <c r="I56" s="440">
        <f>VLOOKUP($A56,BS!$1:$1048576,MATCH(Summary!I$13,CF!$3:$3,0),FALSE)</f>
        <v>-256.91934465833219</v>
      </c>
      <c r="J56" s="440">
        <f>VLOOKUP($A56,BS!$1:$1048576,MATCH(Summary!J$13,CF!$3:$3,0),FALSE)</f>
        <v>-392.916186151886</v>
      </c>
      <c r="K56" s="426"/>
      <c r="L56" s="404"/>
      <c r="M56" s="447"/>
      <c r="N56" s="447"/>
      <c r="O56" s="447"/>
      <c r="P56" s="447"/>
      <c r="Q56" s="447"/>
      <c r="R56" s="447"/>
    </row>
    <row r="57" spans="1:18" ht="35.25" customHeight="1">
      <c r="A57" s="24"/>
      <c r="C57" s="24"/>
      <c r="D57" s="459" t="s">
        <v>575</v>
      </c>
      <c r="E57" s="448"/>
      <c r="F57" s="448"/>
      <c r="G57" s="448"/>
      <c r="H57" s="448"/>
      <c r="I57" s="448"/>
      <c r="J57" s="448"/>
      <c r="K57" s="449"/>
      <c r="L57" s="449"/>
      <c r="M57" s="448"/>
      <c r="N57" s="448"/>
      <c r="O57" s="448"/>
      <c r="P57" s="448"/>
      <c r="Q57" s="448"/>
      <c r="R57" s="448"/>
    </row>
    <row r="58" spans="1:18" ht="21" customHeight="1">
      <c r="A58" s="24"/>
      <c r="B58" s="24"/>
      <c r="C58" s="24"/>
      <c r="D58" s="455"/>
      <c r="E58" s="456"/>
      <c r="F58" s="456"/>
      <c r="G58" s="456"/>
      <c r="H58" s="456"/>
      <c r="I58" s="456"/>
      <c r="J58" s="456"/>
      <c r="K58" s="457"/>
      <c r="L58" s="457"/>
      <c r="M58" s="405"/>
      <c r="N58" s="405"/>
      <c r="O58" s="405"/>
      <c r="P58" s="405"/>
      <c r="Q58" s="405"/>
      <c r="R58" s="405"/>
    </row>
    <row r="59" spans="1:18">
      <c r="A59" s="24"/>
      <c r="B59" s="24"/>
      <c r="C59" s="24"/>
      <c r="E59" s="219"/>
      <c r="F59" s="219"/>
      <c r="G59" s="219"/>
      <c r="M59" s="219"/>
      <c r="N59" s="219"/>
      <c r="O59" s="219"/>
      <c r="P59" s="219"/>
      <c r="Q59" s="219"/>
      <c r="R59" s="219"/>
    </row>
    <row r="60" spans="1:18">
      <c r="A60" s="24"/>
      <c r="B60" s="24"/>
      <c r="C60" s="24"/>
    </row>
  </sheetData>
  <conditionalFormatting sqref="L25:L32 D45 D47">
    <cfRule type="expression" dxfId="3" priority="2">
      <formula>D$7=1</formula>
    </cfRule>
  </conditionalFormatting>
  <conditionalFormatting sqref="L34:L37">
    <cfRule type="expression" dxfId="2" priority="1">
      <formula>L$7=1</formula>
    </cfRule>
  </conditionalFormatting>
  <conditionalFormatting sqref="L51:L52 L54 L56">
    <cfRule type="expression" dxfId="1" priority="4">
      <formula>D$7=1</formula>
    </cfRule>
  </conditionalFormatting>
  <printOptions horizontalCentered="1" verticalCentered="1"/>
  <pageMargins left="0.7" right="0.7" top="0.75" bottom="0.75" header="0.3" footer="0.3"/>
  <pageSetup paperSize="9" scale="32" orientation="portrait" r:id="rId1"/>
  <customProperties>
    <customPr name="Qube.Worksheet.Visibility" r:id="rId2"/>
    <customPr name="QXL_SHEET_ID" r:id="rId3"/>
  </customPropertie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5AFE41-A6A4-4260-AE45-F9E3E492ACB7}">
  <sheetPr>
    <tabColor theme="7" tint="0.59999389629810485"/>
    <pageSetUpPr autoPageBreaks="0"/>
  </sheetPr>
  <dimension ref="A1:AU388"/>
  <sheetViews>
    <sheetView showGridLines="0" topLeftCell="B1" zoomScale="85" zoomScaleNormal="85" workbookViewId="0">
      <selection activeCell="AH31" sqref="AH31"/>
    </sheetView>
  </sheetViews>
  <sheetFormatPr defaultColWidth="9.140625" defaultRowHeight="12.75" outlineLevelRow="2" outlineLevelCol="1"/>
  <cols>
    <col min="1" max="1" width="33" style="6" hidden="1" customWidth="1" outlineLevel="1"/>
    <col min="2" max="2" width="42.28515625" style="6" customWidth="1" collapsed="1"/>
    <col min="3" max="3" width="10.5703125" style="168" hidden="1" customWidth="1" outlineLevel="1" collapsed="1"/>
    <col min="4" max="9" width="9.7109375" style="168" hidden="1" customWidth="1" outlineLevel="1" collapsed="1"/>
    <col min="10" max="11" width="9.7109375" style="168" customWidth="1" collapsed="1"/>
    <col min="12" max="17" width="9.140625" style="168" customWidth="1"/>
    <col min="18" max="19" width="10.5703125" style="168" hidden="1" customWidth="1" outlineLevel="1"/>
    <col min="20" max="31" width="9.7109375" style="168" hidden="1" customWidth="1" outlineLevel="1"/>
    <col min="32" max="32" width="9.7109375" style="168" customWidth="1" collapsed="1"/>
    <col min="33" max="35" width="9.7109375" style="168" customWidth="1"/>
    <col min="36" max="37" width="9.140625" style="168" customWidth="1"/>
    <col min="38" max="38" width="9.140625" style="6" collapsed="1"/>
    <col min="39" max="16384" width="9.140625" style="6"/>
  </cols>
  <sheetData>
    <row r="1" spans="1:47" s="97" customFormat="1">
      <c r="B1" s="5" t="s">
        <v>226</v>
      </c>
      <c r="C1" s="251"/>
      <c r="D1" s="251"/>
      <c r="E1" s="251"/>
      <c r="F1" s="251"/>
      <c r="G1" s="251"/>
      <c r="H1" s="251"/>
      <c r="I1" s="251"/>
      <c r="J1" s="251"/>
      <c r="K1" s="251"/>
      <c r="L1" s="251"/>
      <c r="M1" s="251"/>
      <c r="N1" s="251"/>
      <c r="O1" s="251"/>
      <c r="P1" s="251"/>
      <c r="Q1" s="251"/>
      <c r="R1" s="251"/>
      <c r="S1" s="251"/>
      <c r="T1" s="251"/>
      <c r="U1" s="251"/>
      <c r="V1" s="251"/>
      <c r="W1" s="251"/>
      <c r="X1" s="251"/>
      <c r="Y1" s="251"/>
      <c r="Z1" s="251"/>
      <c r="AA1" s="251"/>
      <c r="AB1" s="251"/>
      <c r="AC1" s="251"/>
      <c r="AD1" s="251"/>
      <c r="AE1" s="251"/>
      <c r="AF1" s="251"/>
      <c r="AG1" s="251"/>
      <c r="AH1" s="251"/>
      <c r="AI1" s="251"/>
      <c r="AJ1" s="251"/>
      <c r="AK1" s="251"/>
    </row>
    <row r="2" spans="1:47" s="97" customFormat="1">
      <c r="B2" s="5" t="s">
        <v>81</v>
      </c>
      <c r="C2" s="251"/>
      <c r="D2" s="251"/>
      <c r="E2" s="251"/>
      <c r="F2" s="251"/>
      <c r="G2" s="251"/>
      <c r="H2" s="251"/>
      <c r="I2" s="251"/>
      <c r="J2" s="251"/>
      <c r="K2" s="251"/>
      <c r="L2" s="251"/>
      <c r="M2" s="251"/>
      <c r="N2" s="251"/>
      <c r="O2" s="251"/>
      <c r="P2" s="251"/>
      <c r="Q2" s="251"/>
      <c r="R2" s="251"/>
      <c r="S2" s="251"/>
      <c r="T2" s="251"/>
      <c r="U2" s="251"/>
      <c r="V2" s="251"/>
      <c r="W2" s="251"/>
      <c r="X2" s="251"/>
      <c r="Y2" s="251"/>
      <c r="Z2" s="251"/>
      <c r="AA2" s="251"/>
      <c r="AB2" s="251"/>
      <c r="AC2" s="251"/>
      <c r="AD2" s="251"/>
      <c r="AE2" s="251"/>
      <c r="AF2" s="251"/>
      <c r="AG2" s="251"/>
      <c r="AH2" s="251"/>
      <c r="AI2" s="251"/>
      <c r="AJ2" s="251"/>
      <c r="AK2" s="251"/>
    </row>
    <row r="3" spans="1:47" s="10" customFormat="1">
      <c r="B3" s="98"/>
      <c r="C3" s="14" t="s">
        <v>8</v>
      </c>
      <c r="D3" s="14" t="s">
        <v>9</v>
      </c>
      <c r="E3" s="14" t="s">
        <v>10</v>
      </c>
      <c r="F3" s="14" t="s">
        <v>11</v>
      </c>
      <c r="G3" s="14" t="s">
        <v>12</v>
      </c>
      <c r="H3" s="14" t="s">
        <v>13</v>
      </c>
      <c r="I3" s="14" t="s">
        <v>14</v>
      </c>
      <c r="J3" s="14" t="s">
        <v>15</v>
      </c>
      <c r="K3" s="14" t="s">
        <v>16</v>
      </c>
      <c r="L3" s="14" t="s">
        <v>35</v>
      </c>
      <c r="M3" s="14" t="s">
        <v>36</v>
      </c>
      <c r="N3" s="14" t="s">
        <v>372</v>
      </c>
      <c r="O3" s="14" t="s">
        <v>426</v>
      </c>
      <c r="P3" s="14" t="s">
        <v>427</v>
      </c>
      <c r="Q3" s="14"/>
      <c r="R3" s="14" t="s">
        <v>17</v>
      </c>
      <c r="S3" s="14" t="s">
        <v>18</v>
      </c>
      <c r="T3" s="14" t="s">
        <v>19</v>
      </c>
      <c r="U3" s="14" t="s">
        <v>20</v>
      </c>
      <c r="V3" s="14" t="s">
        <v>21</v>
      </c>
      <c r="W3" s="14" t="s">
        <v>22</v>
      </c>
      <c r="X3" s="14" t="s">
        <v>23</v>
      </c>
      <c r="Y3" s="14" t="s">
        <v>24</v>
      </c>
      <c r="Z3" s="14" t="s">
        <v>25</v>
      </c>
      <c r="AA3" s="14" t="s">
        <v>26</v>
      </c>
      <c r="AB3" s="14" t="s">
        <v>27</v>
      </c>
      <c r="AC3" s="14" t="s">
        <v>28</v>
      </c>
      <c r="AD3" s="14" t="s">
        <v>29</v>
      </c>
      <c r="AE3" s="14" t="s">
        <v>30</v>
      </c>
      <c r="AF3" s="14" t="s">
        <v>31</v>
      </c>
      <c r="AG3" s="14" t="s">
        <v>32</v>
      </c>
      <c r="AH3" s="14" t="s">
        <v>33</v>
      </c>
      <c r="AI3" s="14" t="s">
        <v>34</v>
      </c>
      <c r="AJ3" s="14" t="s">
        <v>37</v>
      </c>
      <c r="AK3" s="14" t="s">
        <v>38</v>
      </c>
    </row>
    <row r="4" spans="1:47" s="8" customFormat="1">
      <c r="B4" s="9" t="s">
        <v>407</v>
      </c>
      <c r="C4" s="14"/>
      <c r="D4" s="14"/>
      <c r="E4" s="14"/>
      <c r="F4" s="14"/>
      <c r="G4" s="14"/>
      <c r="H4" s="14"/>
      <c r="I4" s="14"/>
      <c r="J4" s="14"/>
      <c r="K4" s="14"/>
      <c r="L4" s="14"/>
      <c r="M4" s="14"/>
      <c r="N4" s="14"/>
      <c r="O4" s="14"/>
      <c r="P4" s="14"/>
      <c r="Q4" s="14"/>
      <c r="R4" s="14"/>
      <c r="S4" s="14"/>
      <c r="T4" s="14"/>
      <c r="U4" s="14"/>
      <c r="V4" s="14"/>
      <c r="W4" s="14"/>
      <c r="X4" s="14"/>
      <c r="Y4" s="14"/>
      <c r="Z4" s="14"/>
      <c r="AA4" s="14"/>
      <c r="AB4" s="14"/>
      <c r="AC4" s="14"/>
      <c r="AD4" s="14"/>
      <c r="AE4" s="14"/>
      <c r="AF4" s="14"/>
      <c r="AG4" s="14"/>
      <c r="AH4" s="14"/>
      <c r="AI4" s="14"/>
      <c r="AJ4" s="14"/>
      <c r="AK4" s="14"/>
    </row>
    <row r="5" spans="1:47" s="144" customFormat="1" ht="3" customHeight="1">
      <c r="B5" s="143"/>
      <c r="C5" s="224"/>
      <c r="D5" s="224"/>
      <c r="E5" s="224"/>
      <c r="F5" s="224"/>
      <c r="G5" s="224"/>
      <c r="H5" s="224"/>
      <c r="I5" s="224"/>
      <c r="J5" s="224"/>
      <c r="K5" s="224"/>
      <c r="L5" s="224"/>
      <c r="M5" s="224"/>
      <c r="N5" s="224"/>
      <c r="O5" s="224"/>
      <c r="P5" s="224"/>
      <c r="Q5" s="224"/>
      <c r="R5" s="224"/>
      <c r="S5" s="224"/>
      <c r="T5" s="224"/>
      <c r="U5" s="224"/>
      <c r="V5" s="224"/>
      <c r="W5" s="224"/>
      <c r="X5" s="224"/>
      <c r="Y5" s="224"/>
      <c r="Z5" s="224"/>
      <c r="AA5" s="224"/>
      <c r="AB5" s="224"/>
      <c r="AC5" s="224"/>
      <c r="AD5" s="224"/>
      <c r="AE5" s="224"/>
      <c r="AF5" s="224"/>
      <c r="AG5" s="224"/>
      <c r="AH5" s="224"/>
      <c r="AI5" s="224"/>
      <c r="AJ5" s="224"/>
      <c r="AK5" s="224"/>
    </row>
    <row r="6" spans="1:47">
      <c r="B6" s="1" t="s">
        <v>0</v>
      </c>
      <c r="C6" s="167"/>
      <c r="D6" s="167"/>
      <c r="E6" s="167"/>
      <c r="F6" s="167"/>
      <c r="G6" s="167"/>
      <c r="H6" s="167"/>
      <c r="I6" s="167"/>
      <c r="J6" s="167"/>
      <c r="K6" s="167"/>
      <c r="L6" s="167"/>
      <c r="M6" s="167"/>
      <c r="N6" s="167"/>
      <c r="O6" s="167"/>
      <c r="P6" s="167"/>
      <c r="Q6" s="167"/>
      <c r="R6" s="167"/>
      <c r="S6" s="167"/>
      <c r="T6" s="167"/>
      <c r="U6" s="167"/>
      <c r="V6" s="167"/>
      <c r="W6" s="167"/>
      <c r="X6" s="167"/>
      <c r="Y6" s="167"/>
      <c r="Z6" s="167"/>
      <c r="AA6" s="167"/>
      <c r="AB6" s="167"/>
      <c r="AC6" s="167"/>
      <c r="AD6" s="167"/>
      <c r="AE6" s="167"/>
      <c r="AF6" s="167"/>
      <c r="AG6" s="167"/>
      <c r="AH6" s="167"/>
      <c r="AI6" s="167"/>
      <c r="AJ6" s="167"/>
      <c r="AK6" s="167"/>
    </row>
    <row r="7" spans="1:47">
      <c r="A7" s="6" t="s">
        <v>355</v>
      </c>
      <c r="B7" s="16" t="s">
        <v>1</v>
      </c>
      <c r="C7" s="201">
        <f t="shared" ref="C7:K7" si="0">C30</f>
        <v>35836</v>
      </c>
      <c r="D7" s="201">
        <f t="shared" si="0"/>
        <v>37589</v>
      </c>
      <c r="E7" s="201">
        <f t="shared" si="0"/>
        <v>39635</v>
      </c>
      <c r="F7" s="201">
        <f t="shared" si="0"/>
        <v>42151</v>
      </c>
      <c r="G7" s="201">
        <f t="shared" si="0"/>
        <v>43746</v>
      </c>
      <c r="H7" s="201">
        <f t="shared" si="0"/>
        <v>45740</v>
      </c>
      <c r="I7" s="201">
        <f t="shared" si="0"/>
        <v>48047</v>
      </c>
      <c r="J7" s="201">
        <f t="shared" si="0"/>
        <v>50823</v>
      </c>
      <c r="K7" s="201">
        <f t="shared" si="0"/>
        <v>51488</v>
      </c>
      <c r="L7" s="204">
        <f t="shared" ref="L7:P7" si="1">L30</f>
        <v>53350.775455684874</v>
      </c>
      <c r="M7" s="204">
        <f t="shared" si="1"/>
        <v>55498.19129743649</v>
      </c>
      <c r="N7" s="204">
        <f t="shared" si="1"/>
        <v>57722.425260602882</v>
      </c>
      <c r="O7" s="204">
        <f t="shared" si="1"/>
        <v>60026.056714161568</v>
      </c>
      <c r="P7" s="204">
        <f t="shared" si="1"/>
        <v>62411.748223959155</v>
      </c>
      <c r="Q7" s="200"/>
      <c r="R7" s="201">
        <f t="shared" ref="R7:AI7" si="2">R30</f>
        <v>18712.599999999999</v>
      </c>
      <c r="S7" s="201">
        <f t="shared" si="2"/>
        <v>17123.400000000001</v>
      </c>
      <c r="T7" s="201">
        <f t="shared" si="2"/>
        <v>19436</v>
      </c>
      <c r="U7" s="201">
        <f t="shared" si="2"/>
        <v>18153</v>
      </c>
      <c r="V7" s="201">
        <f t="shared" si="2"/>
        <v>19928</v>
      </c>
      <c r="W7" s="201">
        <f t="shared" si="2"/>
        <v>19707</v>
      </c>
      <c r="X7" s="201">
        <f t="shared" si="2"/>
        <v>21200</v>
      </c>
      <c r="Y7" s="201">
        <f t="shared" si="2"/>
        <v>20951</v>
      </c>
      <c r="Z7" s="201">
        <f t="shared" si="2"/>
        <v>22988</v>
      </c>
      <c r="AA7" s="201">
        <f t="shared" si="2"/>
        <v>20758</v>
      </c>
      <c r="AB7" s="201">
        <f t="shared" si="2"/>
        <v>23780</v>
      </c>
      <c r="AC7" s="201">
        <f t="shared" si="2"/>
        <v>21960</v>
      </c>
      <c r="AD7" s="201">
        <f t="shared" si="2"/>
        <v>24385</v>
      </c>
      <c r="AE7" s="201">
        <f t="shared" si="2"/>
        <v>23662</v>
      </c>
      <c r="AF7" s="201">
        <f t="shared" si="2"/>
        <v>25945</v>
      </c>
      <c r="AG7" s="201">
        <f t="shared" si="2"/>
        <v>24878</v>
      </c>
      <c r="AH7" s="201">
        <f t="shared" si="2"/>
        <v>26674</v>
      </c>
      <c r="AI7" s="201">
        <f t="shared" si="2"/>
        <v>24814</v>
      </c>
      <c r="AJ7" s="204">
        <f t="shared" ref="AJ7:AK7" si="3">AJ30</f>
        <v>27617.811438454632</v>
      </c>
      <c r="AK7" s="204">
        <f t="shared" si="3"/>
        <v>25732.964017230242</v>
      </c>
    </row>
    <row r="8" spans="1:47">
      <c r="A8" s="6" t="s">
        <v>406</v>
      </c>
      <c r="B8" s="16" t="s">
        <v>390</v>
      </c>
      <c r="C8" s="201"/>
      <c r="D8" s="201"/>
      <c r="E8" s="201"/>
      <c r="F8" s="201"/>
      <c r="G8" s="201">
        <f>G317</f>
        <v>985</v>
      </c>
      <c r="H8" s="201">
        <f>H317</f>
        <v>3684</v>
      </c>
      <c r="I8" s="201">
        <f>I317</f>
        <v>4324</v>
      </c>
      <c r="J8" s="201">
        <f>J317</f>
        <v>5594</v>
      </c>
      <c r="K8" s="201">
        <f>K317</f>
        <v>5743</v>
      </c>
      <c r="L8" s="204">
        <f t="shared" ref="L8:P8" si="4">L317</f>
        <v>5944.0049999999992</v>
      </c>
      <c r="M8" s="204">
        <f t="shared" si="4"/>
        <v>6241.2052499999991</v>
      </c>
      <c r="N8" s="204">
        <f t="shared" si="4"/>
        <v>6553.2655124999992</v>
      </c>
      <c r="O8" s="204">
        <f t="shared" si="4"/>
        <v>6880.9287881249993</v>
      </c>
      <c r="P8" s="204">
        <f t="shared" si="4"/>
        <v>7224.9752275312494</v>
      </c>
      <c r="Q8" s="200"/>
      <c r="R8" s="201"/>
      <c r="S8" s="201"/>
      <c r="T8" s="201"/>
      <c r="U8" s="201"/>
      <c r="V8" s="201"/>
      <c r="W8" s="201"/>
      <c r="X8" s="201"/>
      <c r="Y8" s="201"/>
      <c r="Z8" s="201">
        <f t="shared" ref="Z8:AH8" si="5">Z317</f>
        <v>631</v>
      </c>
      <c r="AA8" s="201">
        <f t="shared" si="5"/>
        <v>354</v>
      </c>
      <c r="AB8" s="201">
        <f t="shared" si="5"/>
        <v>1979</v>
      </c>
      <c r="AC8" s="201">
        <f t="shared" si="5"/>
        <v>1705</v>
      </c>
      <c r="AD8" s="201">
        <f t="shared" si="5"/>
        <v>2433</v>
      </c>
      <c r="AE8" s="201">
        <f t="shared" si="5"/>
        <v>1891</v>
      </c>
      <c r="AF8" s="201">
        <f t="shared" si="5"/>
        <v>2828</v>
      </c>
      <c r="AG8" s="201">
        <f t="shared" si="5"/>
        <v>2766</v>
      </c>
      <c r="AH8" s="201">
        <f t="shared" si="5"/>
        <v>2982</v>
      </c>
      <c r="AI8" s="201">
        <f>AI317</f>
        <v>2761</v>
      </c>
      <c r="AJ8" s="204">
        <f t="shared" ref="AJ8:AK8" si="6">AJ317</f>
        <v>3101.28</v>
      </c>
      <c r="AK8" s="204">
        <f t="shared" si="6"/>
        <v>2842.724999999999</v>
      </c>
    </row>
    <row r="9" spans="1:47" hidden="1" outlineLevel="1">
      <c r="B9" s="17" t="s">
        <v>2</v>
      </c>
      <c r="C9" s="201">
        <f>C340</f>
        <v>7913</v>
      </c>
      <c r="D9" s="201">
        <f>D340</f>
        <v>8271</v>
      </c>
      <c r="E9" s="201">
        <f>E340</f>
        <v>8590</v>
      </c>
      <c r="F9" s="201">
        <f>F340</f>
        <v>9275</v>
      </c>
      <c r="G9" s="201">
        <f>G340</f>
        <v>10167</v>
      </c>
      <c r="H9" s="201"/>
      <c r="I9" s="201"/>
      <c r="J9" s="201"/>
      <c r="K9" s="201"/>
      <c r="L9" s="204"/>
      <c r="M9" s="204"/>
      <c r="N9" s="204"/>
      <c r="O9" s="204"/>
      <c r="P9" s="204"/>
      <c r="Q9" s="200"/>
      <c r="R9" s="201">
        <f>R340</f>
        <v>4319.3</v>
      </c>
      <c r="S9" s="201">
        <f t="shared" ref="S9:AA9" si="7">S340</f>
        <v>3593.7</v>
      </c>
      <c r="T9" s="201">
        <f t="shared" si="7"/>
        <v>4513</v>
      </c>
      <c r="U9" s="201">
        <f t="shared" si="7"/>
        <v>3758</v>
      </c>
      <c r="V9" s="201">
        <f t="shared" si="7"/>
        <v>4560</v>
      </c>
      <c r="W9" s="201">
        <f t="shared" si="7"/>
        <v>4030</v>
      </c>
      <c r="X9" s="201">
        <f t="shared" si="7"/>
        <v>4775</v>
      </c>
      <c r="Y9" s="201">
        <f t="shared" si="7"/>
        <v>4500</v>
      </c>
      <c r="Z9" s="201">
        <f t="shared" si="7"/>
        <v>5683</v>
      </c>
      <c r="AA9" s="201">
        <f t="shared" si="7"/>
        <v>4484</v>
      </c>
      <c r="AB9" s="201"/>
      <c r="AC9" s="201"/>
      <c r="AD9" s="201"/>
      <c r="AE9" s="201"/>
      <c r="AF9" s="201"/>
      <c r="AG9" s="201"/>
      <c r="AH9" s="201"/>
      <c r="AI9" s="201"/>
      <c r="AJ9" s="204"/>
      <c r="AK9" s="204"/>
    </row>
    <row r="10" spans="1:47" collapsed="1">
      <c r="A10" s="6" t="s">
        <v>357</v>
      </c>
      <c r="B10" s="16" t="s">
        <v>3</v>
      </c>
      <c r="C10" s="201">
        <f t="shared" ref="C10:K10" si="8">C183</f>
        <v>5843</v>
      </c>
      <c r="D10" s="201">
        <f t="shared" si="8"/>
        <v>5898</v>
      </c>
      <c r="E10" s="201">
        <f t="shared" si="8"/>
        <v>6291</v>
      </c>
      <c r="F10" s="201">
        <f t="shared" si="8"/>
        <v>6823</v>
      </c>
      <c r="G10" s="201">
        <f t="shared" si="8"/>
        <v>6652</v>
      </c>
      <c r="H10" s="201">
        <f t="shared" si="8"/>
        <v>7092</v>
      </c>
      <c r="I10" s="201">
        <f t="shared" si="8"/>
        <v>7240</v>
      </c>
      <c r="J10" s="201">
        <f t="shared" si="8"/>
        <v>7551</v>
      </c>
      <c r="K10" s="201">
        <f t="shared" si="8"/>
        <v>7557</v>
      </c>
      <c r="L10" s="204">
        <f t="shared" ref="L10:P10" si="9">L183</f>
        <v>7510.5623893805332</v>
      </c>
      <c r="M10" s="204">
        <f t="shared" si="9"/>
        <v>7748.9411086956552</v>
      </c>
      <c r="N10" s="204">
        <f t="shared" si="9"/>
        <v>8064.7312893618546</v>
      </c>
      <c r="O10" s="204">
        <f t="shared" si="9"/>
        <v>8392.4682417593267</v>
      </c>
      <c r="P10" s="204">
        <f t="shared" si="9"/>
        <v>8732.5840599779949</v>
      </c>
      <c r="Q10" s="203"/>
      <c r="R10" s="201">
        <f t="shared" ref="R10:AD10" si="10">R183</f>
        <v>3068.9</v>
      </c>
      <c r="S10" s="201">
        <f t="shared" si="10"/>
        <v>2774.1</v>
      </c>
      <c r="T10" s="201">
        <f t="shared" si="10"/>
        <v>3060</v>
      </c>
      <c r="U10" s="201">
        <f t="shared" si="10"/>
        <v>2838</v>
      </c>
      <c r="V10" s="201">
        <f t="shared" si="10"/>
        <v>3143</v>
      </c>
      <c r="W10" s="201">
        <f t="shared" si="10"/>
        <v>3148</v>
      </c>
      <c r="X10" s="201">
        <f t="shared" si="10"/>
        <v>3367</v>
      </c>
      <c r="Y10" s="201">
        <f t="shared" si="10"/>
        <v>3456</v>
      </c>
      <c r="Z10" s="201">
        <f t="shared" si="10"/>
        <v>3465</v>
      </c>
      <c r="AA10" s="201">
        <f t="shared" si="10"/>
        <v>3187</v>
      </c>
      <c r="AB10" s="201">
        <f t="shared" si="10"/>
        <v>3838</v>
      </c>
      <c r="AC10" s="201">
        <f t="shared" si="10"/>
        <v>3254</v>
      </c>
      <c r="AD10" s="201">
        <f t="shared" si="10"/>
        <v>3703</v>
      </c>
      <c r="AE10" s="201">
        <f>I10-AD10</f>
        <v>3537</v>
      </c>
      <c r="AF10" s="201">
        <f>AF183</f>
        <v>3858</v>
      </c>
      <c r="AG10" s="201">
        <f>AG183</f>
        <v>3693</v>
      </c>
      <c r="AH10" s="201">
        <f>AH183</f>
        <v>3895</v>
      </c>
      <c r="AI10" s="201">
        <f>AI183</f>
        <v>3662</v>
      </c>
      <c r="AJ10" s="204">
        <f t="shared" ref="AJ10:AK10" si="11">AJ183</f>
        <v>3916.747527841781</v>
      </c>
      <c r="AK10" s="204">
        <f t="shared" si="11"/>
        <v>3593.8148615387522</v>
      </c>
    </row>
    <row r="11" spans="1:47" hidden="1" outlineLevel="1">
      <c r="B11" s="17" t="s">
        <v>4</v>
      </c>
      <c r="C11" s="201">
        <f>C345</f>
        <v>1553</v>
      </c>
      <c r="D11" s="201">
        <f>D345</f>
        <v>1612</v>
      </c>
      <c r="E11" s="201">
        <f>E345</f>
        <v>1671</v>
      </c>
      <c r="F11" s="201">
        <f>F345</f>
        <v>1320</v>
      </c>
      <c r="G11" s="201">
        <f>G345</f>
        <v>1417</v>
      </c>
      <c r="H11" s="201"/>
      <c r="I11" s="201"/>
      <c r="J11" s="201"/>
      <c r="K11" s="201"/>
      <c r="L11" s="204"/>
      <c r="M11" s="204"/>
      <c r="N11" s="204"/>
      <c r="O11" s="204"/>
      <c r="P11" s="204"/>
      <c r="Q11" s="200"/>
      <c r="R11" s="201">
        <f>R345</f>
        <v>828.5</v>
      </c>
      <c r="S11" s="201">
        <f t="shared" ref="S11:AA11" si="12">S345</f>
        <v>724.5</v>
      </c>
      <c r="T11" s="201">
        <f t="shared" si="12"/>
        <v>861</v>
      </c>
      <c r="U11" s="201">
        <f t="shared" si="12"/>
        <v>751</v>
      </c>
      <c r="V11" s="201">
        <f t="shared" si="12"/>
        <v>865</v>
      </c>
      <c r="W11" s="201">
        <f t="shared" si="12"/>
        <v>806</v>
      </c>
      <c r="X11" s="201">
        <f t="shared" si="12"/>
        <v>919</v>
      </c>
      <c r="Y11" s="201">
        <f t="shared" si="12"/>
        <v>401</v>
      </c>
      <c r="Z11" s="201">
        <f t="shared" si="12"/>
        <v>667</v>
      </c>
      <c r="AA11" s="201">
        <f t="shared" si="12"/>
        <v>750</v>
      </c>
      <c r="AB11" s="201"/>
      <c r="AC11" s="201"/>
      <c r="AD11" s="201"/>
      <c r="AE11" s="201"/>
      <c r="AF11" s="201"/>
      <c r="AG11" s="201"/>
      <c r="AH11" s="201"/>
      <c r="AI11" s="201"/>
      <c r="AJ11" s="204"/>
      <c r="AK11" s="204"/>
    </row>
    <row r="12" spans="1:47" collapsed="1">
      <c r="A12" s="6" t="s">
        <v>358</v>
      </c>
      <c r="B12" s="16" t="s">
        <v>569</v>
      </c>
      <c r="C12" s="201">
        <f t="shared" ref="C12:I12" si="13">C207</f>
        <v>3542</v>
      </c>
      <c r="D12" s="201">
        <f t="shared" si="13"/>
        <v>3566</v>
      </c>
      <c r="E12" s="201">
        <f t="shared" si="13"/>
        <v>3797</v>
      </c>
      <c r="F12" s="201">
        <f t="shared" si="13"/>
        <v>4106</v>
      </c>
      <c r="G12" s="201">
        <f t="shared" si="13"/>
        <v>4583</v>
      </c>
      <c r="H12" s="201">
        <f t="shared" si="13"/>
        <v>4431</v>
      </c>
      <c r="I12" s="201">
        <f t="shared" si="13"/>
        <v>4785</v>
      </c>
      <c r="J12" s="201">
        <f>J194</f>
        <v>5220</v>
      </c>
      <c r="K12" s="201">
        <f>K194</f>
        <v>5597</v>
      </c>
      <c r="L12" s="204">
        <f t="shared" ref="L12:P12" si="14">L194</f>
        <v>5630.8057872340414</v>
      </c>
      <c r="M12" s="204">
        <f t="shared" si="14"/>
        <v>5785.0024902127652</v>
      </c>
      <c r="N12" s="204">
        <f t="shared" si="14"/>
        <v>5957.6171005951019</v>
      </c>
      <c r="O12" s="204">
        <f t="shared" si="14"/>
        <v>6134.7613145103132</v>
      </c>
      <c r="P12" s="204">
        <f t="shared" si="14"/>
        <v>6316.5492753569079</v>
      </c>
      <c r="Q12" s="200"/>
      <c r="R12" s="201">
        <f>R207</f>
        <v>2050.3000000000002</v>
      </c>
      <c r="S12" s="201">
        <f t="shared" ref="S12:AE12" si="15">S207</f>
        <v>1547.6999999999998</v>
      </c>
      <c r="T12" s="201">
        <f t="shared" si="15"/>
        <v>2037</v>
      </c>
      <c r="U12" s="201">
        <f t="shared" si="15"/>
        <v>1529</v>
      </c>
      <c r="V12" s="201">
        <f t="shared" si="15"/>
        <v>2091</v>
      </c>
      <c r="W12" s="201">
        <f t="shared" si="15"/>
        <v>1706</v>
      </c>
      <c r="X12" s="201">
        <f t="shared" si="15"/>
        <v>2149</v>
      </c>
      <c r="Y12" s="201">
        <f t="shared" si="15"/>
        <v>1957</v>
      </c>
      <c r="Z12" s="201">
        <f t="shared" si="15"/>
        <v>2581</v>
      </c>
      <c r="AA12" s="201">
        <f t="shared" si="15"/>
        <v>2002</v>
      </c>
      <c r="AB12" s="201">
        <f t="shared" si="15"/>
        <v>2348</v>
      </c>
      <c r="AC12" s="201">
        <f t="shared" si="15"/>
        <v>2083</v>
      </c>
      <c r="AD12" s="201">
        <f t="shared" si="15"/>
        <v>2708</v>
      </c>
      <c r="AE12" s="201">
        <f t="shared" si="15"/>
        <v>2077</v>
      </c>
      <c r="AF12" s="201">
        <f t="shared" ref="AF12:AG12" si="16">AF194</f>
        <v>2656</v>
      </c>
      <c r="AG12" s="201">
        <f t="shared" si="16"/>
        <v>2564</v>
      </c>
      <c r="AH12" s="201">
        <f t="shared" ref="AH12:AI12" si="17">AH194</f>
        <v>3061</v>
      </c>
      <c r="AI12" s="201">
        <f t="shared" si="17"/>
        <v>2536</v>
      </c>
      <c r="AJ12" s="204">
        <f t="shared" ref="AJ12:AK12" si="18">AJ194</f>
        <v>3088.3720000000003</v>
      </c>
      <c r="AK12" s="204">
        <f t="shared" si="18"/>
        <v>2542.433787234042</v>
      </c>
    </row>
    <row r="13" spans="1:47">
      <c r="A13" s="6" t="s">
        <v>356</v>
      </c>
      <c r="B13" s="16" t="s">
        <v>5</v>
      </c>
      <c r="C13" s="21"/>
      <c r="D13" s="21"/>
      <c r="E13" s="21"/>
      <c r="F13" s="21"/>
      <c r="G13" s="21">
        <f t="shared" ref="G13:P13" si="19">G332</f>
        <v>-233</v>
      </c>
      <c r="H13" s="21">
        <f t="shared" si="19"/>
        <v>-98</v>
      </c>
      <c r="I13" s="21">
        <f t="shared" si="19"/>
        <v>-102</v>
      </c>
      <c r="J13" s="21">
        <f t="shared" si="19"/>
        <v>226</v>
      </c>
      <c r="K13" s="21">
        <f t="shared" si="19"/>
        <v>246</v>
      </c>
      <c r="L13" s="252">
        <f t="shared" si="19"/>
        <v>270.60000000000002</v>
      </c>
      <c r="M13" s="252">
        <f t="shared" si="19"/>
        <v>278.71800000000002</v>
      </c>
      <c r="N13" s="252">
        <f t="shared" si="19"/>
        <v>287.07954000000001</v>
      </c>
      <c r="O13" s="252">
        <f t="shared" si="19"/>
        <v>295.69192620000001</v>
      </c>
      <c r="P13" s="252">
        <f t="shared" si="19"/>
        <v>304.56268398600002</v>
      </c>
      <c r="Q13" s="200"/>
      <c r="R13" s="21"/>
      <c r="S13" s="21"/>
      <c r="T13" s="21"/>
      <c r="U13" s="21"/>
      <c r="V13" s="21"/>
      <c r="W13" s="21"/>
      <c r="X13" s="21"/>
      <c r="Y13" s="21"/>
      <c r="Z13" s="21">
        <f t="shared" ref="Z13:AK13" si="20">Z332</f>
        <v>-130</v>
      </c>
      <c r="AA13" s="21">
        <f t="shared" si="20"/>
        <v>-103</v>
      </c>
      <c r="AB13" s="21">
        <f t="shared" si="20"/>
        <v>-51</v>
      </c>
      <c r="AC13" s="21">
        <f t="shared" si="20"/>
        <v>-47</v>
      </c>
      <c r="AD13" s="21">
        <f t="shared" si="20"/>
        <v>-60</v>
      </c>
      <c r="AE13" s="21">
        <f t="shared" si="20"/>
        <v>-42</v>
      </c>
      <c r="AF13" s="21">
        <f t="shared" si="20"/>
        <v>112</v>
      </c>
      <c r="AG13" s="21">
        <f t="shared" si="20"/>
        <v>114</v>
      </c>
      <c r="AH13" s="21">
        <f t="shared" si="20"/>
        <v>120</v>
      </c>
      <c r="AI13" s="21">
        <f t="shared" si="20"/>
        <v>126</v>
      </c>
      <c r="AJ13" s="148">
        <f t="shared" si="20"/>
        <v>132</v>
      </c>
      <c r="AK13" s="148">
        <f t="shared" si="20"/>
        <v>138.60000000000002</v>
      </c>
    </row>
    <row r="14" spans="1:47">
      <c r="A14" s="6" t="s">
        <v>359</v>
      </c>
      <c r="B14" s="17" t="s">
        <v>6</v>
      </c>
      <c r="C14" s="18">
        <v>154</v>
      </c>
      <c r="D14" s="20">
        <v>239</v>
      </c>
      <c r="E14" s="20"/>
      <c r="F14" s="20"/>
      <c r="G14" s="20"/>
      <c r="H14" s="20"/>
      <c r="I14" s="19"/>
      <c r="J14" s="20">
        <v>-1492</v>
      </c>
      <c r="K14" s="20">
        <f>-411-391-375-377</f>
        <v>-1554</v>
      </c>
      <c r="L14" s="252">
        <f>K14*1</f>
        <v>-1554</v>
      </c>
      <c r="M14" s="252">
        <f t="shared" ref="M14:P14" si="21">L14*1</f>
        <v>-1554</v>
      </c>
      <c r="N14" s="252">
        <f t="shared" si="21"/>
        <v>-1554</v>
      </c>
      <c r="O14" s="252">
        <f t="shared" si="21"/>
        <v>-1554</v>
      </c>
      <c r="P14" s="252">
        <f t="shared" si="21"/>
        <v>-1554</v>
      </c>
      <c r="Q14" s="200"/>
      <c r="R14" s="18">
        <v>78.900000000000006</v>
      </c>
      <c r="S14" s="19">
        <f>C14-R14</f>
        <v>75.099999999999994</v>
      </c>
      <c r="T14" s="18"/>
      <c r="U14" s="19">
        <f>D14-T14</f>
        <v>239</v>
      </c>
      <c r="V14" s="20"/>
      <c r="W14" s="19"/>
      <c r="X14" s="20"/>
      <c r="Y14" s="19"/>
      <c r="Z14" s="20"/>
      <c r="AA14" s="20"/>
      <c r="AB14" s="20"/>
      <c r="AC14" s="19"/>
      <c r="AD14" s="19"/>
      <c r="AE14" s="19"/>
      <c r="AF14" s="20">
        <v>-764</v>
      </c>
      <c r="AG14" s="19">
        <f>J14-AF14</f>
        <v>-728</v>
      </c>
      <c r="AH14" s="20">
        <f>-411-391</f>
        <v>-802</v>
      </c>
      <c r="AI14" s="19">
        <f>K14-AH14</f>
        <v>-752</v>
      </c>
      <c r="AJ14" s="147">
        <f>AH14*1</f>
        <v>-802</v>
      </c>
      <c r="AK14" s="149">
        <f>M14-AJ14</f>
        <v>-752</v>
      </c>
    </row>
    <row r="15" spans="1:47">
      <c r="A15" s="6" t="s">
        <v>256</v>
      </c>
      <c r="B15" s="23" t="s">
        <v>7</v>
      </c>
      <c r="C15" s="215">
        <f t="shared" ref="C15:K15" si="22">SUM(C7:C14)</f>
        <v>54841</v>
      </c>
      <c r="D15" s="215">
        <f t="shared" si="22"/>
        <v>57175</v>
      </c>
      <c r="E15" s="215">
        <f t="shared" si="22"/>
        <v>59984</v>
      </c>
      <c r="F15" s="215">
        <f t="shared" si="22"/>
        <v>63675</v>
      </c>
      <c r="G15" s="215">
        <f t="shared" si="22"/>
        <v>67317</v>
      </c>
      <c r="H15" s="215">
        <f t="shared" si="22"/>
        <v>60849</v>
      </c>
      <c r="I15" s="215">
        <f t="shared" si="22"/>
        <v>64294</v>
      </c>
      <c r="J15" s="215">
        <f t="shared" si="22"/>
        <v>67922</v>
      </c>
      <c r="K15" s="215">
        <f t="shared" si="22"/>
        <v>69077</v>
      </c>
      <c r="L15" s="216">
        <f>SUM(L7:L14)</f>
        <v>71152.748632299452</v>
      </c>
      <c r="M15" s="216">
        <f t="shared" ref="M15:P15" si="23">SUM(M7:M14)</f>
        <v>73998.058146344905</v>
      </c>
      <c r="N15" s="216">
        <f t="shared" si="23"/>
        <v>77031.118703059852</v>
      </c>
      <c r="O15" s="216">
        <f t="shared" si="23"/>
        <v>80175.906984756206</v>
      </c>
      <c r="P15" s="216">
        <f t="shared" si="23"/>
        <v>83436.419470811306</v>
      </c>
      <c r="Q15" s="200"/>
      <c r="R15" s="215">
        <f t="shared" ref="R15:AI15" si="24">SUM(R7:R14)</f>
        <v>29058.5</v>
      </c>
      <c r="S15" s="215">
        <f t="shared" si="24"/>
        <v>25838.5</v>
      </c>
      <c r="T15" s="215">
        <f t="shared" si="24"/>
        <v>29907</v>
      </c>
      <c r="U15" s="215">
        <f t="shared" si="24"/>
        <v>27268</v>
      </c>
      <c r="V15" s="215">
        <f t="shared" si="24"/>
        <v>30587</v>
      </c>
      <c r="W15" s="215">
        <f t="shared" si="24"/>
        <v>29397</v>
      </c>
      <c r="X15" s="215">
        <f t="shared" si="24"/>
        <v>32410</v>
      </c>
      <c r="Y15" s="215">
        <f t="shared" si="24"/>
        <v>31265</v>
      </c>
      <c r="Z15" s="215">
        <f t="shared" si="24"/>
        <v>35885</v>
      </c>
      <c r="AA15" s="215">
        <f t="shared" si="24"/>
        <v>31432</v>
      </c>
      <c r="AB15" s="215">
        <f t="shared" si="24"/>
        <v>31894</v>
      </c>
      <c r="AC15" s="215">
        <f t="shared" si="24"/>
        <v>28955</v>
      </c>
      <c r="AD15" s="215">
        <f t="shared" si="24"/>
        <v>33169</v>
      </c>
      <c r="AE15" s="215">
        <f t="shared" si="24"/>
        <v>31125</v>
      </c>
      <c r="AF15" s="215">
        <f t="shared" si="24"/>
        <v>34635</v>
      </c>
      <c r="AG15" s="215">
        <f t="shared" si="24"/>
        <v>33287</v>
      </c>
      <c r="AH15" s="215">
        <f t="shared" si="24"/>
        <v>35930</v>
      </c>
      <c r="AI15" s="215">
        <f t="shared" si="24"/>
        <v>33147</v>
      </c>
      <c r="AJ15" s="216">
        <f t="shared" ref="AJ15:AK15" si="25">SUM(AJ7:AJ14)</f>
        <v>37054.210966296414</v>
      </c>
      <c r="AK15" s="216">
        <f t="shared" si="25"/>
        <v>34098.537666003031</v>
      </c>
    </row>
    <row r="16" spans="1:47" s="7" customFormat="1">
      <c r="A16" s="6"/>
      <c r="B16" s="32" t="s">
        <v>265</v>
      </c>
      <c r="C16" s="27"/>
      <c r="D16" s="365">
        <f t="shared" ref="D16:K16" si="26">D15/C15-1</f>
        <v>4.2559398989806985E-2</v>
      </c>
      <c r="E16" s="365">
        <f t="shared" si="26"/>
        <v>4.9129864451246119E-2</v>
      </c>
      <c r="F16" s="365">
        <f t="shared" si="26"/>
        <v>6.1533075486796429E-2</v>
      </c>
      <c r="G16" s="365">
        <f t="shared" si="26"/>
        <v>5.7196702002355604E-2</v>
      </c>
      <c r="H16" s="365">
        <f t="shared" si="26"/>
        <v>-9.608271313338379E-2</v>
      </c>
      <c r="I16" s="365">
        <f t="shared" si="26"/>
        <v>5.6615556541602885E-2</v>
      </c>
      <c r="J16" s="365">
        <f t="shared" si="26"/>
        <v>5.6428282576912236E-2</v>
      </c>
      <c r="K16" s="365">
        <f t="shared" si="26"/>
        <v>1.7004799623097089E-2</v>
      </c>
      <c r="L16" s="366">
        <f t="shared" ref="L16:P16" si="27">L15/K15-1</f>
        <v>3.0049779699457879E-2</v>
      </c>
      <c r="M16" s="366">
        <f t="shared" si="27"/>
        <v>3.9988750522475858E-2</v>
      </c>
      <c r="N16" s="366">
        <f t="shared" si="27"/>
        <v>4.0988380407449343E-2</v>
      </c>
      <c r="O16" s="366">
        <f t="shared" si="27"/>
        <v>4.0824907318546266E-2</v>
      </c>
      <c r="P16" s="366">
        <f t="shared" si="27"/>
        <v>4.066698598963181E-2</v>
      </c>
      <c r="Q16" s="229"/>
      <c r="R16" s="27"/>
      <c r="S16" s="215"/>
      <c r="T16" s="365">
        <f t="shared" ref="T16:AI16" si="28">T15/R15-1</f>
        <v>2.919971781062336E-2</v>
      </c>
      <c r="U16" s="365">
        <f t="shared" si="28"/>
        <v>5.5324418987170221E-2</v>
      </c>
      <c r="V16" s="365">
        <f t="shared" si="28"/>
        <v>2.2737151837362468E-2</v>
      </c>
      <c r="W16" s="365">
        <f t="shared" si="28"/>
        <v>7.8076866656887178E-2</v>
      </c>
      <c r="X16" s="365">
        <f t="shared" si="28"/>
        <v>5.9600483865694498E-2</v>
      </c>
      <c r="Y16" s="365">
        <f t="shared" si="28"/>
        <v>6.354389903731672E-2</v>
      </c>
      <c r="Z16" s="365">
        <f t="shared" si="28"/>
        <v>0.107219993829065</v>
      </c>
      <c r="AA16" s="365">
        <f t="shared" si="28"/>
        <v>5.3414361106669528E-3</v>
      </c>
      <c r="AB16" s="365">
        <f t="shared" si="28"/>
        <v>-0.11121638567646652</v>
      </c>
      <c r="AC16" s="365">
        <f t="shared" si="28"/>
        <v>-7.8805039450241754E-2</v>
      </c>
      <c r="AD16" s="365">
        <f t="shared" si="28"/>
        <v>3.9976171066658406E-2</v>
      </c>
      <c r="AE16" s="365">
        <f t="shared" si="28"/>
        <v>7.4943878432049749E-2</v>
      </c>
      <c r="AF16" s="365">
        <f t="shared" si="28"/>
        <v>4.4197895625433414E-2</v>
      </c>
      <c r="AG16" s="365">
        <f t="shared" si="28"/>
        <v>6.9461847389558296E-2</v>
      </c>
      <c r="AH16" s="365">
        <f t="shared" si="28"/>
        <v>3.7389923487801457E-2</v>
      </c>
      <c r="AI16" s="365">
        <f t="shared" si="28"/>
        <v>-4.205846126115298E-3</v>
      </c>
      <c r="AJ16" s="366">
        <f t="shared" ref="AJ16:AK16" si="29">AJ15/AH15-1</f>
        <v>3.1288921967615124E-2</v>
      </c>
      <c r="AK16" s="366">
        <f t="shared" si="29"/>
        <v>2.8706599873383087E-2</v>
      </c>
      <c r="AL16" s="6"/>
      <c r="AU16" s="115"/>
    </row>
    <row r="17" spans="1:47" s="7" customFormat="1">
      <c r="A17" s="6"/>
      <c r="B17" s="32"/>
      <c r="C17" s="27"/>
      <c r="D17" s="365"/>
      <c r="E17" s="365"/>
      <c r="F17" s="365"/>
      <c r="G17" s="365"/>
      <c r="H17" s="365"/>
      <c r="I17" s="365"/>
      <c r="J17" s="365"/>
      <c r="K17" s="365"/>
      <c r="L17" s="366"/>
      <c r="M17" s="366"/>
      <c r="N17" s="366"/>
      <c r="O17" s="366"/>
      <c r="P17" s="366"/>
      <c r="Q17" s="229"/>
      <c r="R17" s="27"/>
      <c r="S17" s="215"/>
      <c r="T17" s="365"/>
      <c r="U17" s="365"/>
      <c r="V17" s="365"/>
      <c r="W17" s="365"/>
      <c r="X17" s="365"/>
      <c r="Y17" s="365"/>
      <c r="Z17" s="365"/>
      <c r="AA17" s="365"/>
      <c r="AB17" s="365"/>
      <c r="AC17" s="365"/>
      <c r="AD17" s="365"/>
      <c r="AE17" s="365"/>
      <c r="AF17" s="365"/>
      <c r="AG17" s="365"/>
      <c r="AH17" s="365"/>
      <c r="AI17" s="365"/>
      <c r="AJ17" s="366"/>
      <c r="AK17" s="366"/>
      <c r="AL17" s="6"/>
      <c r="AU17" s="115"/>
    </row>
    <row r="18" spans="1:47">
      <c r="B18" s="2" t="s">
        <v>39</v>
      </c>
      <c r="C18" s="167"/>
      <c r="D18" s="167"/>
      <c r="E18" s="167"/>
      <c r="F18" s="167"/>
      <c r="G18" s="167"/>
      <c r="H18" s="167"/>
      <c r="I18" s="167"/>
      <c r="J18" s="167"/>
      <c r="K18" s="167"/>
      <c r="L18" s="167"/>
      <c r="M18" s="167"/>
      <c r="N18" s="167"/>
      <c r="O18" s="167"/>
      <c r="P18" s="167"/>
      <c r="Q18" s="167"/>
      <c r="R18" s="167"/>
      <c r="S18" s="167"/>
      <c r="T18" s="167"/>
      <c r="U18" s="167"/>
      <c r="V18" s="167"/>
      <c r="W18" s="167"/>
      <c r="X18" s="167"/>
      <c r="Y18" s="167"/>
      <c r="Z18" s="167"/>
      <c r="AA18" s="167"/>
      <c r="AB18" s="167"/>
      <c r="AC18" s="167"/>
      <c r="AD18" s="167"/>
      <c r="AE18" s="167"/>
      <c r="AF18" s="167"/>
      <c r="AG18" s="167"/>
      <c r="AH18" s="167"/>
      <c r="AI18" s="167"/>
      <c r="AJ18" s="167"/>
      <c r="AK18" s="167"/>
      <c r="AU18" s="115"/>
    </row>
    <row r="19" spans="1:47">
      <c r="A19" s="6" t="s">
        <v>411</v>
      </c>
      <c r="B19" s="16" t="s">
        <v>1</v>
      </c>
      <c r="C19" s="201">
        <f t="shared" ref="C19:K19" si="30">C57</f>
        <v>1603.1</v>
      </c>
      <c r="D19" s="201">
        <f t="shared" si="30"/>
        <v>1757</v>
      </c>
      <c r="E19" s="201">
        <f t="shared" si="30"/>
        <v>1827</v>
      </c>
      <c r="F19" s="201">
        <f t="shared" si="30"/>
        <v>2232</v>
      </c>
      <c r="G19" s="201">
        <f t="shared" si="30"/>
        <v>2397</v>
      </c>
      <c r="H19" s="201">
        <f t="shared" si="30"/>
        <v>2406</v>
      </c>
      <c r="I19" s="201">
        <f t="shared" si="30"/>
        <v>2865</v>
      </c>
      <c r="J19" s="201">
        <f t="shared" si="30"/>
        <v>3150</v>
      </c>
      <c r="K19" s="201">
        <f t="shared" si="30"/>
        <v>2721</v>
      </c>
      <c r="L19" s="204">
        <f>L57</f>
        <v>2936.1145803258728</v>
      </c>
      <c r="M19" s="204">
        <f t="shared" ref="M19:P19" si="31">M57</f>
        <v>3240.4218670668347</v>
      </c>
      <c r="N19" s="204">
        <f t="shared" si="31"/>
        <v>3583.8158288810278</v>
      </c>
      <c r="O19" s="204">
        <f t="shared" si="31"/>
        <v>3755.6153614454511</v>
      </c>
      <c r="P19" s="204">
        <f t="shared" si="31"/>
        <v>3932.0914114954494</v>
      </c>
      <c r="Q19" s="200"/>
      <c r="R19" s="201">
        <f t="shared" ref="R19:AI19" si="32">R57</f>
        <v>811.6</v>
      </c>
      <c r="S19" s="201">
        <f t="shared" si="32"/>
        <v>791.49999999999989</v>
      </c>
      <c r="T19" s="201">
        <f t="shared" si="32"/>
        <v>901</v>
      </c>
      <c r="U19" s="201">
        <f t="shared" si="32"/>
        <v>856</v>
      </c>
      <c r="V19" s="201">
        <f t="shared" si="32"/>
        <v>933</v>
      </c>
      <c r="W19" s="201">
        <f t="shared" si="32"/>
        <v>894</v>
      </c>
      <c r="X19" s="201">
        <f t="shared" si="32"/>
        <v>1177</v>
      </c>
      <c r="Y19" s="201">
        <f t="shared" si="32"/>
        <v>1055</v>
      </c>
      <c r="Z19" s="201">
        <f t="shared" si="32"/>
        <v>1317</v>
      </c>
      <c r="AA19" s="201">
        <f t="shared" si="32"/>
        <v>1080</v>
      </c>
      <c r="AB19" s="201">
        <f t="shared" si="32"/>
        <v>1217</v>
      </c>
      <c r="AC19" s="201">
        <f t="shared" si="32"/>
        <v>1189</v>
      </c>
      <c r="AD19" s="201">
        <f t="shared" si="32"/>
        <v>1439</v>
      </c>
      <c r="AE19" s="201">
        <f t="shared" si="32"/>
        <v>1426</v>
      </c>
      <c r="AF19" s="201">
        <f t="shared" si="32"/>
        <v>1595</v>
      </c>
      <c r="AG19" s="201">
        <f t="shared" si="32"/>
        <v>1555</v>
      </c>
      <c r="AH19" s="201">
        <f t="shared" si="32"/>
        <v>1373</v>
      </c>
      <c r="AI19" s="201">
        <f t="shared" si="32"/>
        <v>1348</v>
      </c>
      <c r="AJ19" s="204">
        <f t="shared" ref="AJ19:AK19" si="33">AJ57</f>
        <v>1474.6453837980246</v>
      </c>
      <c r="AK19" s="204">
        <f t="shared" si="33"/>
        <v>1461.4691965278482</v>
      </c>
      <c r="AU19" s="115"/>
    </row>
    <row r="20" spans="1:47">
      <c r="A20" s="6" t="s">
        <v>412</v>
      </c>
      <c r="B20" s="16" t="s">
        <v>390</v>
      </c>
      <c r="C20" s="201"/>
      <c r="D20" s="201"/>
      <c r="E20" s="201"/>
      <c r="F20" s="201"/>
      <c r="G20" s="201">
        <f>G320</f>
        <v>28</v>
      </c>
      <c r="H20" s="201">
        <f>H320</f>
        <v>56</v>
      </c>
      <c r="I20" s="201">
        <f>I320</f>
        <v>63</v>
      </c>
      <c r="J20" s="201">
        <f>J320</f>
        <v>122</v>
      </c>
      <c r="K20" s="201">
        <f>K320</f>
        <v>137</v>
      </c>
      <c r="L20" s="204">
        <f t="shared" ref="L20:P20" si="34">L320</f>
        <v>147.73900499999999</v>
      </c>
      <c r="M20" s="204">
        <f t="shared" si="34"/>
        <v>161.36716049999998</v>
      </c>
      <c r="N20" s="204">
        <f t="shared" si="34"/>
        <v>169.43551852499999</v>
      </c>
      <c r="O20" s="204">
        <f t="shared" si="34"/>
        <v>177.90729445125001</v>
      </c>
      <c r="P20" s="204">
        <f t="shared" si="34"/>
        <v>186.80265917381251</v>
      </c>
      <c r="Q20" s="200"/>
      <c r="R20" s="201"/>
      <c r="S20" s="201"/>
      <c r="T20" s="201"/>
      <c r="U20" s="201"/>
      <c r="V20" s="201"/>
      <c r="W20" s="201"/>
      <c r="X20" s="201"/>
      <c r="Y20" s="201"/>
      <c r="Z20" s="201">
        <f t="shared" ref="Z20:AI20" si="35">Z320</f>
        <v>9</v>
      </c>
      <c r="AA20" s="201">
        <f t="shared" si="35"/>
        <v>19</v>
      </c>
      <c r="AB20" s="201">
        <f t="shared" si="35"/>
        <v>18</v>
      </c>
      <c r="AC20" s="201">
        <f t="shared" si="35"/>
        <v>38</v>
      </c>
      <c r="AD20" s="201">
        <f t="shared" si="35"/>
        <v>38</v>
      </c>
      <c r="AE20" s="201">
        <f t="shared" si="35"/>
        <v>25</v>
      </c>
      <c r="AF20" s="201">
        <f t="shared" si="35"/>
        <v>71</v>
      </c>
      <c r="AG20" s="201">
        <f t="shared" si="35"/>
        <v>51</v>
      </c>
      <c r="AH20" s="201">
        <f t="shared" si="35"/>
        <v>78</v>
      </c>
      <c r="AI20" s="201">
        <f t="shared" si="35"/>
        <v>59</v>
      </c>
      <c r="AJ20" s="204">
        <f t="shared" ref="AJ20:AK20" si="36">AJ320</f>
        <v>84.221280000000007</v>
      </c>
      <c r="AK20" s="204">
        <f t="shared" si="36"/>
        <v>63.517724999999984</v>
      </c>
      <c r="AU20" s="115"/>
    </row>
    <row r="21" spans="1:47" hidden="1" outlineLevel="1">
      <c r="B21" s="16" t="s">
        <v>2</v>
      </c>
      <c r="C21" s="201">
        <f>C342</f>
        <v>503</v>
      </c>
      <c r="D21" s="201">
        <f>D342</f>
        <v>516</v>
      </c>
      <c r="E21" s="201">
        <f>E342</f>
        <v>504</v>
      </c>
      <c r="F21" s="201">
        <f>F342</f>
        <v>569</v>
      </c>
      <c r="G21" s="201"/>
      <c r="H21" s="201"/>
      <c r="I21" s="201"/>
      <c r="J21" s="201"/>
      <c r="K21" s="201"/>
      <c r="L21" s="204"/>
      <c r="M21" s="204"/>
      <c r="N21" s="204"/>
      <c r="O21" s="204"/>
      <c r="P21" s="204"/>
      <c r="Q21" s="200"/>
      <c r="R21" s="201">
        <f t="shared" ref="R21:Y21" si="37">R342</f>
        <v>302.3</v>
      </c>
      <c r="S21" s="201">
        <f t="shared" si="37"/>
        <v>200.7</v>
      </c>
      <c r="T21" s="201">
        <f t="shared" si="37"/>
        <v>309</v>
      </c>
      <c r="U21" s="201">
        <f t="shared" si="37"/>
        <v>207</v>
      </c>
      <c r="V21" s="201">
        <f t="shared" si="37"/>
        <v>294</v>
      </c>
      <c r="W21" s="201">
        <f t="shared" si="37"/>
        <v>210</v>
      </c>
      <c r="X21" s="201">
        <f t="shared" si="37"/>
        <v>338</v>
      </c>
      <c r="Y21" s="201">
        <f t="shared" si="37"/>
        <v>231</v>
      </c>
      <c r="Z21" s="201"/>
      <c r="AA21" s="201"/>
      <c r="AB21" s="201"/>
      <c r="AC21" s="201"/>
      <c r="AD21" s="201"/>
      <c r="AE21" s="201"/>
      <c r="AF21" s="201"/>
      <c r="AG21" s="201"/>
      <c r="AH21" s="201"/>
      <c r="AI21" s="201"/>
      <c r="AJ21" s="204"/>
      <c r="AK21" s="204"/>
      <c r="AU21" s="115"/>
    </row>
    <row r="22" spans="1:47" collapsed="1">
      <c r="A22" s="6" t="s">
        <v>413</v>
      </c>
      <c r="B22" s="16" t="s">
        <v>3</v>
      </c>
      <c r="C22" s="201">
        <f t="shared" ref="C22:K22" si="38">C190</f>
        <v>292</v>
      </c>
      <c r="D22" s="201">
        <f t="shared" si="38"/>
        <v>262</v>
      </c>
      <c r="E22" s="201">
        <f t="shared" si="38"/>
        <v>277</v>
      </c>
      <c r="F22" s="201">
        <f t="shared" si="38"/>
        <v>358</v>
      </c>
      <c r="G22" s="201">
        <f t="shared" si="38"/>
        <v>336</v>
      </c>
      <c r="H22" s="201">
        <f t="shared" si="38"/>
        <v>296</v>
      </c>
      <c r="I22" s="201">
        <f t="shared" si="38"/>
        <v>228</v>
      </c>
      <c r="J22" s="201">
        <f t="shared" si="38"/>
        <v>100</v>
      </c>
      <c r="K22" s="201">
        <f t="shared" si="38"/>
        <v>138</v>
      </c>
      <c r="L22" s="204">
        <f t="shared" ref="L22:P22" si="39">L190</f>
        <v>157.7218101769912</v>
      </c>
      <c r="M22" s="204">
        <f t="shared" si="39"/>
        <v>178.22564550000007</v>
      </c>
      <c r="N22" s="204">
        <f t="shared" si="39"/>
        <v>201.61828223404638</v>
      </c>
      <c r="O22" s="204">
        <f t="shared" si="39"/>
        <v>251.77404725277978</v>
      </c>
      <c r="P22" s="204">
        <f t="shared" si="39"/>
        <v>305.6404420992298</v>
      </c>
      <c r="Q22" s="200"/>
      <c r="R22" s="201">
        <f t="shared" ref="R22:AD22" si="40">R190</f>
        <v>154.9</v>
      </c>
      <c r="S22" s="201">
        <f t="shared" si="40"/>
        <v>137.1</v>
      </c>
      <c r="T22" s="201">
        <f t="shared" si="40"/>
        <v>139</v>
      </c>
      <c r="U22" s="201">
        <f t="shared" si="40"/>
        <v>123</v>
      </c>
      <c r="V22" s="201">
        <f t="shared" si="40"/>
        <v>137</v>
      </c>
      <c r="W22" s="201">
        <f t="shared" si="40"/>
        <v>140</v>
      </c>
      <c r="X22" s="201">
        <f t="shared" si="40"/>
        <v>175</v>
      </c>
      <c r="Y22" s="201">
        <f t="shared" si="40"/>
        <v>183</v>
      </c>
      <c r="Z22" s="201">
        <f t="shared" si="40"/>
        <v>181</v>
      </c>
      <c r="AA22" s="201">
        <f t="shared" si="40"/>
        <v>155</v>
      </c>
      <c r="AB22" s="201">
        <f t="shared" si="40"/>
        <v>191</v>
      </c>
      <c r="AC22" s="201">
        <f t="shared" si="40"/>
        <v>105</v>
      </c>
      <c r="AD22" s="201">
        <f t="shared" si="40"/>
        <v>111</v>
      </c>
      <c r="AE22" s="201">
        <f>I22-AD22</f>
        <v>117</v>
      </c>
      <c r="AF22" s="201">
        <f t="shared" ref="AF22:AI22" si="41">AF190</f>
        <v>65</v>
      </c>
      <c r="AG22" s="201">
        <f t="shared" si="41"/>
        <v>35</v>
      </c>
      <c r="AH22" s="201">
        <f t="shared" si="41"/>
        <v>73</v>
      </c>
      <c r="AI22" s="201">
        <f t="shared" si="41"/>
        <v>65</v>
      </c>
      <c r="AJ22" s="204">
        <f t="shared" ref="AJ22:AK22" si="42">AJ190</f>
        <v>86.168445612519179</v>
      </c>
      <c r="AK22" s="204">
        <f t="shared" si="42"/>
        <v>71.55336456447202</v>
      </c>
      <c r="AU22" s="115"/>
    </row>
    <row r="23" spans="1:47" hidden="1" outlineLevel="1">
      <c r="B23" s="16" t="s">
        <v>4</v>
      </c>
      <c r="C23" s="201">
        <f>C347</f>
        <v>232.9</v>
      </c>
      <c r="D23" s="201">
        <f>D347</f>
        <v>259</v>
      </c>
      <c r="E23" s="201">
        <f>E347</f>
        <v>261</v>
      </c>
      <c r="F23" s="201">
        <f>F347</f>
        <v>172</v>
      </c>
      <c r="G23" s="201"/>
      <c r="H23" s="201"/>
      <c r="I23" s="201"/>
      <c r="J23" s="201"/>
      <c r="K23" s="201"/>
      <c r="L23" s="204"/>
      <c r="M23" s="204"/>
      <c r="N23" s="204"/>
      <c r="O23" s="204"/>
      <c r="P23" s="204"/>
      <c r="Q23" s="200"/>
      <c r="R23" s="201">
        <f t="shared" ref="R23:Y23" si="43">R347</f>
        <v>139.30000000000001</v>
      </c>
      <c r="S23" s="201">
        <f t="shared" si="43"/>
        <v>93.6</v>
      </c>
      <c r="T23" s="201">
        <f t="shared" si="43"/>
        <v>163</v>
      </c>
      <c r="U23" s="201">
        <f t="shared" si="43"/>
        <v>96</v>
      </c>
      <c r="V23" s="201">
        <f t="shared" si="43"/>
        <v>161</v>
      </c>
      <c r="W23" s="201">
        <f t="shared" si="43"/>
        <v>100</v>
      </c>
      <c r="X23" s="201">
        <f t="shared" si="43"/>
        <v>224</v>
      </c>
      <c r="Y23" s="201">
        <f t="shared" si="43"/>
        <v>-52</v>
      </c>
      <c r="Z23" s="201"/>
      <c r="AA23" s="201"/>
      <c r="AB23" s="201"/>
      <c r="AC23" s="201"/>
      <c r="AD23" s="201"/>
      <c r="AE23" s="201"/>
      <c r="AF23" s="201"/>
      <c r="AG23" s="201"/>
      <c r="AH23" s="201"/>
      <c r="AI23" s="201"/>
      <c r="AJ23" s="204"/>
      <c r="AK23" s="204"/>
      <c r="AU23" s="115"/>
    </row>
    <row r="24" spans="1:47" collapsed="1">
      <c r="A24" s="6" t="s">
        <v>414</v>
      </c>
      <c r="B24" s="16" t="s">
        <v>570</v>
      </c>
      <c r="C24" s="201">
        <f t="shared" ref="C24:I24" si="44">C233</f>
        <v>-150.5</v>
      </c>
      <c r="D24" s="201">
        <f t="shared" si="44"/>
        <v>-110</v>
      </c>
      <c r="E24" s="201">
        <f t="shared" si="44"/>
        <v>-85</v>
      </c>
      <c r="F24" s="201">
        <f t="shared" si="44"/>
        <v>39</v>
      </c>
      <c r="G24" s="201">
        <f t="shared" si="44"/>
        <v>172</v>
      </c>
      <c r="H24" s="201">
        <f t="shared" si="44"/>
        <v>55</v>
      </c>
      <c r="I24" s="201">
        <f t="shared" si="44"/>
        <v>145</v>
      </c>
      <c r="J24" s="201">
        <f>J201</f>
        <v>-29</v>
      </c>
      <c r="K24" s="201">
        <f>K201</f>
        <v>-31</v>
      </c>
      <c r="L24" s="204">
        <f t="shared" ref="L24:P24" si="45">L201</f>
        <v>49.56010263829787</v>
      </c>
      <c r="M24" s="204">
        <f t="shared" si="45"/>
        <v>61.062615329361705</v>
      </c>
      <c r="N24" s="204">
        <f t="shared" si="45"/>
        <v>65.199165267422231</v>
      </c>
      <c r="O24" s="204">
        <f t="shared" si="45"/>
        <v>69.473628623696868</v>
      </c>
      <c r="P24" s="204">
        <f t="shared" si="45"/>
        <v>73.8899700209451</v>
      </c>
      <c r="Q24" s="200"/>
      <c r="R24" s="201">
        <f>R233</f>
        <v>8.1</v>
      </c>
      <c r="S24" s="201">
        <f t="shared" ref="S24:AE24" si="46">S233</f>
        <v>-158.6</v>
      </c>
      <c r="T24" s="201">
        <f t="shared" si="46"/>
        <v>-10</v>
      </c>
      <c r="U24" s="201">
        <f t="shared" si="46"/>
        <v>-100</v>
      </c>
      <c r="V24" s="201">
        <f t="shared" si="46"/>
        <v>-8</v>
      </c>
      <c r="W24" s="201">
        <f t="shared" si="46"/>
        <v>-77</v>
      </c>
      <c r="X24" s="201">
        <f t="shared" si="46"/>
        <v>50</v>
      </c>
      <c r="Y24" s="201">
        <f t="shared" si="46"/>
        <v>-11</v>
      </c>
      <c r="Z24" s="201">
        <f t="shared" si="46"/>
        <v>133</v>
      </c>
      <c r="AA24" s="201">
        <f t="shared" si="46"/>
        <v>39</v>
      </c>
      <c r="AB24" s="201">
        <f t="shared" si="46"/>
        <v>25</v>
      </c>
      <c r="AC24" s="201">
        <f t="shared" si="46"/>
        <v>30</v>
      </c>
      <c r="AD24" s="201">
        <f t="shared" si="46"/>
        <v>134</v>
      </c>
      <c r="AE24" s="201">
        <f t="shared" si="46"/>
        <v>11</v>
      </c>
      <c r="AF24" s="201">
        <f>AF201</f>
        <v>15</v>
      </c>
      <c r="AG24" s="201">
        <f>AG201</f>
        <v>-44</v>
      </c>
      <c r="AH24" s="201">
        <f t="shared" ref="AH24:AI24" si="47">AH201</f>
        <v>33</v>
      </c>
      <c r="AI24" s="201">
        <f t="shared" si="47"/>
        <v>-64</v>
      </c>
      <c r="AJ24" s="204">
        <f>AJ201</f>
        <v>42.746720000000003</v>
      </c>
      <c r="AK24" s="204">
        <f t="shared" ref="AK24" si="48">AK201</f>
        <v>6.8133826382978668</v>
      </c>
      <c r="AU24" s="115"/>
    </row>
    <row r="25" spans="1:47">
      <c r="A25" s="6" t="s">
        <v>415</v>
      </c>
      <c r="B25" s="16" t="s">
        <v>5</v>
      </c>
      <c r="C25" s="128">
        <f>C337</f>
        <v>-154.30000000000001</v>
      </c>
      <c r="D25" s="128">
        <f t="shared" ref="D25:AK25" si="49">D337</f>
        <v>-136</v>
      </c>
      <c r="E25" s="128">
        <f t="shared" si="49"/>
        <v>-62</v>
      </c>
      <c r="F25" s="128">
        <f t="shared" si="49"/>
        <v>-151</v>
      </c>
      <c r="G25" s="128">
        <f t="shared" si="49"/>
        <v>-169</v>
      </c>
      <c r="H25" s="131">
        <f t="shared" si="49"/>
        <v>-123</v>
      </c>
      <c r="I25" s="131">
        <f t="shared" si="49"/>
        <v>-185</v>
      </c>
      <c r="J25" s="131">
        <f t="shared" si="49"/>
        <v>-120</v>
      </c>
      <c r="K25" s="131">
        <f t="shared" si="49"/>
        <v>-211</v>
      </c>
      <c r="L25" s="253">
        <f t="shared" si="49"/>
        <v>-240</v>
      </c>
      <c r="M25" s="253">
        <f t="shared" si="49"/>
        <v>-247.20000000000002</v>
      </c>
      <c r="N25" s="253">
        <f t="shared" si="49"/>
        <v>-254.61600000000001</v>
      </c>
      <c r="O25" s="253">
        <f t="shared" si="49"/>
        <v>-262.25448</v>
      </c>
      <c r="P25" s="253">
        <f t="shared" si="49"/>
        <v>-270.12211439999999</v>
      </c>
      <c r="Q25" s="200"/>
      <c r="R25" s="359">
        <f t="shared" si="49"/>
        <v>-79.599999999999994</v>
      </c>
      <c r="S25" s="128">
        <f t="shared" si="49"/>
        <v>0</v>
      </c>
      <c r="T25" s="128">
        <f t="shared" si="49"/>
        <v>-72</v>
      </c>
      <c r="U25" s="128">
        <f t="shared" si="49"/>
        <v>-64</v>
      </c>
      <c r="V25" s="128">
        <f t="shared" si="49"/>
        <v>-98</v>
      </c>
      <c r="W25" s="128">
        <f t="shared" si="49"/>
        <v>36</v>
      </c>
      <c r="X25" s="128">
        <f t="shared" si="49"/>
        <v>-71</v>
      </c>
      <c r="Y25" s="128">
        <f t="shared" si="49"/>
        <v>-80</v>
      </c>
      <c r="Z25" s="128">
        <f t="shared" si="49"/>
        <v>-86</v>
      </c>
      <c r="AA25" s="128">
        <f t="shared" si="49"/>
        <v>-83</v>
      </c>
      <c r="AB25" s="128">
        <f t="shared" si="49"/>
        <v>-69</v>
      </c>
      <c r="AC25" s="128">
        <f t="shared" si="49"/>
        <v>-54</v>
      </c>
      <c r="AD25" s="131">
        <f t="shared" si="49"/>
        <v>-85</v>
      </c>
      <c r="AE25" s="131">
        <f t="shared" si="49"/>
        <v>-100</v>
      </c>
      <c r="AF25" s="131">
        <f t="shared" si="49"/>
        <v>-54</v>
      </c>
      <c r="AG25" s="131">
        <f t="shared" si="49"/>
        <v>-66</v>
      </c>
      <c r="AH25" s="131">
        <f t="shared" si="49"/>
        <v>-106</v>
      </c>
      <c r="AI25" s="131">
        <f t="shared" si="49"/>
        <v>-105</v>
      </c>
      <c r="AJ25" s="148">
        <f t="shared" si="49"/>
        <v>-120</v>
      </c>
      <c r="AK25" s="148">
        <f t="shared" si="49"/>
        <v>-120</v>
      </c>
      <c r="AL25" s="114"/>
      <c r="AU25" s="115"/>
    </row>
    <row r="26" spans="1:47">
      <c r="A26" s="6" t="s">
        <v>84</v>
      </c>
      <c r="B26" s="23" t="s">
        <v>42</v>
      </c>
      <c r="C26" s="215">
        <f t="shared" ref="C26:K26" si="50">SUM(C19:C25)</f>
        <v>2326.1999999999998</v>
      </c>
      <c r="D26" s="215">
        <f t="shared" si="50"/>
        <v>2548</v>
      </c>
      <c r="E26" s="215">
        <f t="shared" si="50"/>
        <v>2722</v>
      </c>
      <c r="F26" s="215">
        <f t="shared" si="50"/>
        <v>3219</v>
      </c>
      <c r="G26" s="215">
        <f t="shared" si="50"/>
        <v>2764</v>
      </c>
      <c r="H26" s="215">
        <f t="shared" si="50"/>
        <v>2690</v>
      </c>
      <c r="I26" s="215">
        <f t="shared" si="50"/>
        <v>3116</v>
      </c>
      <c r="J26" s="215">
        <f t="shared" si="50"/>
        <v>3223</v>
      </c>
      <c r="K26" s="215">
        <f t="shared" si="50"/>
        <v>2754</v>
      </c>
      <c r="L26" s="216">
        <f>SUM(L19:L25)</f>
        <v>3051.1354981411619</v>
      </c>
      <c r="M26" s="216">
        <f t="shared" ref="M26:P26" si="51">SUM(M19:M25)</f>
        <v>3393.8772883961965</v>
      </c>
      <c r="N26" s="216">
        <f t="shared" si="51"/>
        <v>3765.4527949074968</v>
      </c>
      <c r="O26" s="216">
        <f t="shared" si="51"/>
        <v>3992.5158517731775</v>
      </c>
      <c r="P26" s="216">
        <f t="shared" si="51"/>
        <v>4228.3023683894362</v>
      </c>
      <c r="Q26" s="204"/>
      <c r="R26" s="215">
        <f>SUM(R19:R25)</f>
        <v>1336.6000000000001</v>
      </c>
      <c r="S26" s="215">
        <f t="shared" ref="S26:AK26" si="52">SUM(S19:S25)</f>
        <v>1064.2999999999997</v>
      </c>
      <c r="T26" s="215">
        <f t="shared" si="52"/>
        <v>1430</v>
      </c>
      <c r="U26" s="215">
        <f t="shared" si="52"/>
        <v>1118</v>
      </c>
      <c r="V26" s="215">
        <f t="shared" si="52"/>
        <v>1419</v>
      </c>
      <c r="W26" s="215">
        <f t="shared" si="52"/>
        <v>1303</v>
      </c>
      <c r="X26" s="215">
        <f t="shared" si="52"/>
        <v>1893</v>
      </c>
      <c r="Y26" s="215">
        <f t="shared" si="52"/>
        <v>1326</v>
      </c>
      <c r="Z26" s="215">
        <f t="shared" si="52"/>
        <v>1554</v>
      </c>
      <c r="AA26" s="215">
        <f t="shared" si="52"/>
        <v>1210</v>
      </c>
      <c r="AB26" s="215">
        <f t="shared" si="52"/>
        <v>1382</v>
      </c>
      <c r="AC26" s="215">
        <f t="shared" si="52"/>
        <v>1308</v>
      </c>
      <c r="AD26" s="215">
        <f t="shared" si="52"/>
        <v>1637</v>
      </c>
      <c r="AE26" s="215">
        <f t="shared" si="52"/>
        <v>1479</v>
      </c>
      <c r="AF26" s="215">
        <f t="shared" si="52"/>
        <v>1692</v>
      </c>
      <c r="AG26" s="215">
        <f t="shared" si="52"/>
        <v>1531</v>
      </c>
      <c r="AH26" s="215">
        <f>SUM(AH19:AH25)</f>
        <v>1451</v>
      </c>
      <c r="AI26" s="215">
        <f t="shared" si="52"/>
        <v>1303</v>
      </c>
      <c r="AJ26" s="216">
        <f t="shared" si="52"/>
        <v>1567.7818294105439</v>
      </c>
      <c r="AK26" s="216">
        <f t="shared" si="52"/>
        <v>1483.3536687306182</v>
      </c>
      <c r="AU26" s="115"/>
    </row>
    <row r="27" spans="1:47" s="7" customFormat="1">
      <c r="A27" s="6"/>
      <c r="B27" s="32" t="s">
        <v>265</v>
      </c>
      <c r="C27" s="27"/>
      <c r="D27" s="365">
        <f t="shared" ref="D27:K27" si="53">D26/C26-1</f>
        <v>9.5348637262488323E-2</v>
      </c>
      <c r="E27" s="365">
        <f t="shared" si="53"/>
        <v>6.8288854003139665E-2</v>
      </c>
      <c r="F27" s="365">
        <f t="shared" si="53"/>
        <v>0.18258633357825138</v>
      </c>
      <c r="G27" s="365">
        <f t="shared" si="53"/>
        <v>-0.14134824479652064</v>
      </c>
      <c r="H27" s="365">
        <f t="shared" si="53"/>
        <v>-2.6772793053545629E-2</v>
      </c>
      <c r="I27" s="365">
        <f t="shared" si="53"/>
        <v>0.1583643122676579</v>
      </c>
      <c r="J27" s="365">
        <f t="shared" si="53"/>
        <v>3.4338896020539078E-2</v>
      </c>
      <c r="K27" s="365">
        <f t="shared" si="53"/>
        <v>-0.14551659944151407</v>
      </c>
      <c r="L27" s="366">
        <f t="shared" ref="L27" si="54">L26/K26-1</f>
        <v>0.10789233774188878</v>
      </c>
      <c r="M27" s="366">
        <f t="shared" ref="M27" si="55">M26/L26-1</f>
        <v>0.11233253667817844</v>
      </c>
      <c r="N27" s="366">
        <f t="shared" ref="N27" si="56">N26/M26-1</f>
        <v>0.10948407232687285</v>
      </c>
      <c r="O27" s="366">
        <f t="shared" ref="O27" si="57">O26/N26-1</f>
        <v>6.0301660712031024E-2</v>
      </c>
      <c r="P27" s="366">
        <f t="shared" ref="P27" si="58">P26/O26-1</f>
        <v>5.905712722756995E-2</v>
      </c>
      <c r="Q27" s="229"/>
      <c r="R27" s="27"/>
      <c r="S27" s="215"/>
      <c r="T27" s="365">
        <f t="shared" ref="T27:AI27" si="59">T26/R26-1</f>
        <v>6.9878796947478561E-2</v>
      </c>
      <c r="U27" s="365">
        <f t="shared" si="59"/>
        <v>5.0455698581227448E-2</v>
      </c>
      <c r="V27" s="365">
        <f t="shared" si="59"/>
        <v>-7.692307692307665E-3</v>
      </c>
      <c r="W27" s="365">
        <f t="shared" si="59"/>
        <v>0.16547406082289795</v>
      </c>
      <c r="X27" s="365">
        <f t="shared" si="59"/>
        <v>0.33403805496828753</v>
      </c>
      <c r="Y27" s="365">
        <f t="shared" si="59"/>
        <v>1.7651573292402079E-2</v>
      </c>
      <c r="Z27" s="365">
        <f t="shared" si="59"/>
        <v>-0.17908082408874804</v>
      </c>
      <c r="AA27" s="365">
        <f t="shared" si="59"/>
        <v>-8.7481146304675739E-2</v>
      </c>
      <c r="AB27" s="365">
        <f t="shared" si="59"/>
        <v>-0.11068211068211065</v>
      </c>
      <c r="AC27" s="365">
        <f t="shared" si="59"/>
        <v>8.0991735537190079E-2</v>
      </c>
      <c r="AD27" s="365">
        <f t="shared" si="59"/>
        <v>0.18451519536903049</v>
      </c>
      <c r="AE27" s="365">
        <f t="shared" si="59"/>
        <v>0.13073394495412849</v>
      </c>
      <c r="AF27" s="365">
        <f t="shared" si="59"/>
        <v>3.3598045204642712E-2</v>
      </c>
      <c r="AG27" s="365">
        <f t="shared" si="59"/>
        <v>3.5158891142663906E-2</v>
      </c>
      <c r="AH27" s="365">
        <f t="shared" si="59"/>
        <v>-0.14243498817966904</v>
      </c>
      <c r="AI27" s="365">
        <f t="shared" si="59"/>
        <v>-0.14892227302416716</v>
      </c>
      <c r="AJ27" s="366">
        <f t="shared" ref="AJ27:AK27" si="60">AJ26/AH26-1</f>
        <v>8.0483686706094959E-2</v>
      </c>
      <c r="AK27" s="366">
        <f t="shared" si="60"/>
        <v>0.13841417400661404</v>
      </c>
      <c r="AL27" s="6"/>
      <c r="AU27" s="115"/>
    </row>
    <row r="28" spans="1:47" s="7" customFormat="1">
      <c r="A28" s="6"/>
      <c r="B28" s="32"/>
      <c r="C28" s="27"/>
      <c r="D28" s="365"/>
      <c r="E28" s="365"/>
      <c r="F28" s="365"/>
      <c r="G28" s="365"/>
      <c r="H28" s="365"/>
      <c r="I28" s="365"/>
      <c r="J28" s="365"/>
      <c r="K28" s="365"/>
      <c r="L28" s="366">
        <f>240/K30</f>
        <v>4.6612802983219395E-3</v>
      </c>
      <c r="M28" s="366"/>
      <c r="N28" s="366"/>
      <c r="O28" s="366"/>
      <c r="P28" s="366"/>
      <c r="Q28" s="229"/>
      <c r="R28" s="27"/>
      <c r="S28" s="215"/>
      <c r="T28" s="365"/>
      <c r="U28" s="365"/>
      <c r="V28" s="365"/>
      <c r="W28" s="365"/>
      <c r="X28" s="365"/>
      <c r="Y28" s="365"/>
      <c r="Z28" s="365"/>
      <c r="AA28" s="365"/>
      <c r="AB28" s="365"/>
      <c r="AC28" s="365"/>
      <c r="AD28" s="365"/>
      <c r="AE28" s="365"/>
      <c r="AF28" s="365"/>
      <c r="AG28" s="365"/>
      <c r="AH28" s="365"/>
      <c r="AI28" s="365"/>
      <c r="AJ28" s="366"/>
      <c r="AK28" s="366"/>
      <c r="AL28" s="6"/>
      <c r="AU28" s="115"/>
    </row>
    <row r="29" spans="1:47">
      <c r="B29" s="3" t="s">
        <v>1</v>
      </c>
      <c r="C29" s="167"/>
      <c r="D29" s="167"/>
      <c r="E29" s="167"/>
      <c r="F29" s="167"/>
      <c r="G29" s="167"/>
      <c r="H29" s="167"/>
      <c r="I29" s="167"/>
      <c r="J29" s="14" t="str">
        <f>J3</f>
        <v>FY24</v>
      </c>
      <c r="K29" s="14" t="str">
        <f t="shared" ref="K29:P29" si="61">K3</f>
        <v>FY25</v>
      </c>
      <c r="L29" s="14" t="str">
        <f t="shared" si="61"/>
        <v>FY26E</v>
      </c>
      <c r="M29" s="14" t="str">
        <f t="shared" si="61"/>
        <v>FY27E</v>
      </c>
      <c r="N29" s="14" t="str">
        <f t="shared" si="61"/>
        <v>FY28E</v>
      </c>
      <c r="O29" s="14" t="str">
        <f t="shared" si="61"/>
        <v>FY29E</v>
      </c>
      <c r="P29" s="14" t="str">
        <f t="shared" si="61"/>
        <v>FY30E</v>
      </c>
      <c r="Q29" s="167"/>
      <c r="R29" s="167"/>
      <c r="S29" s="167"/>
      <c r="T29" s="167"/>
      <c r="U29" s="167"/>
      <c r="V29" s="167"/>
      <c r="W29" s="167"/>
      <c r="X29" s="167"/>
      <c r="Y29" s="167"/>
      <c r="Z29" s="167"/>
      <c r="AA29" s="167"/>
      <c r="AB29" s="167"/>
      <c r="AC29" s="167"/>
      <c r="AD29" s="167"/>
      <c r="AE29" s="167"/>
      <c r="AF29" s="167"/>
      <c r="AG29" s="167"/>
      <c r="AH29" s="167"/>
      <c r="AI29" s="167"/>
      <c r="AJ29" s="167"/>
      <c r="AK29" s="167"/>
      <c r="AU29" s="115"/>
    </row>
    <row r="30" spans="1:47">
      <c r="B30" s="25" t="s">
        <v>0</v>
      </c>
      <c r="C30" s="26">
        <v>35836</v>
      </c>
      <c r="D30" s="28">
        <v>37589</v>
      </c>
      <c r="E30" s="28">
        <v>39635</v>
      </c>
      <c r="F30" s="28">
        <f>42151</f>
        <v>42151</v>
      </c>
      <c r="G30" s="28">
        <v>43746</v>
      </c>
      <c r="H30" s="28">
        <v>45740</v>
      </c>
      <c r="I30" s="28">
        <v>48047</v>
      </c>
      <c r="J30" s="28">
        <v>50823</v>
      </c>
      <c r="K30" s="28">
        <f>13605+13069+13060+11754</f>
        <v>51488</v>
      </c>
      <c r="L30" s="216">
        <f>K30*(1+L31)</f>
        <v>53350.775455684874</v>
      </c>
      <c r="M30" s="216">
        <f t="shared" ref="M30:P30" si="62">L30*(1+M31)</f>
        <v>55498.19129743649</v>
      </c>
      <c r="N30" s="216">
        <f t="shared" si="62"/>
        <v>57722.425260602882</v>
      </c>
      <c r="O30" s="216">
        <f t="shared" si="62"/>
        <v>60026.056714161568</v>
      </c>
      <c r="P30" s="216">
        <f t="shared" si="62"/>
        <v>62411.748223959155</v>
      </c>
      <c r="Q30" s="200"/>
      <c r="R30" s="26">
        <v>18712.599999999999</v>
      </c>
      <c r="S30" s="27">
        <f>C30-R30</f>
        <v>17123.400000000001</v>
      </c>
      <c r="T30" s="26">
        <v>19436</v>
      </c>
      <c r="U30" s="27">
        <f>D30-T30</f>
        <v>18153</v>
      </c>
      <c r="V30" s="28">
        <v>19928</v>
      </c>
      <c r="W30" s="27">
        <f>E30-V30</f>
        <v>19707</v>
      </c>
      <c r="X30" s="28">
        <v>21200</v>
      </c>
      <c r="Y30" s="27">
        <f>F30-X30</f>
        <v>20951</v>
      </c>
      <c r="Z30" s="28">
        <v>22988</v>
      </c>
      <c r="AA30" s="27">
        <f>G30-Z30</f>
        <v>20758</v>
      </c>
      <c r="AB30" s="28">
        <v>23780</v>
      </c>
      <c r="AC30" s="27">
        <f>H30-AB30</f>
        <v>21960</v>
      </c>
      <c r="AD30" s="28">
        <v>24385</v>
      </c>
      <c r="AE30" s="27">
        <f>I30-AD30</f>
        <v>23662</v>
      </c>
      <c r="AF30" s="28">
        <v>25945</v>
      </c>
      <c r="AG30" s="27">
        <f>J30-AF30</f>
        <v>24878</v>
      </c>
      <c r="AH30" s="28">
        <f>13605+13069</f>
        <v>26674</v>
      </c>
      <c r="AI30" s="27">
        <f>K30-AH30</f>
        <v>24814</v>
      </c>
      <c r="AJ30" s="216">
        <f>AH30*(1+AJ31)</f>
        <v>27617.811438454632</v>
      </c>
      <c r="AK30" s="216">
        <f>L30-AJ30</f>
        <v>25732.964017230242</v>
      </c>
      <c r="AU30" s="115"/>
    </row>
    <row r="31" spans="1:47">
      <c r="A31" s="6" t="s">
        <v>360</v>
      </c>
      <c r="B31" s="32" t="s">
        <v>265</v>
      </c>
      <c r="C31" s="199"/>
      <c r="D31" s="244">
        <f t="shared" ref="D31:K31" si="63">D30/C30-1</f>
        <v>4.8917289876102332E-2</v>
      </c>
      <c r="E31" s="244">
        <f t="shared" si="63"/>
        <v>5.4430817526404107E-2</v>
      </c>
      <c r="F31" s="244">
        <f t="shared" si="63"/>
        <v>6.347924813927075E-2</v>
      </c>
      <c r="G31" s="244">
        <f t="shared" si="63"/>
        <v>3.7840146141254083E-2</v>
      </c>
      <c r="H31" s="244">
        <f t="shared" si="63"/>
        <v>4.5581310291226584E-2</v>
      </c>
      <c r="I31" s="244">
        <f t="shared" si="63"/>
        <v>5.0437254044599866E-2</v>
      </c>
      <c r="J31" s="244">
        <f t="shared" si="63"/>
        <v>5.7776760255582982E-2</v>
      </c>
      <c r="K31" s="279">
        <f t="shared" si="63"/>
        <v>1.308462703893909E-2</v>
      </c>
      <c r="L31" s="274">
        <f>SUM(L33:L35)</f>
        <v>3.6178827215756555E-2</v>
      </c>
      <c r="M31" s="274">
        <f>SUM(M33:M35)</f>
        <v>4.0250883392226246E-2</v>
      </c>
      <c r="N31" s="274">
        <f>SUM(N33:N35)</f>
        <v>4.0077593722754969E-2</v>
      </c>
      <c r="O31" s="274">
        <f>SUM(O33:O35)</f>
        <v>3.9908777969018906E-2</v>
      </c>
      <c r="P31" s="274">
        <f>SUM(P33:P35)</f>
        <v>3.9744265080713694E-2</v>
      </c>
      <c r="Q31" s="200"/>
      <c r="R31" s="199"/>
      <c r="S31" s="199"/>
      <c r="T31" s="244">
        <f t="shared" ref="T31:AI31" si="64">T30/R30-1</f>
        <v>3.8658444043051299E-2</v>
      </c>
      <c r="U31" s="244">
        <f t="shared" si="64"/>
        <v>6.0128245558709104E-2</v>
      </c>
      <c r="V31" s="244">
        <f t="shared" si="64"/>
        <v>2.5313850586540454E-2</v>
      </c>
      <c r="W31" s="244">
        <f t="shared" si="64"/>
        <v>8.5605685010742061E-2</v>
      </c>
      <c r="X31" s="244">
        <f t="shared" si="64"/>
        <v>6.3829787234042534E-2</v>
      </c>
      <c r="Y31" s="244">
        <f t="shared" si="64"/>
        <v>6.3124777997665804E-2</v>
      </c>
      <c r="Z31" s="244">
        <f t="shared" si="64"/>
        <v>8.4339622641509404E-2</v>
      </c>
      <c r="AA31" s="244">
        <f t="shared" si="64"/>
        <v>-9.2119707889838365E-3</v>
      </c>
      <c r="AB31" s="244">
        <f t="shared" si="64"/>
        <v>3.445275796067504E-2</v>
      </c>
      <c r="AC31" s="244">
        <f t="shared" si="64"/>
        <v>5.7905385875325122E-2</v>
      </c>
      <c r="AD31" s="244">
        <f t="shared" si="64"/>
        <v>2.5441547518923358E-2</v>
      </c>
      <c r="AE31" s="244">
        <f t="shared" si="64"/>
        <v>7.7504553734061954E-2</v>
      </c>
      <c r="AF31" s="244">
        <f t="shared" si="64"/>
        <v>6.3973754357186774E-2</v>
      </c>
      <c r="AG31" s="244">
        <f t="shared" si="64"/>
        <v>5.1390415011410617E-2</v>
      </c>
      <c r="AH31" s="244">
        <f t="shared" si="64"/>
        <v>2.8097899402582449E-2</v>
      </c>
      <c r="AI31" s="244">
        <f t="shared" si="64"/>
        <v>-2.5725540638315003E-3</v>
      </c>
      <c r="AJ31" s="274">
        <f>SUM(AJ33:AJ35)</f>
        <v>3.5383198562443902E-2</v>
      </c>
      <c r="AK31" s="166">
        <f>AK30/AI30-1</f>
        <v>3.7034094351182434E-2</v>
      </c>
      <c r="AU31" s="115"/>
    </row>
    <row r="32" spans="1:47">
      <c r="A32" s="6" t="s">
        <v>561</v>
      </c>
      <c r="B32" s="32" t="s">
        <v>560</v>
      </c>
      <c r="C32" s="104"/>
      <c r="D32" s="113"/>
      <c r="E32" s="113"/>
      <c r="F32" s="113"/>
      <c r="G32" s="113"/>
      <c r="H32" s="113">
        <v>0.06</v>
      </c>
      <c r="I32" s="113">
        <v>6.3E-2</v>
      </c>
      <c r="J32" s="113">
        <v>4.7E-2</v>
      </c>
      <c r="K32" s="367">
        <v>4.3999999999999997E-2</v>
      </c>
      <c r="L32" s="274"/>
      <c r="M32" s="274"/>
      <c r="N32" s="274"/>
      <c r="O32" s="274"/>
      <c r="P32" s="274"/>
      <c r="Q32" s="200"/>
      <c r="R32" s="199"/>
      <c r="S32" s="199"/>
      <c r="T32" s="244"/>
      <c r="U32" s="244"/>
      <c r="V32" s="244"/>
      <c r="W32" s="244"/>
      <c r="X32" s="244"/>
      <c r="Y32" s="244"/>
      <c r="Z32" s="244"/>
      <c r="AA32" s="244"/>
      <c r="AB32" s="244"/>
      <c r="AC32" s="244"/>
      <c r="AD32" s="244"/>
      <c r="AE32" s="244"/>
      <c r="AF32" s="244"/>
      <c r="AG32" s="244"/>
      <c r="AH32" s="244"/>
      <c r="AI32" s="244"/>
      <c r="AJ32" s="274"/>
      <c r="AK32" s="166"/>
      <c r="AU32" s="115"/>
    </row>
    <row r="33" spans="1:47">
      <c r="A33" s="6" t="s">
        <v>361</v>
      </c>
      <c r="B33" s="32" t="s">
        <v>266</v>
      </c>
      <c r="C33" s="33">
        <v>3.5999999999999997E-2</v>
      </c>
      <c r="D33" s="106">
        <v>4.2999999999999997E-2</v>
      </c>
      <c r="E33" s="106">
        <v>3.1E-2</v>
      </c>
      <c r="F33" s="106">
        <v>7.2999999999999995E-2</v>
      </c>
      <c r="G33" s="106">
        <v>4.2000000000000003E-2</v>
      </c>
      <c r="H33" s="106">
        <v>3.5000000000000003E-2</v>
      </c>
      <c r="I33" s="106">
        <v>4.2000000000000003E-2</v>
      </c>
      <c r="J33" s="106">
        <v>2.8000000000000001E-2</v>
      </c>
      <c r="K33" s="106">
        <v>2.4E-2</v>
      </c>
      <c r="L33" s="158">
        <f>VLOOKUP($A33,Quarterly!$1:$1048576,MATCH(Model!L$3,Quarterly!$3:$3,0),FALSE)</f>
        <v>2.9749999999999999E-2</v>
      </c>
      <c r="M33" s="160">
        <v>3.5000000000000003E-2</v>
      </c>
      <c r="N33" s="160">
        <v>3.5000000000000003E-2</v>
      </c>
      <c r="O33" s="160">
        <v>3.5000000000000003E-2</v>
      </c>
      <c r="P33" s="160">
        <v>3.5000000000000003E-2</v>
      </c>
      <c r="Q33" s="200"/>
      <c r="R33" s="33">
        <v>1.9E-2</v>
      </c>
      <c r="S33" s="34"/>
      <c r="T33" s="33">
        <v>4.9000000000000002E-2</v>
      </c>
      <c r="U33" s="95">
        <f>VLOOKUP($A33,Quarterly!$1:$1048576,MATCH(Model!U$3,Quarterly!$3:$3,0),FALSE)</f>
        <v>3.5500000000000004E-2</v>
      </c>
      <c r="V33" s="106">
        <v>2.3E-2</v>
      </c>
      <c r="W33" s="95">
        <f>VLOOKUP($A33,Quarterly!$1:$1048576,MATCH(Model!W$3,Quarterly!$3:$3,0),FALSE)</f>
        <v>3.9E-2</v>
      </c>
      <c r="X33" s="106">
        <v>5.0999999999999997E-2</v>
      </c>
      <c r="Y33" s="95">
        <f>VLOOKUP($A33,Quarterly!$1:$1048576,MATCH(Model!Y$3,Quarterly!$3:$3,0),FALSE)</f>
        <v>9.6000000000000002E-2</v>
      </c>
      <c r="Z33" s="106">
        <v>9.5000000000000001E-2</v>
      </c>
      <c r="AA33" s="95">
        <f>VLOOKUP($A33,Quarterly!$1:$1048576,MATCH(Model!AA$3,Quarterly!$3:$3,0),FALSE)</f>
        <v>-0.01</v>
      </c>
      <c r="AB33" s="106">
        <v>2.3E-2</v>
      </c>
      <c r="AC33" s="95">
        <f>VLOOKUP($A33,Quarterly!$1:$1048576,MATCH(Model!AC$3,Quarterly!$3:$3,0),FALSE)</f>
        <v>4.8000000000000001E-2</v>
      </c>
      <c r="AD33" s="106">
        <v>1.7999999999999999E-2</v>
      </c>
      <c r="AE33" s="95">
        <f>VLOOKUP($A33,Quarterly!$1:$1048576,MATCH(Model!AE$3,Quarterly!$3:$3,0),FALSE)</f>
        <v>6.6000000000000003E-2</v>
      </c>
      <c r="AF33" s="106">
        <v>4.5999999999999999E-2</v>
      </c>
      <c r="AG33" s="95">
        <f>VLOOKUP($A33,Quarterly!$1:$1048576,MATCH(Model!AG$3,Quarterly!$3:$3,0),FALSE)</f>
        <v>1.2E-2</v>
      </c>
      <c r="AH33" s="106">
        <v>1.712042768711311E-2</v>
      </c>
      <c r="AI33" s="95">
        <f>VLOOKUP($A33,Quarterly!$1:$1048576,MATCH(Model!AI$3,Quarterly!$3:$3,0),FALSE)</f>
        <v>2.9499999999999998E-2</v>
      </c>
      <c r="AJ33" s="158">
        <f>VLOOKUP($A33,Quarterly!$1:$1048576,MATCH(Model!AJ$3,Quarterly!$3:$3,0),FALSE)</f>
        <v>2.9499999999999998E-2</v>
      </c>
      <c r="AK33" s="158">
        <f>VLOOKUP($A33,Quarterly!$1:$1048576,MATCH(Model!AK$3,Quarterly!$3:$3,0),FALSE)</f>
        <v>0.03</v>
      </c>
      <c r="AU33" s="115"/>
    </row>
    <row r="34" spans="1:47">
      <c r="B34" s="32" t="s">
        <v>267</v>
      </c>
      <c r="C34" s="199"/>
      <c r="D34" s="244">
        <f t="shared" ref="D34:K34" si="65">D76/C76-1</f>
        <v>1.002004008016022E-2</v>
      </c>
      <c r="E34" s="244">
        <f t="shared" si="65"/>
        <v>1.5873015873015817E-2</v>
      </c>
      <c r="F34" s="244">
        <f t="shared" si="65"/>
        <v>2.63671875E-2</v>
      </c>
      <c r="G34" s="244">
        <f t="shared" si="65"/>
        <v>2.1883920076118057E-2</v>
      </c>
      <c r="H34" s="244">
        <f t="shared" si="65"/>
        <v>1.0242085661080091E-2</v>
      </c>
      <c r="I34" s="244">
        <f t="shared" si="65"/>
        <v>9.2165898617511122E-3</v>
      </c>
      <c r="J34" s="244">
        <f t="shared" si="65"/>
        <v>1.4611872146118809E-2</v>
      </c>
      <c r="K34" s="244">
        <f t="shared" si="65"/>
        <v>5.400540054005365E-3</v>
      </c>
      <c r="L34" s="166">
        <f t="shared" ref="L34:P34" si="66">L76/K76-1</f>
        <v>1.3428827215756556E-2</v>
      </c>
      <c r="M34" s="166">
        <f t="shared" si="66"/>
        <v>1.3250883392226243E-2</v>
      </c>
      <c r="N34" s="166">
        <f t="shared" si="66"/>
        <v>1.3077593722754965E-2</v>
      </c>
      <c r="O34" s="166">
        <f t="shared" si="66"/>
        <v>1.2908777969018903E-2</v>
      </c>
      <c r="P34" s="166">
        <f t="shared" si="66"/>
        <v>1.274426508071369E-2</v>
      </c>
      <c r="Q34" s="200"/>
      <c r="R34" s="199"/>
      <c r="S34" s="199"/>
      <c r="T34" s="244">
        <f t="shared" ref="T34:AI34" si="67">T76/R76-1</f>
        <v>1.2048192771084265E-2</v>
      </c>
      <c r="U34" s="244">
        <f t="shared" si="67"/>
        <v>1.0050251256281451E-2</v>
      </c>
      <c r="V34" s="244">
        <f t="shared" si="67"/>
        <v>9.9206349206348854E-3</v>
      </c>
      <c r="W34" s="244">
        <f t="shared" si="67"/>
        <v>1.8905472636815857E-2</v>
      </c>
      <c r="X34" s="244">
        <f t="shared" si="67"/>
        <v>2.0628683693516781E-2</v>
      </c>
      <c r="Y34" s="244">
        <f t="shared" si="67"/>
        <v>2.734375E-2</v>
      </c>
      <c r="Z34" s="244">
        <f t="shared" si="67"/>
        <v>2.4061597690086645E-2</v>
      </c>
      <c r="AA34" s="244">
        <f t="shared" si="67"/>
        <v>1.9961977186311763E-2</v>
      </c>
      <c r="AB34" s="244">
        <f t="shared" si="67"/>
        <v>1.7857142857142794E-2</v>
      </c>
      <c r="AC34" s="244">
        <f t="shared" si="67"/>
        <v>1.1183597390493905E-2</v>
      </c>
      <c r="AD34" s="244">
        <f t="shared" si="67"/>
        <v>9.2336103416434945E-3</v>
      </c>
      <c r="AE34" s="244">
        <f t="shared" si="67"/>
        <v>9.2165898617511122E-3</v>
      </c>
      <c r="AF34" s="244">
        <f t="shared" si="67"/>
        <v>1.0064043915827936E-2</v>
      </c>
      <c r="AG34" s="244">
        <f t="shared" si="67"/>
        <v>1.4611872146118809E-2</v>
      </c>
      <c r="AH34" s="244">
        <f t="shared" si="67"/>
        <v>8.152173913043459E-3</v>
      </c>
      <c r="AI34" s="244">
        <f t="shared" si="67"/>
        <v>5.400540054005365E-3</v>
      </c>
      <c r="AJ34" s="166">
        <f t="shared" ref="AJ34" si="68">AJ76/AH76-1</f>
        <v>9.8831985624439067E-3</v>
      </c>
      <c r="AK34" s="166">
        <f>AK76/AI76-1</f>
        <v>1.3428827215756556E-2</v>
      </c>
      <c r="AU34" s="115"/>
    </row>
    <row r="35" spans="1:47">
      <c r="B35" s="32" t="s">
        <v>77</v>
      </c>
      <c r="C35" s="199"/>
      <c r="D35" s="244">
        <f t="shared" ref="D35:K35" si="69">D31-SUM(D33:D34)</f>
        <v>-4.1027502040578839E-3</v>
      </c>
      <c r="E35" s="244">
        <f t="shared" si="69"/>
        <v>7.5578016533882908E-3</v>
      </c>
      <c r="F35" s="244">
        <f t="shared" si="69"/>
        <v>-3.5887939360729246E-2</v>
      </c>
      <c r="G35" s="244">
        <f t="shared" si="69"/>
        <v>-2.6043773934863984E-2</v>
      </c>
      <c r="H35" s="244">
        <f t="shared" si="69"/>
        <v>3.3922463014648963E-4</v>
      </c>
      <c r="I35" s="244">
        <f t="shared" si="69"/>
        <v>-7.793358171512485E-4</v>
      </c>
      <c r="J35" s="244">
        <f t="shared" si="69"/>
        <v>1.5164888109464175E-2</v>
      </c>
      <c r="K35" s="244">
        <f t="shared" si="69"/>
        <v>-1.6315913015066276E-2</v>
      </c>
      <c r="L35" s="160">
        <v>-7.0000000000000001E-3</v>
      </c>
      <c r="M35" s="160">
        <v>-8.0000000000000002E-3</v>
      </c>
      <c r="N35" s="160">
        <v>-8.0000000000000002E-3</v>
      </c>
      <c r="O35" s="160">
        <v>-8.0000000000000002E-3</v>
      </c>
      <c r="P35" s="160">
        <v>-8.0000000000000002E-3</v>
      </c>
      <c r="Q35" s="200"/>
      <c r="R35" s="199"/>
      <c r="S35" s="199"/>
      <c r="T35" s="244">
        <f t="shared" ref="T35:AI35" si="70">T31-SUM(T33:T34)</f>
        <v>-2.2389748728032968E-2</v>
      </c>
      <c r="U35" s="244">
        <f t="shared" si="70"/>
        <v>1.4577994302427649E-2</v>
      </c>
      <c r="V35" s="244">
        <f t="shared" si="70"/>
        <v>-7.6067843340944311E-3</v>
      </c>
      <c r="W35" s="244">
        <f t="shared" si="70"/>
        <v>2.7700212373926204E-2</v>
      </c>
      <c r="X35" s="244">
        <f t="shared" si="70"/>
        <v>-7.798896459474236E-3</v>
      </c>
      <c r="Y35" s="244">
        <f t="shared" si="70"/>
        <v>-6.0218972002334198E-2</v>
      </c>
      <c r="Z35" s="244">
        <f t="shared" si="70"/>
        <v>-3.4721975048577242E-2</v>
      </c>
      <c r="AA35" s="244">
        <f t="shared" si="70"/>
        <v>-1.9173947975295598E-2</v>
      </c>
      <c r="AB35" s="244">
        <f t="shared" si="70"/>
        <v>-6.4043848964677533E-3</v>
      </c>
      <c r="AC35" s="244">
        <f t="shared" si="70"/>
        <v>-1.278211515168784E-3</v>
      </c>
      <c r="AD35" s="244">
        <f t="shared" si="70"/>
        <v>-1.7920628227201356E-3</v>
      </c>
      <c r="AE35" s="244">
        <f t="shared" si="70"/>
        <v>2.2879638723108386E-3</v>
      </c>
      <c r="AF35" s="244">
        <f t="shared" si="70"/>
        <v>7.9097104413588387E-3</v>
      </c>
      <c r="AG35" s="244">
        <f t="shared" si="70"/>
        <v>2.4778542865291808E-2</v>
      </c>
      <c r="AH35" s="244">
        <f t="shared" si="70"/>
        <v>2.8252978024258801E-3</v>
      </c>
      <c r="AI35" s="244">
        <f t="shared" si="70"/>
        <v>-3.7473094117836864E-2</v>
      </c>
      <c r="AJ35" s="160">
        <v>-4.0000000000000001E-3</v>
      </c>
      <c r="AK35" s="166">
        <f>AK31-SUM(AK33:AK34)</f>
        <v>-6.3947328645741208E-3</v>
      </c>
      <c r="AU35" s="115"/>
    </row>
    <row r="36" spans="1:47">
      <c r="B36" s="32"/>
      <c r="C36" s="199"/>
      <c r="D36" s="199"/>
      <c r="E36" s="199"/>
      <c r="F36" s="199"/>
      <c r="G36" s="199"/>
      <c r="H36" s="199"/>
      <c r="I36" s="199"/>
      <c r="J36" s="199"/>
      <c r="K36" s="199"/>
      <c r="L36" s="200"/>
      <c r="M36" s="200"/>
      <c r="N36" s="200"/>
      <c r="O36" s="200"/>
      <c r="P36" s="200"/>
      <c r="Q36" s="200"/>
      <c r="R36" s="199"/>
      <c r="S36" s="199"/>
      <c r="T36" s="199"/>
      <c r="U36" s="199"/>
      <c r="V36" s="199"/>
      <c r="W36" s="199"/>
      <c r="X36" s="199"/>
      <c r="Y36" s="199"/>
      <c r="Z36" s="199"/>
      <c r="AA36" s="199"/>
      <c r="AB36" s="199"/>
      <c r="AC36" s="199"/>
      <c r="AD36" s="199"/>
      <c r="AE36" s="199"/>
      <c r="AF36" s="199"/>
      <c r="AG36" s="199"/>
      <c r="AH36" s="199"/>
      <c r="AI36" s="199"/>
      <c r="AJ36" s="200"/>
      <c r="AK36" s="200"/>
      <c r="AU36" s="115"/>
    </row>
    <row r="37" spans="1:47" s="7" customFormat="1">
      <c r="A37" s="6" t="s">
        <v>452</v>
      </c>
      <c r="B37" s="25" t="s">
        <v>78</v>
      </c>
      <c r="C37" s="27">
        <f t="shared" ref="C37:P37" si="71">C39*C30</f>
        <v>10059.165199999999</v>
      </c>
      <c r="D37" s="27">
        <f t="shared" si="71"/>
        <v>10938.398999999999</v>
      </c>
      <c r="E37" s="27">
        <f t="shared" si="71"/>
        <v>11375.244999999999</v>
      </c>
      <c r="F37" s="27">
        <f t="shared" si="71"/>
        <v>12308.091999999999</v>
      </c>
      <c r="G37" s="27">
        <f t="shared" si="71"/>
        <v>11723.928</v>
      </c>
      <c r="H37" s="27">
        <f t="shared" si="71"/>
        <v>12532.76</v>
      </c>
      <c r="I37" s="27">
        <f t="shared" si="71"/>
        <v>13501.207000000002</v>
      </c>
      <c r="J37" s="27">
        <f t="shared" si="71"/>
        <v>14687.847</v>
      </c>
      <c r="K37" s="27">
        <f t="shared" si="71"/>
        <v>14725.567999999999</v>
      </c>
      <c r="L37" s="216">
        <f t="shared" si="71"/>
        <v>15258.321780325872</v>
      </c>
      <c r="M37" s="216">
        <f t="shared" si="71"/>
        <v>15872.482711066834</v>
      </c>
      <c r="N37" s="216">
        <f t="shared" si="71"/>
        <v>16566.336049793026</v>
      </c>
      <c r="O37" s="216">
        <f t="shared" si="71"/>
        <v>17227.478276964368</v>
      </c>
      <c r="P37" s="216">
        <f t="shared" si="71"/>
        <v>17912.171740276277</v>
      </c>
      <c r="Q37" s="229"/>
      <c r="R37" s="27">
        <f>R39*R30</f>
        <v>5217.0728799999997</v>
      </c>
      <c r="S37" s="215">
        <f>C37-R37</f>
        <v>4842.0923199999997</v>
      </c>
      <c r="T37" s="27">
        <f>T39*T30</f>
        <v>5597.5679999999993</v>
      </c>
      <c r="U37" s="215">
        <f>D37-T37</f>
        <v>5340.8310000000001</v>
      </c>
      <c r="V37" s="27">
        <f>V39*V30</f>
        <v>5719.3359999999993</v>
      </c>
      <c r="W37" s="215">
        <f>E37-V37</f>
        <v>5655.9089999999997</v>
      </c>
      <c r="X37" s="27">
        <f>X39*X30</f>
        <v>6169.2</v>
      </c>
      <c r="Y37" s="215">
        <f>F37-X37</f>
        <v>6138.8919999999989</v>
      </c>
      <c r="Z37" s="27">
        <f>Z39*Z30</f>
        <v>6114.808</v>
      </c>
      <c r="AA37" s="215">
        <f>G37-Z37</f>
        <v>5609.12</v>
      </c>
      <c r="AB37" s="27">
        <f>AB39*AB30</f>
        <v>6468.1600000000008</v>
      </c>
      <c r="AC37" s="215">
        <f>H37-AB37</f>
        <v>6064.5999999999995</v>
      </c>
      <c r="AD37" s="27">
        <f>AD39*AD30</f>
        <v>6803.4150000000009</v>
      </c>
      <c r="AE37" s="215">
        <f>I37-AD37</f>
        <v>6697.7920000000013</v>
      </c>
      <c r="AF37" s="27">
        <f>AF39*AF30</f>
        <v>7498.1049999999996</v>
      </c>
      <c r="AG37" s="215">
        <f>J37-AF37</f>
        <v>7189.7420000000002</v>
      </c>
      <c r="AH37" s="27">
        <f>AH39*AH30</f>
        <v>7628.7639999999992</v>
      </c>
      <c r="AI37" s="215">
        <f>K37-AH37</f>
        <v>7096.8040000000001</v>
      </c>
      <c r="AJ37" s="216">
        <f>AJ39*AJ30</f>
        <v>7898.6940713980239</v>
      </c>
      <c r="AK37" s="216">
        <f>L37-AJ37</f>
        <v>7359.6277089278483</v>
      </c>
      <c r="AL37" s="6"/>
      <c r="AU37" s="115"/>
    </row>
    <row r="38" spans="1:47" s="7" customFormat="1">
      <c r="A38" s="6"/>
      <c r="B38" s="32" t="s">
        <v>265</v>
      </c>
      <c r="C38" s="27"/>
      <c r="D38" s="365">
        <f t="shared" ref="D38:K38" si="72">D37/C37-1</f>
        <v>8.7406239237427075E-2</v>
      </c>
      <c r="E38" s="365">
        <f t="shared" si="72"/>
        <v>3.9936923127415591E-2</v>
      </c>
      <c r="F38" s="365">
        <f t="shared" si="72"/>
        <v>8.2006761173055942E-2</v>
      </c>
      <c r="G38" s="365">
        <f t="shared" si="72"/>
        <v>-4.7461783678574898E-2</v>
      </c>
      <c r="H38" s="365">
        <f t="shared" si="72"/>
        <v>6.8989847088791523E-2</v>
      </c>
      <c r="I38" s="365">
        <f t="shared" si="72"/>
        <v>7.7273242286615362E-2</v>
      </c>
      <c r="J38" s="365">
        <f t="shared" si="72"/>
        <v>8.7891401116951817E-2</v>
      </c>
      <c r="K38" s="365">
        <f t="shared" si="72"/>
        <v>2.568177623309964E-3</v>
      </c>
      <c r="L38" s="366">
        <f t="shared" ref="L38:P38" si="73">L37/K37-1</f>
        <v>3.6178827215756382E-2</v>
      </c>
      <c r="M38" s="366">
        <f t="shared" si="73"/>
        <v>4.0250883392226156E-2</v>
      </c>
      <c r="N38" s="366">
        <f t="shared" si="73"/>
        <v>4.3714228665841626E-2</v>
      </c>
      <c r="O38" s="366">
        <f t="shared" si="73"/>
        <v>3.9908777969018816E-2</v>
      </c>
      <c r="P38" s="366">
        <f t="shared" si="73"/>
        <v>3.9744265080713825E-2</v>
      </c>
      <c r="Q38" s="229"/>
      <c r="R38" s="27"/>
      <c r="S38" s="215"/>
      <c r="T38" s="365">
        <f t="shared" ref="T38:AI38" si="74">T37/R37-1</f>
        <v>7.2932682512190539E-2</v>
      </c>
      <c r="U38" s="365">
        <f t="shared" si="74"/>
        <v>0.1030006548904463</v>
      </c>
      <c r="V38" s="365">
        <f t="shared" si="74"/>
        <v>2.1753733049781676E-2</v>
      </c>
      <c r="W38" s="365">
        <f t="shared" si="74"/>
        <v>5.8994190229947341E-2</v>
      </c>
      <c r="X38" s="365">
        <f t="shared" si="74"/>
        <v>7.8656683223367274E-2</v>
      </c>
      <c r="Y38" s="365">
        <f t="shared" si="74"/>
        <v>8.5394407866180133E-2</v>
      </c>
      <c r="Z38" s="365">
        <f t="shared" si="74"/>
        <v>-8.8167023276923828E-3</v>
      </c>
      <c r="AA38" s="365">
        <f t="shared" si="74"/>
        <v>-8.6297657622906421E-2</v>
      </c>
      <c r="AB38" s="365">
        <f t="shared" si="74"/>
        <v>5.7786278816930992E-2</v>
      </c>
      <c r="AC38" s="365">
        <f t="shared" si="74"/>
        <v>8.1203468636791509E-2</v>
      </c>
      <c r="AD38" s="365">
        <f t="shared" si="74"/>
        <v>5.1831587344778107E-2</v>
      </c>
      <c r="AE38" s="365">
        <f t="shared" si="74"/>
        <v>0.10440787521023687</v>
      </c>
      <c r="AF38" s="365">
        <f t="shared" si="74"/>
        <v>0.10210901436998898</v>
      </c>
      <c r="AG38" s="365">
        <f t="shared" si="74"/>
        <v>7.3449578607397648E-2</v>
      </c>
      <c r="AH38" s="365">
        <f t="shared" si="74"/>
        <v>1.7425602868991419E-2</v>
      </c>
      <c r="AI38" s="365">
        <f t="shared" si="74"/>
        <v>-1.2926472187736349E-2</v>
      </c>
      <c r="AJ38" s="366">
        <f t="shared" ref="AJ38" si="75">AJ37/AI37-1</f>
        <v>0.1129931263985906</v>
      </c>
      <c r="AK38" s="166">
        <f>AK37/AI37-1</f>
        <v>3.7034094351182434E-2</v>
      </c>
      <c r="AL38" s="6"/>
      <c r="AU38" s="115"/>
    </row>
    <row r="39" spans="1:47">
      <c r="A39" s="6" t="s">
        <v>451</v>
      </c>
      <c r="B39" s="32" t="s">
        <v>79</v>
      </c>
      <c r="C39" s="136">
        <v>0.28070000000000001</v>
      </c>
      <c r="D39" s="137">
        <v>0.29099999999999998</v>
      </c>
      <c r="E39" s="137">
        <v>0.28699999999999998</v>
      </c>
      <c r="F39" s="136">
        <v>0.29199999999999998</v>
      </c>
      <c r="G39" s="136">
        <v>0.26800000000000002</v>
      </c>
      <c r="H39" s="137">
        <v>0.27400000000000002</v>
      </c>
      <c r="I39" s="137">
        <v>0.28100000000000003</v>
      </c>
      <c r="J39" s="137">
        <v>0.28899999999999998</v>
      </c>
      <c r="K39" s="137">
        <v>0.28599999999999998</v>
      </c>
      <c r="L39" s="254">
        <f>K39+L40</f>
        <v>0.28599999999999998</v>
      </c>
      <c r="M39" s="254">
        <f t="shared" ref="M39:P39" si="76">L39+M40</f>
        <v>0.28599999999999998</v>
      </c>
      <c r="N39" s="254">
        <f t="shared" si="76"/>
        <v>0.28699999999999998</v>
      </c>
      <c r="O39" s="254">
        <f t="shared" si="76"/>
        <v>0.28699999999999998</v>
      </c>
      <c r="P39" s="254">
        <f t="shared" si="76"/>
        <v>0.28699999999999998</v>
      </c>
      <c r="Q39" s="200"/>
      <c r="R39" s="33">
        <v>0.27879999999999999</v>
      </c>
      <c r="S39" s="36">
        <f>S37/S30</f>
        <v>0.2827763364752327</v>
      </c>
      <c r="T39" s="136">
        <v>0.28799999999999998</v>
      </c>
      <c r="U39" s="36">
        <f>U37/U30</f>
        <v>0.29421203106924476</v>
      </c>
      <c r="V39" s="136">
        <v>0.28699999999999998</v>
      </c>
      <c r="W39" s="36">
        <f>W37/W30</f>
        <v>0.28699999999999998</v>
      </c>
      <c r="X39" s="136">
        <v>0.29099999999999998</v>
      </c>
      <c r="Y39" s="36">
        <f>Y37/Y30</f>
        <v>0.2930118848742303</v>
      </c>
      <c r="Z39" s="136">
        <v>0.26600000000000001</v>
      </c>
      <c r="AA39" s="36">
        <f>AA37/AA30</f>
        <v>0.27021485692263225</v>
      </c>
      <c r="AB39" s="136">
        <v>0.27200000000000002</v>
      </c>
      <c r="AC39" s="36">
        <f>AC37/AC30</f>
        <v>0.27616575591985426</v>
      </c>
      <c r="AD39" s="137">
        <v>0.27900000000000003</v>
      </c>
      <c r="AE39" s="36">
        <f>AE37/AE30</f>
        <v>0.283061110641535</v>
      </c>
      <c r="AF39" s="137">
        <v>0.28899999999999998</v>
      </c>
      <c r="AG39" s="36">
        <f>AG37/AG30</f>
        <v>0.28900000000000003</v>
      </c>
      <c r="AH39" s="137">
        <v>0.28599999999999998</v>
      </c>
      <c r="AI39" s="36">
        <f>AI37/AI30</f>
        <v>0.28599999999999998</v>
      </c>
      <c r="AJ39" s="254">
        <f>AH39+AJ40</f>
        <v>0.28599999999999998</v>
      </c>
      <c r="AK39" s="151">
        <f>AK37/AK30</f>
        <v>0.28599999999999998</v>
      </c>
      <c r="AU39" s="115"/>
    </row>
    <row r="40" spans="1:47">
      <c r="B40" s="32" t="s">
        <v>268</v>
      </c>
      <c r="C40" s="368">
        <v>7.0000000000000001E-3</v>
      </c>
      <c r="D40" s="368">
        <v>6.3E-3</v>
      </c>
      <c r="E40" s="368">
        <v>-2.3999999999999998E-3</v>
      </c>
      <c r="F40" s="368">
        <v>4.7000000000000002E-3</v>
      </c>
      <c r="G40" s="368">
        <v>2.0999999999999999E-3</v>
      </c>
      <c r="H40" s="368">
        <v>7.4000000000000003E-3</v>
      </c>
      <c r="I40" s="368">
        <v>7.6E-3</v>
      </c>
      <c r="J40" s="368">
        <v>7.6E-3</v>
      </c>
      <c r="K40" s="368">
        <v>-2.5000000000000001E-3</v>
      </c>
      <c r="L40" s="255">
        <v>0</v>
      </c>
      <c r="M40" s="255">
        <v>0</v>
      </c>
      <c r="N40" s="255">
        <v>1E-3</v>
      </c>
      <c r="O40" s="255">
        <v>0</v>
      </c>
      <c r="P40" s="255">
        <v>0</v>
      </c>
      <c r="Q40" s="200"/>
      <c r="R40" s="113" t="str">
        <f>50&amp;" bp"</f>
        <v>50 bp</v>
      </c>
      <c r="S40" s="261"/>
      <c r="T40" s="368">
        <v>5.4999999999999997E-3</v>
      </c>
      <c r="U40" s="261">
        <f>U39-S39</f>
        <v>1.1435694594012058E-2</v>
      </c>
      <c r="V40" s="368">
        <v>2.0000000000000001E-4</v>
      </c>
      <c r="W40" s="261">
        <f>W39-U39</f>
        <v>-7.2120310692447842E-3</v>
      </c>
      <c r="X40" s="368">
        <v>3.8E-3</v>
      </c>
      <c r="Y40" s="261">
        <f>Y39-W39</f>
        <v>6.0118848742303221E-3</v>
      </c>
      <c r="Z40" s="368">
        <v>1.1000000000000001E-3</v>
      </c>
      <c r="AA40" s="261">
        <f>AA39-Y39</f>
        <v>-2.2797027951598048E-2</v>
      </c>
      <c r="AB40" s="368">
        <v>7.9000000000000008E-3</v>
      </c>
      <c r="AC40" s="261">
        <f>AC39-AA39</f>
        <v>5.9508989972220094E-3</v>
      </c>
      <c r="AD40" s="368">
        <v>4.7999999999999996E-3</v>
      </c>
      <c r="AE40" s="261">
        <f>AE39-AC39</f>
        <v>6.8953547216807354E-3</v>
      </c>
      <c r="AF40" s="368">
        <v>9.5999999999999992E-3</v>
      </c>
      <c r="AG40" s="261">
        <f>AG39-AE39</f>
        <v>5.9388893584650382E-3</v>
      </c>
      <c r="AH40" s="368">
        <v>-3.2000000000000002E-3</v>
      </c>
      <c r="AI40" s="261">
        <f>AI39-AG39</f>
        <v>-3.0000000000000582E-3</v>
      </c>
      <c r="AJ40" s="255">
        <v>0</v>
      </c>
      <c r="AK40" s="254">
        <f>AK39-AI39</f>
        <v>0</v>
      </c>
      <c r="AU40" s="115"/>
    </row>
    <row r="41" spans="1:47">
      <c r="B41" s="32"/>
      <c r="C41" s="199"/>
      <c r="D41" s="199"/>
      <c r="E41" s="199"/>
      <c r="F41" s="199"/>
      <c r="G41" s="199"/>
      <c r="H41" s="199"/>
      <c r="I41" s="199"/>
      <c r="J41" s="199"/>
      <c r="K41" s="199"/>
      <c r="L41" s="257">
        <f>100/L30</f>
        <v>1.8743870008611908E-3</v>
      </c>
      <c r="M41" s="200"/>
      <c r="N41" s="200"/>
      <c r="O41" s="200"/>
      <c r="P41" s="200"/>
      <c r="Q41" s="200"/>
      <c r="R41" s="199"/>
      <c r="S41" s="199"/>
      <c r="T41" s="199"/>
      <c r="U41" s="199"/>
      <c r="V41" s="199"/>
      <c r="W41" s="199"/>
      <c r="X41" s="199"/>
      <c r="Y41" s="199"/>
      <c r="Z41" s="199"/>
      <c r="AA41" s="199"/>
      <c r="AB41" s="199"/>
      <c r="AC41" s="199"/>
      <c r="AD41" s="199"/>
      <c r="AE41" s="199"/>
      <c r="AF41" s="199"/>
      <c r="AG41" s="199"/>
      <c r="AH41" s="199"/>
      <c r="AI41" s="199"/>
      <c r="AJ41" s="200"/>
      <c r="AK41" s="200"/>
      <c r="AU41" s="115"/>
    </row>
    <row r="42" spans="1:47">
      <c r="B42" s="25" t="s">
        <v>43</v>
      </c>
      <c r="C42" s="228"/>
      <c r="D42" s="228"/>
      <c r="E42" s="228"/>
      <c r="F42" s="228"/>
      <c r="G42" s="215">
        <f>G47-G37</f>
        <v>-7783.9279999999999</v>
      </c>
      <c r="H42" s="215">
        <f>H47-H37</f>
        <v>-8488.76</v>
      </c>
      <c r="I42" s="215">
        <f>I47-I37</f>
        <v>-8850.2070000000022</v>
      </c>
      <c r="J42" s="215">
        <f>J47-J37</f>
        <v>-9642.8469999999998</v>
      </c>
      <c r="K42" s="215">
        <f>K47-K37</f>
        <v>-9959.5679999999993</v>
      </c>
      <c r="L42" s="216">
        <f>K42*(1+L43)</f>
        <v>-10208.557199999999</v>
      </c>
      <c r="M42" s="216">
        <f t="shared" ref="M42" si="77">L42*(1+M43)</f>
        <v>-10412.728343999999</v>
      </c>
      <c r="N42" s="216">
        <f t="shared" ref="N42" si="78">M42*(1+N43)</f>
        <v>-10652.221095911998</v>
      </c>
      <c r="O42" s="216">
        <f t="shared" ref="O42" si="79">N42*(1+O43)</f>
        <v>-11025.048834268917</v>
      </c>
      <c r="P42" s="216">
        <f t="shared" ref="P42" si="80">O42*(1+P43)</f>
        <v>-11410.925543468327</v>
      </c>
      <c r="Q42" s="200"/>
      <c r="R42" s="215">
        <f t="shared" ref="R42:Y42" si="81">R47-R37</f>
        <v>-4169.0728799999997</v>
      </c>
      <c r="S42" s="215">
        <f t="shared" si="81"/>
        <v>-3668.9923199999998</v>
      </c>
      <c r="T42" s="215">
        <f t="shared" si="81"/>
        <v>-4355.5679999999993</v>
      </c>
      <c r="U42" s="215">
        <f t="shared" si="81"/>
        <v>-4152.8310000000001</v>
      </c>
      <c r="V42" s="215">
        <f t="shared" si="81"/>
        <v>-4406.3359999999993</v>
      </c>
      <c r="W42" s="215">
        <f t="shared" si="81"/>
        <v>-4385.9089999999997</v>
      </c>
      <c r="X42" s="215">
        <f t="shared" si="81"/>
        <v>-4240.2</v>
      </c>
      <c r="Y42" s="215">
        <f t="shared" si="81"/>
        <v>-4360.8919999999989</v>
      </c>
      <c r="Z42" s="215">
        <f t="shared" ref="Z42:AH42" si="82">Z47-Z37</f>
        <v>-4025.808</v>
      </c>
      <c r="AA42" s="215">
        <f t="shared" si="82"/>
        <v>-3758.12</v>
      </c>
      <c r="AB42" s="215">
        <f t="shared" si="82"/>
        <v>-4421.1600000000008</v>
      </c>
      <c r="AC42" s="215">
        <f t="shared" si="82"/>
        <v>-4067.5999999999995</v>
      </c>
      <c r="AD42" s="215">
        <f t="shared" si="82"/>
        <v>-4486.4150000000009</v>
      </c>
      <c r="AE42" s="215">
        <f t="shared" si="82"/>
        <v>-4363.7920000000013</v>
      </c>
      <c r="AF42" s="215">
        <f t="shared" si="82"/>
        <v>-4942.1049999999996</v>
      </c>
      <c r="AG42" s="215">
        <f t="shared" si="82"/>
        <v>-4700.7420000000002</v>
      </c>
      <c r="AH42" s="215">
        <f t="shared" si="82"/>
        <v>-5211.7639999999992</v>
      </c>
      <c r="AI42" s="215">
        <f>AI47-AI37</f>
        <v>-4747.8040000000001</v>
      </c>
      <c r="AJ42" s="216">
        <f>AH42*(1+AJ43)</f>
        <v>-5346.7486875999994</v>
      </c>
      <c r="AK42" s="216">
        <f>L42-AJ42</f>
        <v>-4861.8085123999999</v>
      </c>
      <c r="AU42" s="115"/>
    </row>
    <row r="43" spans="1:47">
      <c r="B43" s="32" t="s">
        <v>265</v>
      </c>
      <c r="C43" s="199"/>
      <c r="D43" s="244"/>
      <c r="E43" s="244"/>
      <c r="F43" s="244"/>
      <c r="G43" s="244"/>
      <c r="H43" s="244">
        <f>H42/G42-1</f>
        <v>9.0549655649435623E-2</v>
      </c>
      <c r="I43" s="244">
        <f>I42/H42-1</f>
        <v>4.2579481573280731E-2</v>
      </c>
      <c r="J43" s="244">
        <f>J42/I42-1</f>
        <v>8.9561746973827461E-2</v>
      </c>
      <c r="K43" s="279">
        <f>K42/J42-1</f>
        <v>3.2845175288999107E-2</v>
      </c>
      <c r="L43" s="160">
        <v>2.5000000000000001E-2</v>
      </c>
      <c r="M43" s="160">
        <v>0.02</v>
      </c>
      <c r="N43" s="160">
        <v>2.3E-2</v>
      </c>
      <c r="O43" s="160">
        <v>3.5000000000000003E-2</v>
      </c>
      <c r="P43" s="160">
        <v>3.5000000000000003E-2</v>
      </c>
      <c r="Q43" s="200"/>
      <c r="R43" s="244"/>
      <c r="S43" s="244"/>
      <c r="T43" s="244">
        <f t="shared" ref="T43:AA43" si="83">T42/R42-1</f>
        <v>4.4732995888524751E-2</v>
      </c>
      <c r="U43" s="244">
        <f t="shared" si="83"/>
        <v>0.13187236107378952</v>
      </c>
      <c r="V43" s="244">
        <f t="shared" si="83"/>
        <v>1.1655885064818294E-2</v>
      </c>
      <c r="W43" s="244">
        <f t="shared" si="83"/>
        <v>5.6125086717952133E-2</v>
      </c>
      <c r="X43" s="244">
        <f t="shared" si="83"/>
        <v>-3.7703888219146164E-2</v>
      </c>
      <c r="Y43" s="244">
        <f t="shared" si="83"/>
        <v>-5.7039487139384226E-3</v>
      </c>
      <c r="Z43" s="244">
        <f t="shared" si="83"/>
        <v>-5.0561765954436066E-2</v>
      </c>
      <c r="AA43" s="244">
        <f t="shared" si="83"/>
        <v>-0.13822218023285127</v>
      </c>
      <c r="AB43" s="244">
        <f t="shared" ref="AB43:AI43" si="84">AB42/Z42-1</f>
        <v>9.8204385306005948E-2</v>
      </c>
      <c r="AC43" s="244">
        <f t="shared" si="84"/>
        <v>8.2349685481038382E-2</v>
      </c>
      <c r="AD43" s="244">
        <f t="shared" si="84"/>
        <v>1.4759701073926212E-2</v>
      </c>
      <c r="AE43" s="244">
        <f t="shared" si="84"/>
        <v>7.2817386173665621E-2</v>
      </c>
      <c r="AF43" s="244">
        <f t="shared" si="84"/>
        <v>0.10157107623793138</v>
      </c>
      <c r="AG43" s="244">
        <f t="shared" si="84"/>
        <v>7.7214954333295172E-2</v>
      </c>
      <c r="AH43" s="244">
        <f t="shared" si="84"/>
        <v>5.4563591829797087E-2</v>
      </c>
      <c r="AI43" s="244">
        <f t="shared" si="84"/>
        <v>1.0011610932912252E-2</v>
      </c>
      <c r="AJ43" s="160">
        <v>2.5899999999999999E-2</v>
      </c>
      <c r="AK43" s="166">
        <f>AK42/AI42-1</f>
        <v>2.4012051129322032E-2</v>
      </c>
      <c r="AU43" s="115"/>
    </row>
    <row r="44" spans="1:47">
      <c r="B44" s="32" t="s">
        <v>269</v>
      </c>
      <c r="C44" s="199"/>
      <c r="D44" s="199"/>
      <c r="E44" s="199"/>
      <c r="F44" s="199"/>
      <c r="G44" s="244">
        <f t="shared" ref="G44:P44" si="85">G42/G30</f>
        <v>-0.17793462259406573</v>
      </c>
      <c r="H44" s="244">
        <f t="shared" si="85"/>
        <v>-0.18558723218189768</v>
      </c>
      <c r="I44" s="244">
        <f t="shared" si="85"/>
        <v>-0.18419895102711933</v>
      </c>
      <c r="J44" s="244">
        <f t="shared" si="85"/>
        <v>-0.18973391968203371</v>
      </c>
      <c r="K44" s="244">
        <f t="shared" si="85"/>
        <v>-0.19343474207582348</v>
      </c>
      <c r="L44" s="166">
        <f t="shared" si="85"/>
        <v>-0.19134786913227914</v>
      </c>
      <c r="M44" s="166">
        <f t="shared" si="85"/>
        <v>-0.18762284140385982</v>
      </c>
      <c r="N44" s="166">
        <f t="shared" si="85"/>
        <v>-0.18454216100276069</v>
      </c>
      <c r="O44" s="166">
        <f t="shared" si="85"/>
        <v>-0.18367104950387064</v>
      </c>
      <c r="P44" s="166">
        <f t="shared" si="85"/>
        <v>-0.18283297405035362</v>
      </c>
      <c r="Q44" s="200"/>
      <c r="R44" s="244">
        <f t="shared" ref="R44:AK44" si="86">R42/R30</f>
        <v>-0.22279495527078011</v>
      </c>
      <c r="S44" s="244">
        <f t="shared" si="86"/>
        <v>-0.21426774589158692</v>
      </c>
      <c r="T44" s="244">
        <f t="shared" si="86"/>
        <v>-0.22409796254373324</v>
      </c>
      <c r="U44" s="244">
        <f t="shared" si="86"/>
        <v>-0.22876830275987442</v>
      </c>
      <c r="V44" s="244">
        <f t="shared" si="86"/>
        <v>-0.22111280610196704</v>
      </c>
      <c r="W44" s="244">
        <f t="shared" si="86"/>
        <v>-0.22255589384482669</v>
      </c>
      <c r="X44" s="244">
        <f t="shared" si="86"/>
        <v>-0.20000943396226414</v>
      </c>
      <c r="Y44" s="244">
        <f t="shared" si="86"/>
        <v>-0.2081472006109493</v>
      </c>
      <c r="Z44" s="244">
        <f t="shared" si="86"/>
        <v>-0.17512650078301722</v>
      </c>
      <c r="AA44" s="244">
        <f t="shared" si="86"/>
        <v>-0.18104441661046344</v>
      </c>
      <c r="AB44" s="244">
        <f t="shared" si="86"/>
        <v>-0.18591925988225402</v>
      </c>
      <c r="AC44" s="244">
        <f t="shared" si="86"/>
        <v>-0.18522768670309653</v>
      </c>
      <c r="AD44" s="244">
        <f t="shared" si="86"/>
        <v>-0.18398257125281939</v>
      </c>
      <c r="AE44" s="244">
        <f t="shared" si="86"/>
        <v>-0.18442194235483059</v>
      </c>
      <c r="AF44" s="244">
        <f t="shared" si="86"/>
        <v>-0.1904839082674889</v>
      </c>
      <c r="AG44" s="244">
        <f t="shared" si="86"/>
        <v>-0.18895176461130317</v>
      </c>
      <c r="AH44" s="244">
        <f t="shared" si="86"/>
        <v>-0.1953874184599235</v>
      </c>
      <c r="AI44" s="244">
        <f t="shared" si="86"/>
        <v>-0.19133569759007013</v>
      </c>
      <c r="AJ44" s="166">
        <f t="shared" si="86"/>
        <v>-0.19359784172308692</v>
      </c>
      <c r="AK44" s="166">
        <f t="shared" si="86"/>
        <v>-0.18893309411013193</v>
      </c>
      <c r="AU44" s="115"/>
    </row>
    <row r="45" spans="1:47">
      <c r="B45" s="32" t="s">
        <v>268</v>
      </c>
      <c r="C45" s="199"/>
      <c r="D45" s="199"/>
      <c r="E45" s="199"/>
      <c r="F45" s="199"/>
      <c r="G45" s="244"/>
      <c r="H45" s="244">
        <f t="shared" ref="H45" si="87">H44-G44</f>
        <v>-7.6526095878319544E-3</v>
      </c>
      <c r="I45" s="244">
        <f t="shared" ref="I45" si="88">I44-H44</f>
        <v>1.388281154778348E-3</v>
      </c>
      <c r="J45" s="244">
        <f t="shared" ref="J45" si="89">J44-I44</f>
        <v>-5.534968654914374E-3</v>
      </c>
      <c r="K45" s="244">
        <f t="shared" ref="K45" si="90">K44-J44</f>
        <v>-3.7008223937897711E-3</v>
      </c>
      <c r="L45" s="166">
        <f t="shared" ref="L45" si="91">L44-K44</f>
        <v>2.0868729435443434E-3</v>
      </c>
      <c r="M45" s="166">
        <f t="shared" ref="M45" si="92">M44-L44</f>
        <v>3.7250277284193167E-3</v>
      </c>
      <c r="N45" s="166">
        <f t="shared" ref="N45" si="93">N44-M44</f>
        <v>3.0806804010991284E-3</v>
      </c>
      <c r="O45" s="166">
        <f t="shared" ref="O45" si="94">O44-N44</f>
        <v>8.7111149889004813E-4</v>
      </c>
      <c r="P45" s="166">
        <f t="shared" ref="P45" si="95">P44-O44</f>
        <v>8.3807545351702317E-4</v>
      </c>
      <c r="Q45" s="200"/>
      <c r="R45" s="199"/>
      <c r="S45" s="199"/>
      <c r="T45" s="244">
        <f t="shared" ref="T45" si="96">T44-S44</f>
        <v>-9.8302166521463119E-3</v>
      </c>
      <c r="U45" s="244">
        <f t="shared" ref="U45" si="97">U44-T44</f>
        <v>-4.6703402161411833E-3</v>
      </c>
      <c r="V45" s="244">
        <f t="shared" ref="V45" si="98">V44-U44</f>
        <v>7.6554966579073791E-3</v>
      </c>
      <c r="W45" s="244">
        <f t="shared" ref="W45" si="99">W44-V44</f>
        <v>-1.4430877428596445E-3</v>
      </c>
      <c r="X45" s="244">
        <f t="shared" ref="X45" si="100">X44-W44</f>
        <v>2.2546459882562542E-2</v>
      </c>
      <c r="Y45" s="244">
        <f t="shared" ref="Y45" si="101">Y44-X44</f>
        <v>-8.1377666486851519E-3</v>
      </c>
      <c r="Z45" s="244">
        <f t="shared" ref="Z45" si="102">Z44-Y44</f>
        <v>3.3020699827932071E-2</v>
      </c>
      <c r="AA45" s="244">
        <f t="shared" ref="AA45" si="103">AA44-Z44</f>
        <v>-5.9179158274462185E-3</v>
      </c>
      <c r="AB45" s="244">
        <f t="shared" ref="AB45" si="104">AB44-AA44</f>
        <v>-4.8748432717905799E-3</v>
      </c>
      <c r="AC45" s="244">
        <f t="shared" ref="AC45" si="105">AC44-AB44</f>
        <v>6.9157317915749528E-4</v>
      </c>
      <c r="AD45" s="244">
        <f t="shared" ref="AD45" si="106">AD44-AC44</f>
        <v>1.24511545027714E-3</v>
      </c>
      <c r="AE45" s="244">
        <f t="shared" ref="AE45" si="107">AE44-AD44</f>
        <v>-4.39371102011199E-4</v>
      </c>
      <c r="AF45" s="244">
        <f t="shared" ref="AF45" si="108">AF44-AE44</f>
        <v>-6.0619659126583125E-3</v>
      </c>
      <c r="AG45" s="244">
        <f t="shared" ref="AG45" si="109">AG44-AF44</f>
        <v>1.5321436561857305E-3</v>
      </c>
      <c r="AH45" s="244">
        <f t="shared" ref="AH45" si="110">AH44-AG44</f>
        <v>-6.4356538486203263E-3</v>
      </c>
      <c r="AI45" s="244">
        <f t="shared" ref="AI45" si="111">AI44-AH44</f>
        <v>4.0517208698533647E-3</v>
      </c>
      <c r="AJ45" s="166">
        <f t="shared" ref="AJ45" si="112">AJ44-AI44</f>
        <v>-2.2621441330167857E-3</v>
      </c>
      <c r="AK45" s="166">
        <f t="shared" ref="AK45" si="113">AK44-AJ44</f>
        <v>4.6647476129549892E-3</v>
      </c>
      <c r="AL45" s="114"/>
      <c r="AU45" s="115"/>
    </row>
    <row r="46" spans="1:47">
      <c r="B46" s="32"/>
      <c r="C46" s="199"/>
      <c r="D46" s="199"/>
      <c r="E46" s="199"/>
      <c r="F46" s="199"/>
      <c r="G46" s="199"/>
      <c r="H46" s="199"/>
      <c r="I46" s="199"/>
      <c r="J46" s="199"/>
      <c r="K46" s="199"/>
      <c r="L46" s="200"/>
      <c r="M46" s="200"/>
      <c r="N46" s="200"/>
      <c r="O46" s="200"/>
      <c r="P46" s="200"/>
      <c r="Q46" s="200"/>
      <c r="R46" s="199"/>
      <c r="S46" s="199"/>
      <c r="T46" s="199"/>
      <c r="U46" s="199"/>
      <c r="V46" s="199"/>
      <c r="W46" s="199"/>
      <c r="X46" s="199"/>
      <c r="Y46" s="199"/>
      <c r="Z46" s="199"/>
      <c r="AA46" s="199"/>
      <c r="AB46" s="199"/>
      <c r="AC46" s="199"/>
      <c r="AD46" s="199"/>
      <c r="AE46" s="199"/>
      <c r="AF46" s="199"/>
      <c r="AG46" s="199"/>
      <c r="AH46" s="199"/>
      <c r="AI46" s="199"/>
      <c r="AJ46" s="200"/>
      <c r="AK46" s="200"/>
    </row>
    <row r="47" spans="1:47" s="7" customFormat="1">
      <c r="A47" s="6"/>
      <c r="B47" s="25" t="s">
        <v>44</v>
      </c>
      <c r="C47" s="38">
        <v>2221.1</v>
      </c>
      <c r="D47" s="38">
        <v>2430</v>
      </c>
      <c r="E47" s="38">
        <v>2583</v>
      </c>
      <c r="F47" s="38">
        <v>3707</v>
      </c>
      <c r="G47" s="38">
        <v>3940</v>
      </c>
      <c r="H47" s="28">
        <v>4044</v>
      </c>
      <c r="I47" s="28">
        <v>4651</v>
      </c>
      <c r="J47" s="28">
        <v>5045</v>
      </c>
      <c r="K47" s="28">
        <v>4766</v>
      </c>
      <c r="L47" s="216">
        <f>L37+L42</f>
        <v>5049.7645803258729</v>
      </c>
      <c r="M47" s="216">
        <f t="shared" ref="M47:P47" si="114">M37+M42</f>
        <v>5459.7543670668347</v>
      </c>
      <c r="N47" s="216">
        <f t="shared" si="114"/>
        <v>5914.1149538810278</v>
      </c>
      <c r="O47" s="216">
        <f t="shared" si="114"/>
        <v>6202.4294426954511</v>
      </c>
      <c r="P47" s="216">
        <f t="shared" si="114"/>
        <v>6501.2461968079497</v>
      </c>
      <c r="Q47" s="229"/>
      <c r="R47" s="40">
        <v>1048</v>
      </c>
      <c r="S47" s="215">
        <f>C47-R47</f>
        <v>1173.0999999999999</v>
      </c>
      <c r="T47" s="38">
        <v>1242</v>
      </c>
      <c r="U47" s="215">
        <f>D47-T47</f>
        <v>1188</v>
      </c>
      <c r="V47" s="38">
        <v>1313</v>
      </c>
      <c r="W47" s="215">
        <v>1270</v>
      </c>
      <c r="X47" s="38">
        <v>1929</v>
      </c>
      <c r="Y47" s="215">
        <f>F47-X47</f>
        <v>1778</v>
      </c>
      <c r="Z47" s="38">
        <v>2089</v>
      </c>
      <c r="AA47" s="27">
        <f>G47-Z47</f>
        <v>1851</v>
      </c>
      <c r="AB47" s="28">
        <v>2047</v>
      </c>
      <c r="AC47" s="27">
        <f>H47-AB47</f>
        <v>1997</v>
      </c>
      <c r="AD47" s="28">
        <v>2317</v>
      </c>
      <c r="AE47" s="27">
        <f>I47-AD47</f>
        <v>2334</v>
      </c>
      <c r="AF47" s="28">
        <v>2556</v>
      </c>
      <c r="AG47" s="27">
        <f>J47-AF47</f>
        <v>2489</v>
      </c>
      <c r="AH47" s="28">
        <v>2417</v>
      </c>
      <c r="AI47" s="27">
        <f>K47-AH47</f>
        <v>2349</v>
      </c>
      <c r="AJ47" s="216">
        <f>AJ37+AJ42</f>
        <v>2551.9453837980245</v>
      </c>
      <c r="AK47" s="216">
        <f>L47-AJ47</f>
        <v>2497.8191965278484</v>
      </c>
    </row>
    <row r="48" spans="1:47">
      <c r="B48" s="32" t="s">
        <v>270</v>
      </c>
      <c r="C48" s="199"/>
      <c r="D48" s="244">
        <f t="shared" ref="D48:K48" si="115">D47/C47-1</f>
        <v>9.4052496510737882E-2</v>
      </c>
      <c r="E48" s="244">
        <f t="shared" si="115"/>
        <v>6.2962962962962887E-2</v>
      </c>
      <c r="F48" s="244">
        <f t="shared" si="115"/>
        <v>0.43515292295780106</v>
      </c>
      <c r="G48" s="244">
        <f t="shared" si="115"/>
        <v>6.2854059886700897E-2</v>
      </c>
      <c r="H48" s="244">
        <f t="shared" si="115"/>
        <v>2.6395939086294451E-2</v>
      </c>
      <c r="I48" s="244">
        <f t="shared" si="115"/>
        <v>0.15009891196834824</v>
      </c>
      <c r="J48" s="244">
        <f t="shared" si="115"/>
        <v>8.4712964953773451E-2</v>
      </c>
      <c r="K48" s="279">
        <f t="shared" si="115"/>
        <v>-5.5302279484638284E-2</v>
      </c>
      <c r="L48" s="274">
        <f t="shared" ref="L48:P48" si="116">L47/K47-1</f>
        <v>5.9539358020535671E-2</v>
      </c>
      <c r="M48" s="274">
        <f t="shared" si="116"/>
        <v>8.1189881274525533E-2</v>
      </c>
      <c r="N48" s="274">
        <f t="shared" si="116"/>
        <v>8.32199685676136E-2</v>
      </c>
      <c r="O48" s="274">
        <f t="shared" si="116"/>
        <v>4.87502341538395E-2</v>
      </c>
      <c r="P48" s="274">
        <f t="shared" si="116"/>
        <v>4.8177372572035138E-2</v>
      </c>
      <c r="Q48" s="200"/>
      <c r="R48" s="199"/>
      <c r="S48" s="199"/>
      <c r="T48" s="244">
        <f t="shared" ref="T48:AI48" si="117">T47/R47-1</f>
        <v>0.18511450381679384</v>
      </c>
      <c r="U48" s="244">
        <f t="shared" si="117"/>
        <v>1.2701389480862746E-2</v>
      </c>
      <c r="V48" s="244">
        <f t="shared" si="117"/>
        <v>5.7165861513687632E-2</v>
      </c>
      <c r="W48" s="244">
        <f t="shared" si="117"/>
        <v>6.9023569023568987E-2</v>
      </c>
      <c r="X48" s="244">
        <f t="shared" si="117"/>
        <v>0.46915460776846918</v>
      </c>
      <c r="Y48" s="244">
        <f t="shared" si="117"/>
        <v>0.39999999999999991</v>
      </c>
      <c r="Z48" s="244">
        <f t="shared" si="117"/>
        <v>8.2944530844997422E-2</v>
      </c>
      <c r="AA48" s="244">
        <f t="shared" si="117"/>
        <v>4.1057367829021363E-2</v>
      </c>
      <c r="AB48" s="244">
        <f t="shared" si="117"/>
        <v>-2.0105313547151726E-2</v>
      </c>
      <c r="AC48" s="244">
        <f t="shared" si="117"/>
        <v>7.8876283090221433E-2</v>
      </c>
      <c r="AD48" s="244">
        <f t="shared" si="117"/>
        <v>0.13190034196384959</v>
      </c>
      <c r="AE48" s="244">
        <f t="shared" si="117"/>
        <v>0.1687531296945417</v>
      </c>
      <c r="AF48" s="244">
        <f t="shared" si="117"/>
        <v>0.10315062580923606</v>
      </c>
      <c r="AG48" s="244">
        <f t="shared" si="117"/>
        <v>6.6409597257926389E-2</v>
      </c>
      <c r="AH48" s="244">
        <f t="shared" si="117"/>
        <v>-5.4381846635367714E-2</v>
      </c>
      <c r="AI48" s="244">
        <f t="shared" si="117"/>
        <v>-5.6247488951386093E-2</v>
      </c>
      <c r="AJ48" s="166">
        <f t="shared" ref="AJ48:AK48" si="118">AJ47/AH47-1</f>
        <v>5.5831768224255063E-2</v>
      </c>
      <c r="AK48" s="166">
        <f t="shared" si="118"/>
        <v>6.3354276938206944E-2</v>
      </c>
    </row>
    <row r="49" spans="1:38">
      <c r="B49" s="32" t="s">
        <v>271</v>
      </c>
      <c r="C49" s="256">
        <f t="shared" ref="C49:P49" si="119">C47/C30</f>
        <v>6.1979573613126462E-2</v>
      </c>
      <c r="D49" s="256">
        <f t="shared" si="119"/>
        <v>6.4646572135465166E-2</v>
      </c>
      <c r="E49" s="256">
        <f t="shared" si="119"/>
        <v>6.5169673268575756E-2</v>
      </c>
      <c r="F49" s="256">
        <f t="shared" si="119"/>
        <v>8.7945718962776684E-2</v>
      </c>
      <c r="G49" s="256">
        <f t="shared" si="119"/>
        <v>9.006537740593426E-2</v>
      </c>
      <c r="H49" s="256">
        <f t="shared" si="119"/>
        <v>8.8412767818102311E-2</v>
      </c>
      <c r="I49" s="256">
        <f t="shared" si="119"/>
        <v>9.6801048972880721E-2</v>
      </c>
      <c r="J49" s="256">
        <f t="shared" si="119"/>
        <v>9.9266080317966271E-2</v>
      </c>
      <c r="K49" s="256">
        <f t="shared" si="119"/>
        <v>9.2565257924176511E-2</v>
      </c>
      <c r="L49" s="257">
        <f t="shared" si="119"/>
        <v>9.4652130867720827E-2</v>
      </c>
      <c r="M49" s="257">
        <f t="shared" si="119"/>
        <v>9.8377158596140157E-2</v>
      </c>
      <c r="N49" s="257">
        <f t="shared" si="119"/>
        <v>0.10245783899723929</v>
      </c>
      <c r="O49" s="257">
        <f t="shared" si="119"/>
        <v>0.10332895049612931</v>
      </c>
      <c r="P49" s="257">
        <f t="shared" si="119"/>
        <v>0.10416702594964639</v>
      </c>
      <c r="Q49" s="200"/>
      <c r="R49" s="256">
        <f t="shared" ref="R49:AK49" si="120">R47/R30</f>
        <v>5.600504472921989E-2</v>
      </c>
      <c r="S49" s="256">
        <f t="shared" si="120"/>
        <v>6.8508590583645765E-2</v>
      </c>
      <c r="T49" s="256">
        <f t="shared" si="120"/>
        <v>6.3902037456266728E-2</v>
      </c>
      <c r="U49" s="256">
        <f t="shared" si="120"/>
        <v>6.5443728309370355E-2</v>
      </c>
      <c r="V49" s="256">
        <f t="shared" si="120"/>
        <v>6.5887193898032922E-2</v>
      </c>
      <c r="W49" s="256">
        <f t="shared" si="120"/>
        <v>6.4444106155173292E-2</v>
      </c>
      <c r="X49" s="256">
        <f t="shared" si="120"/>
        <v>9.0990566037735851E-2</v>
      </c>
      <c r="Y49" s="256">
        <f t="shared" si="120"/>
        <v>8.486468426328099E-2</v>
      </c>
      <c r="Z49" s="256">
        <f t="shared" si="120"/>
        <v>9.0873499216982775E-2</v>
      </c>
      <c r="AA49" s="256">
        <f t="shared" si="120"/>
        <v>8.9170440312168808E-2</v>
      </c>
      <c r="AB49" s="256">
        <f t="shared" si="120"/>
        <v>8.608074011774601E-2</v>
      </c>
      <c r="AC49" s="256">
        <f t="shared" si="120"/>
        <v>9.0938069216757747E-2</v>
      </c>
      <c r="AD49" s="256">
        <f t="shared" si="120"/>
        <v>9.5017428747180638E-2</v>
      </c>
      <c r="AE49" s="256">
        <f t="shared" si="120"/>
        <v>9.8639168286704423E-2</v>
      </c>
      <c r="AF49" s="256">
        <f t="shared" si="120"/>
        <v>9.851609173251108E-2</v>
      </c>
      <c r="AG49" s="256">
        <f t="shared" si="120"/>
        <v>0.10004823538869684</v>
      </c>
      <c r="AH49" s="256">
        <f t="shared" si="120"/>
        <v>9.0612581540076481E-2</v>
      </c>
      <c r="AI49" s="256">
        <f t="shared" si="120"/>
        <v>9.4664302409929874E-2</v>
      </c>
      <c r="AJ49" s="257">
        <f t="shared" si="120"/>
        <v>9.2402158276913046E-2</v>
      </c>
      <c r="AK49" s="257">
        <f t="shared" si="120"/>
        <v>9.7066905889868035E-2</v>
      </c>
    </row>
    <row r="50" spans="1:38">
      <c r="B50" s="32" t="s">
        <v>268</v>
      </c>
      <c r="C50" s="199"/>
      <c r="D50" s="244">
        <f t="shared" ref="D50:K50" si="121">D49-C49</f>
        <v>2.6669985223387038E-3</v>
      </c>
      <c r="E50" s="244">
        <f t="shared" si="121"/>
        <v>5.2310113311059003E-4</v>
      </c>
      <c r="F50" s="244">
        <f t="shared" si="121"/>
        <v>2.2776045694200928E-2</v>
      </c>
      <c r="G50" s="244">
        <f t="shared" si="121"/>
        <v>2.1196584431575766E-3</v>
      </c>
      <c r="H50" s="244">
        <f t="shared" si="121"/>
        <v>-1.6526095878319491E-3</v>
      </c>
      <c r="I50" s="244">
        <f t="shared" si="121"/>
        <v>8.3882811547784097E-3</v>
      </c>
      <c r="J50" s="244">
        <f t="shared" si="121"/>
        <v>2.4650313450855499E-3</v>
      </c>
      <c r="K50" s="244">
        <f t="shared" si="121"/>
        <v>-6.7008223937897599E-3</v>
      </c>
      <c r="L50" s="166">
        <f t="shared" ref="L50:P50" si="122">L49-K49</f>
        <v>2.0868729435443156E-3</v>
      </c>
      <c r="M50" s="166">
        <f t="shared" si="122"/>
        <v>3.7250277284193306E-3</v>
      </c>
      <c r="N50" s="166">
        <f t="shared" si="122"/>
        <v>4.0806804010991293E-3</v>
      </c>
      <c r="O50" s="166">
        <f t="shared" si="122"/>
        <v>8.7111149889002037E-4</v>
      </c>
      <c r="P50" s="166">
        <f t="shared" si="122"/>
        <v>8.3807545351707868E-4</v>
      </c>
      <c r="Q50" s="200"/>
      <c r="R50" s="199"/>
      <c r="S50" s="199"/>
      <c r="T50" s="244">
        <f t="shared" ref="T50:AI50" si="123">T49-R49</f>
        <v>7.8969927270468379E-3</v>
      </c>
      <c r="U50" s="244">
        <f t="shared" si="123"/>
        <v>-3.0648622742754095E-3</v>
      </c>
      <c r="V50" s="244">
        <f t="shared" si="123"/>
        <v>1.9851564417661949E-3</v>
      </c>
      <c r="W50" s="244">
        <f t="shared" si="123"/>
        <v>-9.9962215419706346E-4</v>
      </c>
      <c r="X50" s="244">
        <f t="shared" si="123"/>
        <v>2.5103372139702929E-2</v>
      </c>
      <c r="Y50" s="244">
        <f t="shared" si="123"/>
        <v>2.0420578108107698E-2</v>
      </c>
      <c r="Z50" s="244">
        <f t="shared" si="123"/>
        <v>-1.1706682075307562E-4</v>
      </c>
      <c r="AA50" s="244">
        <f t="shared" si="123"/>
        <v>4.3057560488878183E-3</v>
      </c>
      <c r="AB50" s="244">
        <f t="shared" si="123"/>
        <v>-4.7927590992367652E-3</v>
      </c>
      <c r="AC50" s="244">
        <f t="shared" si="123"/>
        <v>1.7676289045889387E-3</v>
      </c>
      <c r="AD50" s="244">
        <f t="shared" si="123"/>
        <v>8.9366886294346276E-3</v>
      </c>
      <c r="AE50" s="244">
        <f t="shared" si="123"/>
        <v>7.7010990699466764E-3</v>
      </c>
      <c r="AF50" s="244">
        <f t="shared" si="123"/>
        <v>3.4986629853304418E-3</v>
      </c>
      <c r="AG50" s="244">
        <f t="shared" si="123"/>
        <v>1.4090671019924145E-3</v>
      </c>
      <c r="AH50" s="244">
        <f t="shared" si="123"/>
        <v>-7.9035101924345985E-3</v>
      </c>
      <c r="AI50" s="244">
        <f t="shared" si="123"/>
        <v>-5.3839329787669643E-3</v>
      </c>
      <c r="AJ50" s="166">
        <f t="shared" ref="AJ50:AK50" si="124">AJ49-AH49</f>
        <v>1.789576736836565E-3</v>
      </c>
      <c r="AK50" s="166">
        <f t="shared" si="124"/>
        <v>2.4026034799381618E-3</v>
      </c>
      <c r="AL50" s="114"/>
    </row>
    <row r="51" spans="1:38">
      <c r="B51" s="32"/>
      <c r="C51" s="199"/>
      <c r="D51" s="199"/>
      <c r="E51" s="199"/>
      <c r="F51" s="199"/>
      <c r="G51" s="208"/>
      <c r="H51" s="208"/>
      <c r="I51" s="208"/>
      <c r="J51" s="208"/>
      <c r="K51" s="208"/>
      <c r="L51" s="200"/>
      <c r="M51" s="200"/>
      <c r="N51" s="200"/>
      <c r="O51" s="200"/>
      <c r="P51" s="200"/>
      <c r="Q51" s="200"/>
      <c r="R51" s="199"/>
      <c r="S51" s="199"/>
      <c r="T51" s="199"/>
      <c r="U51" s="199"/>
      <c r="V51" s="199"/>
      <c r="W51" s="199"/>
      <c r="X51" s="199"/>
      <c r="Y51" s="199"/>
      <c r="Z51" s="208"/>
      <c r="AA51" s="208"/>
      <c r="AB51" s="208"/>
      <c r="AC51" s="208"/>
      <c r="AD51" s="208"/>
      <c r="AE51" s="208"/>
      <c r="AF51" s="208"/>
      <c r="AG51" s="208"/>
      <c r="AH51" s="208"/>
      <c r="AI51" s="208"/>
      <c r="AJ51" s="200"/>
      <c r="AK51" s="200"/>
    </row>
    <row r="52" spans="1:38">
      <c r="B52" s="25" t="s">
        <v>45</v>
      </c>
      <c r="C52" s="27">
        <f t="shared" ref="C52:H52" si="125">C57-C47</f>
        <v>-618</v>
      </c>
      <c r="D52" s="27">
        <f t="shared" si="125"/>
        <v>-673</v>
      </c>
      <c r="E52" s="27">
        <f t="shared" si="125"/>
        <v>-756</v>
      </c>
      <c r="F52" s="27">
        <f t="shared" si="125"/>
        <v>-1475</v>
      </c>
      <c r="G52" s="27">
        <f t="shared" si="125"/>
        <v>-1543</v>
      </c>
      <c r="H52" s="27">
        <f t="shared" si="125"/>
        <v>-1638</v>
      </c>
      <c r="I52" s="28">
        <v>-1786</v>
      </c>
      <c r="J52" s="28">
        <v>-1896</v>
      </c>
      <c r="K52" s="28">
        <v>-2013</v>
      </c>
      <c r="L52" s="216">
        <f>K52*(1+L53)</f>
        <v>-2113.65</v>
      </c>
      <c r="M52" s="216">
        <f t="shared" ref="M52:P52" si="126">L52*(1+M53)</f>
        <v>-2219.3325</v>
      </c>
      <c r="N52" s="216">
        <f t="shared" si="126"/>
        <v>-2330.299125</v>
      </c>
      <c r="O52" s="216">
        <f t="shared" si="126"/>
        <v>-2446.8140812500001</v>
      </c>
      <c r="P52" s="216">
        <f t="shared" si="126"/>
        <v>-2569.1547853125003</v>
      </c>
      <c r="Q52" s="200"/>
      <c r="R52" s="27">
        <f t="shared" ref="R52:Y52" si="127">R57-R47</f>
        <v>-236.39999999999998</v>
      </c>
      <c r="S52" s="27">
        <f t="shared" si="127"/>
        <v>-381.6</v>
      </c>
      <c r="T52" s="27">
        <f t="shared" si="127"/>
        <v>-341</v>
      </c>
      <c r="U52" s="27">
        <f t="shared" si="127"/>
        <v>-332</v>
      </c>
      <c r="V52" s="27">
        <f t="shared" si="127"/>
        <v>-380</v>
      </c>
      <c r="W52" s="27">
        <f t="shared" si="127"/>
        <v>-376</v>
      </c>
      <c r="X52" s="27">
        <f t="shared" si="127"/>
        <v>-752</v>
      </c>
      <c r="Y52" s="27">
        <f t="shared" si="127"/>
        <v>-723</v>
      </c>
      <c r="Z52" s="27">
        <f>Z57-Z47</f>
        <v>-772</v>
      </c>
      <c r="AA52" s="27">
        <f>G52-Z52</f>
        <v>-771</v>
      </c>
      <c r="AB52" s="27">
        <f>AB57-AB47</f>
        <v>-830</v>
      </c>
      <c r="AC52" s="27">
        <f>H52-AB52</f>
        <v>-808</v>
      </c>
      <c r="AD52" s="27">
        <f>AD57-AD47</f>
        <v>-878</v>
      </c>
      <c r="AE52" s="27">
        <f>I52-AD52</f>
        <v>-908</v>
      </c>
      <c r="AF52" s="28">
        <v>-961</v>
      </c>
      <c r="AG52" s="27">
        <f>J52-AF52</f>
        <v>-935</v>
      </c>
      <c r="AH52" s="28">
        <v>-1026</v>
      </c>
      <c r="AI52" s="27">
        <f>K52-AH52</f>
        <v>-987</v>
      </c>
      <c r="AJ52" s="216">
        <f>AH52*(1+AJ53)</f>
        <v>-1077.3</v>
      </c>
      <c r="AK52" s="216">
        <f>L52-AJ52</f>
        <v>-1036.3500000000001</v>
      </c>
    </row>
    <row r="53" spans="1:38">
      <c r="B53" s="32" t="s">
        <v>265</v>
      </c>
      <c r="C53" s="199"/>
      <c r="D53" s="244">
        <f t="shared" ref="D53:K53" si="128">D52/C52-1</f>
        <v>8.8996763754045416E-2</v>
      </c>
      <c r="E53" s="244">
        <f t="shared" si="128"/>
        <v>0.12332838038632987</v>
      </c>
      <c r="F53" s="244">
        <f t="shared" si="128"/>
        <v>0.95105820105820116</v>
      </c>
      <c r="G53" s="244">
        <f t="shared" si="128"/>
        <v>4.6101694915254177E-2</v>
      </c>
      <c r="H53" s="244">
        <f t="shared" si="128"/>
        <v>6.1568373298768631E-2</v>
      </c>
      <c r="I53" s="244">
        <f t="shared" si="128"/>
        <v>9.0354090354090255E-2</v>
      </c>
      <c r="J53" s="244">
        <f t="shared" si="128"/>
        <v>6.1590145576707833E-2</v>
      </c>
      <c r="K53" s="279">
        <f t="shared" si="128"/>
        <v>6.1708860759493778E-2</v>
      </c>
      <c r="L53" s="160">
        <v>0.05</v>
      </c>
      <c r="M53" s="160">
        <v>0.05</v>
      </c>
      <c r="N53" s="160">
        <v>0.05</v>
      </c>
      <c r="O53" s="160">
        <v>0.05</v>
      </c>
      <c r="P53" s="160">
        <v>0.05</v>
      </c>
      <c r="Q53" s="200"/>
      <c r="R53" s="199"/>
      <c r="S53" s="199"/>
      <c r="T53" s="244">
        <f t="shared" ref="T53:AI53" si="129">T52/R52-1</f>
        <v>0.44247038917089698</v>
      </c>
      <c r="U53" s="244">
        <f t="shared" si="129"/>
        <v>-0.12997903563941304</v>
      </c>
      <c r="V53" s="244">
        <f t="shared" si="129"/>
        <v>0.11436950146627556</v>
      </c>
      <c r="W53" s="244">
        <f t="shared" si="129"/>
        <v>0.1325301204819278</v>
      </c>
      <c r="X53" s="244">
        <f t="shared" si="129"/>
        <v>0.97894736842105257</v>
      </c>
      <c r="Y53" s="244">
        <f t="shared" si="129"/>
        <v>0.9228723404255319</v>
      </c>
      <c r="Z53" s="244">
        <f t="shared" si="129"/>
        <v>2.659574468085113E-2</v>
      </c>
      <c r="AA53" s="244">
        <f t="shared" si="129"/>
        <v>6.639004149377592E-2</v>
      </c>
      <c r="AB53" s="244">
        <f t="shared" si="129"/>
        <v>7.5129533678756522E-2</v>
      </c>
      <c r="AC53" s="244">
        <f t="shared" si="129"/>
        <v>4.7989623865110298E-2</v>
      </c>
      <c r="AD53" s="244">
        <f t="shared" si="129"/>
        <v>5.7831325301204828E-2</v>
      </c>
      <c r="AE53" s="244">
        <f t="shared" si="129"/>
        <v>0.12376237623762387</v>
      </c>
      <c r="AF53" s="244">
        <f t="shared" si="129"/>
        <v>9.4533029612756225E-2</v>
      </c>
      <c r="AG53" s="244">
        <f t="shared" si="129"/>
        <v>2.9735682819383324E-2</v>
      </c>
      <c r="AH53" s="244">
        <f t="shared" si="129"/>
        <v>6.7637877211238262E-2</v>
      </c>
      <c r="AI53" s="244">
        <f t="shared" si="129"/>
        <v>5.561497326203213E-2</v>
      </c>
      <c r="AJ53" s="160">
        <v>0.05</v>
      </c>
      <c r="AK53" s="166">
        <f>AK52/AI52-1</f>
        <v>5.0000000000000044E-2</v>
      </c>
    </row>
    <row r="54" spans="1:38">
      <c r="B54" s="32" t="s">
        <v>269</v>
      </c>
      <c r="C54" s="244">
        <f t="shared" ref="C54:P54" si="130">C52/C30</f>
        <v>-1.7245228262082822E-2</v>
      </c>
      <c r="D54" s="244">
        <f t="shared" si="130"/>
        <v>-1.7904174093484795E-2</v>
      </c>
      <c r="E54" s="244">
        <f t="shared" si="130"/>
        <v>-1.9074050712753879E-2</v>
      </c>
      <c r="F54" s="244">
        <f t="shared" si="130"/>
        <v>-3.4993238594576641E-2</v>
      </c>
      <c r="G54" s="244">
        <f t="shared" si="130"/>
        <v>-3.5271796278516891E-2</v>
      </c>
      <c r="H54" s="244">
        <f t="shared" si="130"/>
        <v>-3.5811106252732837E-2</v>
      </c>
      <c r="I54" s="244">
        <f t="shared" si="130"/>
        <v>-3.7171935812849916E-2</v>
      </c>
      <c r="J54" s="244">
        <f t="shared" si="130"/>
        <v>-3.7305944159140549E-2</v>
      </c>
      <c r="K54" s="244">
        <f t="shared" si="130"/>
        <v>-3.9096488502175265E-2</v>
      </c>
      <c r="L54" s="166">
        <f t="shared" si="130"/>
        <v>-3.9617980843702563E-2</v>
      </c>
      <c r="M54" s="166">
        <f t="shared" si="130"/>
        <v>-3.9989276192907444E-2</v>
      </c>
      <c r="N54" s="166">
        <f t="shared" si="130"/>
        <v>-4.0370776426653238E-2</v>
      </c>
      <c r="O54" s="166">
        <f t="shared" si="130"/>
        <v>-4.0762532393248792E-2</v>
      </c>
      <c r="P54" s="166">
        <f t="shared" si="130"/>
        <v>-4.1164602153000281E-2</v>
      </c>
      <c r="Q54" s="200"/>
      <c r="R54" s="244">
        <f t="shared" ref="R54:AK54" si="131">R52/R30</f>
        <v>-1.2633199020980515E-2</v>
      </c>
      <c r="S54" s="244">
        <f t="shared" si="131"/>
        <v>-2.2285293808472616E-2</v>
      </c>
      <c r="T54" s="244">
        <f t="shared" si="131"/>
        <v>-1.7544762296768882E-2</v>
      </c>
      <c r="U54" s="244">
        <f t="shared" si="131"/>
        <v>-1.8288988046052994E-2</v>
      </c>
      <c r="V54" s="244">
        <f t="shared" si="131"/>
        <v>-1.9068647129666799E-2</v>
      </c>
      <c r="W54" s="244">
        <f t="shared" si="131"/>
        <v>-1.9079514893185164E-2</v>
      </c>
      <c r="X54" s="244">
        <f t="shared" si="131"/>
        <v>-3.547169811320755E-2</v>
      </c>
      <c r="Y54" s="244">
        <f t="shared" si="131"/>
        <v>-3.4509092644742494E-2</v>
      </c>
      <c r="Z54" s="244">
        <f t="shared" si="131"/>
        <v>-3.3582738820254046E-2</v>
      </c>
      <c r="AA54" s="244">
        <f t="shared" si="131"/>
        <v>-3.7142306580595433E-2</v>
      </c>
      <c r="AB54" s="244">
        <f t="shared" si="131"/>
        <v>-3.4903280067283431E-2</v>
      </c>
      <c r="AC54" s="244">
        <f t="shared" si="131"/>
        <v>-3.6794171220400726E-2</v>
      </c>
      <c r="AD54" s="244">
        <f t="shared" si="131"/>
        <v>-3.6005741234365389E-2</v>
      </c>
      <c r="AE54" s="244">
        <f t="shared" si="131"/>
        <v>-3.837376384075733E-2</v>
      </c>
      <c r="AF54" s="244">
        <f t="shared" si="131"/>
        <v>-3.7039892079398729E-2</v>
      </c>
      <c r="AG54" s="244">
        <f t="shared" si="131"/>
        <v>-3.758340702628829E-2</v>
      </c>
      <c r="AH54" s="244">
        <f t="shared" si="131"/>
        <v>-3.8464422283871938E-2</v>
      </c>
      <c r="AI54" s="244">
        <f t="shared" si="131"/>
        <v>-3.977593294108165E-2</v>
      </c>
      <c r="AJ54" s="166">
        <f t="shared" si="131"/>
        <v>-3.9007435560226303E-2</v>
      </c>
      <c r="AK54" s="166">
        <f t="shared" si="131"/>
        <v>-4.0273246381803601E-2</v>
      </c>
    </row>
    <row r="55" spans="1:38">
      <c r="B55" s="32" t="s">
        <v>268</v>
      </c>
      <c r="C55" s="199"/>
      <c r="D55" s="244">
        <f t="shared" ref="D55:K55" si="132">D54-C54</f>
        <v>-6.5894583140197263E-4</v>
      </c>
      <c r="E55" s="244">
        <f t="shared" si="132"/>
        <v>-1.1698766192690842E-3</v>
      </c>
      <c r="F55" s="244">
        <f t="shared" si="132"/>
        <v>-1.5919187881822762E-2</v>
      </c>
      <c r="G55" s="244">
        <f t="shared" si="132"/>
        <v>-2.7855768394025038E-4</v>
      </c>
      <c r="H55" s="244">
        <f t="shared" si="132"/>
        <v>-5.3930997421594573E-4</v>
      </c>
      <c r="I55" s="244">
        <f t="shared" si="132"/>
        <v>-1.3608295601170786E-3</v>
      </c>
      <c r="J55" s="244">
        <f t="shared" si="132"/>
        <v>-1.3400834629063302E-4</v>
      </c>
      <c r="K55" s="244">
        <f t="shared" si="132"/>
        <v>-1.7905443430347168E-3</v>
      </c>
      <c r="L55" s="166">
        <f t="shared" ref="L55:P55" si="133">L54-K54</f>
        <v>-5.214923415272979E-4</v>
      </c>
      <c r="M55" s="166">
        <f t="shared" si="133"/>
        <v>-3.7129534920488094E-4</v>
      </c>
      <c r="N55" s="166">
        <f t="shared" si="133"/>
        <v>-3.8150023374579345E-4</v>
      </c>
      <c r="O55" s="166">
        <f t="shared" si="133"/>
        <v>-3.9175596659555417E-4</v>
      </c>
      <c r="P55" s="166">
        <f t="shared" si="133"/>
        <v>-4.0206975975148884E-4</v>
      </c>
      <c r="Q55" s="200"/>
      <c r="R55" s="199"/>
      <c r="S55" s="199"/>
      <c r="T55" s="244">
        <f t="shared" ref="T55:AI55" si="134">T54-R54</f>
        <v>-4.9115632757883668E-3</v>
      </c>
      <c r="U55" s="244">
        <f t="shared" si="134"/>
        <v>3.9963057624196226E-3</v>
      </c>
      <c r="V55" s="244">
        <f t="shared" si="134"/>
        <v>-1.523884832897917E-3</v>
      </c>
      <c r="W55" s="244">
        <f t="shared" si="134"/>
        <v>-7.905268471321697E-4</v>
      </c>
      <c r="X55" s="244">
        <f t="shared" si="134"/>
        <v>-1.6403050983540751E-2</v>
      </c>
      <c r="Y55" s="244">
        <f t="shared" si="134"/>
        <v>-1.542957775155733E-2</v>
      </c>
      <c r="Z55" s="244">
        <f t="shared" si="134"/>
        <v>1.8889592929535043E-3</v>
      </c>
      <c r="AA55" s="244">
        <f t="shared" si="134"/>
        <v>-2.6332139358529391E-3</v>
      </c>
      <c r="AB55" s="244">
        <f t="shared" si="134"/>
        <v>-1.3205412470293845E-3</v>
      </c>
      <c r="AC55" s="244">
        <f t="shared" si="134"/>
        <v>3.4813536019470681E-4</v>
      </c>
      <c r="AD55" s="244">
        <f t="shared" si="134"/>
        <v>-1.1024611670819584E-3</v>
      </c>
      <c r="AE55" s="244">
        <f t="shared" si="134"/>
        <v>-1.5795926203566041E-3</v>
      </c>
      <c r="AF55" s="244">
        <f t="shared" si="134"/>
        <v>-1.0341508450333395E-3</v>
      </c>
      <c r="AG55" s="244">
        <f t="shared" si="134"/>
        <v>7.9035681446903983E-4</v>
      </c>
      <c r="AH55" s="244">
        <f t="shared" si="134"/>
        <v>-1.4245302044732094E-3</v>
      </c>
      <c r="AI55" s="244">
        <f t="shared" si="134"/>
        <v>-2.1925259147933598E-3</v>
      </c>
      <c r="AJ55" s="166">
        <f t="shared" ref="AJ55" si="135">AJ54-AH54</f>
        <v>-5.4301327635436492E-4</v>
      </c>
      <c r="AK55" s="166">
        <f t="shared" ref="AK55" si="136">AK54-AI54</f>
        <v>-4.9731344072195122E-4</v>
      </c>
      <c r="AL55" s="114"/>
    </row>
    <row r="56" spans="1:38">
      <c r="B56" s="32"/>
      <c r="C56" s="199"/>
      <c r="D56" s="199"/>
      <c r="E56" s="199"/>
      <c r="F56" s="199"/>
      <c r="G56" s="199"/>
      <c r="H56" s="199"/>
      <c r="I56" s="199"/>
      <c r="J56" s="199"/>
      <c r="K56" s="199"/>
      <c r="L56" s="200"/>
      <c r="M56" s="200"/>
      <c r="N56" s="200"/>
      <c r="O56" s="200"/>
      <c r="P56" s="200"/>
      <c r="Q56" s="200"/>
      <c r="R56" s="199"/>
      <c r="S56" s="199"/>
      <c r="T56" s="199"/>
      <c r="U56" s="199"/>
      <c r="V56" s="199"/>
      <c r="W56" s="199"/>
      <c r="X56" s="199"/>
      <c r="Y56" s="199"/>
      <c r="Z56" s="199"/>
      <c r="AA56" s="199"/>
      <c r="AB56" s="199"/>
      <c r="AC56" s="199"/>
      <c r="AD56" s="199"/>
      <c r="AE56" s="199"/>
      <c r="AF56" s="199"/>
      <c r="AG56" s="199"/>
      <c r="AH56" s="199"/>
      <c r="AI56" s="199"/>
      <c r="AJ56" s="200"/>
      <c r="AK56" s="200"/>
    </row>
    <row r="57" spans="1:38">
      <c r="B57" s="25" t="s">
        <v>39</v>
      </c>
      <c r="C57" s="26">
        <v>1603.1</v>
      </c>
      <c r="D57" s="40">
        <v>1757</v>
      </c>
      <c r="E57" s="40">
        <v>1827</v>
      </c>
      <c r="F57" s="40">
        <v>2232</v>
      </c>
      <c r="G57" s="40">
        <v>2397</v>
      </c>
      <c r="H57" s="40">
        <v>2406</v>
      </c>
      <c r="I57" s="40">
        <v>2865</v>
      </c>
      <c r="J57" s="40">
        <v>3150</v>
      </c>
      <c r="K57" s="40">
        <v>2721</v>
      </c>
      <c r="L57" s="216">
        <f>L47+L52</f>
        <v>2936.1145803258728</v>
      </c>
      <c r="M57" s="216">
        <f t="shared" ref="M57:P57" si="137">M47+M52</f>
        <v>3240.4218670668347</v>
      </c>
      <c r="N57" s="216">
        <f t="shared" si="137"/>
        <v>3583.8158288810278</v>
      </c>
      <c r="O57" s="216">
        <f t="shared" si="137"/>
        <v>3755.6153614454511</v>
      </c>
      <c r="P57" s="216">
        <f t="shared" si="137"/>
        <v>3932.0914114954494</v>
      </c>
      <c r="Q57" s="200"/>
      <c r="R57" s="26">
        <v>811.6</v>
      </c>
      <c r="S57" s="39">
        <f>C57-R57</f>
        <v>791.49999999999989</v>
      </c>
      <c r="T57" s="26">
        <v>901</v>
      </c>
      <c r="U57" s="39">
        <f>D57-T57</f>
        <v>856</v>
      </c>
      <c r="V57" s="40">
        <v>933</v>
      </c>
      <c r="W57" s="39">
        <f>E57-V57</f>
        <v>894</v>
      </c>
      <c r="X57" s="40">
        <v>1177</v>
      </c>
      <c r="Y57" s="39">
        <f>F57-X57</f>
        <v>1055</v>
      </c>
      <c r="Z57" s="40">
        <v>1317</v>
      </c>
      <c r="AA57" s="39">
        <f>G57-Z57</f>
        <v>1080</v>
      </c>
      <c r="AB57" s="40">
        <v>1217</v>
      </c>
      <c r="AC57" s="39">
        <f>H57-AB57</f>
        <v>1189</v>
      </c>
      <c r="AD57" s="40">
        <v>1439</v>
      </c>
      <c r="AE57" s="39">
        <f>I57-AD57</f>
        <v>1426</v>
      </c>
      <c r="AF57" s="40">
        <v>1595</v>
      </c>
      <c r="AG57" s="39">
        <f>J57-AF57</f>
        <v>1555</v>
      </c>
      <c r="AH57" s="40">
        <v>1373</v>
      </c>
      <c r="AI57" s="39">
        <f>K57-AH57</f>
        <v>1348</v>
      </c>
      <c r="AJ57" s="216">
        <f>AJ47+AJ52</f>
        <v>1474.6453837980246</v>
      </c>
      <c r="AK57" s="216">
        <f>L57-AJ57</f>
        <v>1461.4691965278482</v>
      </c>
    </row>
    <row r="58" spans="1:38">
      <c r="B58" s="32" t="s">
        <v>270</v>
      </c>
      <c r="C58" s="199"/>
      <c r="D58" s="244">
        <f t="shared" ref="D58:K58" si="138">D57/C57-1</f>
        <v>9.6001497099370114E-2</v>
      </c>
      <c r="E58" s="244">
        <f t="shared" si="138"/>
        <v>3.9840637450199168E-2</v>
      </c>
      <c r="F58" s="244">
        <f t="shared" si="138"/>
        <v>0.2216748768472907</v>
      </c>
      <c r="G58" s="244">
        <f t="shared" si="138"/>
        <v>7.3924731182795744E-2</v>
      </c>
      <c r="H58" s="244">
        <f t="shared" si="138"/>
        <v>3.754693366708306E-3</v>
      </c>
      <c r="I58" s="244">
        <f t="shared" si="138"/>
        <v>0.19077306733167076</v>
      </c>
      <c r="J58" s="244">
        <f t="shared" si="138"/>
        <v>9.9476439790575855E-2</v>
      </c>
      <c r="K58" s="279">
        <f t="shared" si="138"/>
        <v>-0.1361904761904762</v>
      </c>
      <c r="L58" s="274">
        <f t="shared" ref="L58:P58" si="139">L57/K57-1</f>
        <v>7.9057177628031106E-2</v>
      </c>
      <c r="M58" s="274">
        <f t="shared" si="139"/>
        <v>0.10364285126338202</v>
      </c>
      <c r="N58" s="274">
        <f t="shared" si="139"/>
        <v>0.10597199250634182</v>
      </c>
      <c r="O58" s="274">
        <f t="shared" si="139"/>
        <v>4.7937600805246783E-2</v>
      </c>
      <c r="P58" s="274">
        <f t="shared" si="139"/>
        <v>4.6989915916755942E-2</v>
      </c>
      <c r="Q58" s="200"/>
      <c r="R58" s="199"/>
      <c r="S58" s="199"/>
      <c r="T58" s="244">
        <f t="shared" ref="T58:AI58" si="140">T57/R57-1</f>
        <v>0.11015278462296685</v>
      </c>
      <c r="U58" s="244">
        <f t="shared" si="140"/>
        <v>8.1490840176879464E-2</v>
      </c>
      <c r="V58" s="244">
        <f t="shared" si="140"/>
        <v>3.5516093229744694E-2</v>
      </c>
      <c r="W58" s="244">
        <f t="shared" si="140"/>
        <v>4.4392523364485958E-2</v>
      </c>
      <c r="X58" s="244">
        <f t="shared" si="140"/>
        <v>0.26152197213290451</v>
      </c>
      <c r="Y58" s="244">
        <f t="shared" si="140"/>
        <v>0.18008948545861303</v>
      </c>
      <c r="Z58" s="244">
        <f t="shared" si="140"/>
        <v>0.11894647408666104</v>
      </c>
      <c r="AA58" s="244">
        <f t="shared" si="140"/>
        <v>2.3696682464454888E-2</v>
      </c>
      <c r="AB58" s="244">
        <f t="shared" si="140"/>
        <v>-7.5930144267274069E-2</v>
      </c>
      <c r="AC58" s="244">
        <f t="shared" si="140"/>
        <v>0.10092592592592586</v>
      </c>
      <c r="AD58" s="244">
        <f t="shared" si="140"/>
        <v>0.18241577649958907</v>
      </c>
      <c r="AE58" s="244">
        <f t="shared" si="140"/>
        <v>0.19932716568545006</v>
      </c>
      <c r="AF58" s="244">
        <f t="shared" si="140"/>
        <v>0.108408617095205</v>
      </c>
      <c r="AG58" s="244">
        <f t="shared" si="140"/>
        <v>9.0462833099579143E-2</v>
      </c>
      <c r="AH58" s="244">
        <f t="shared" si="140"/>
        <v>-0.13918495297805644</v>
      </c>
      <c r="AI58" s="244">
        <f t="shared" si="140"/>
        <v>-0.13311897106109327</v>
      </c>
      <c r="AJ58" s="166">
        <f t="shared" ref="AJ58:AK58" si="141">AJ57/AH57-1</f>
        <v>7.4031597813564831E-2</v>
      </c>
      <c r="AK58" s="166">
        <f t="shared" si="141"/>
        <v>8.4175961815911249E-2</v>
      </c>
    </row>
    <row r="59" spans="1:38">
      <c r="A59" s="6" t="s">
        <v>433</v>
      </c>
      <c r="B59" s="32" t="s">
        <v>259</v>
      </c>
      <c r="C59" s="256">
        <f t="shared" ref="C59:P59" si="142">C57/C30</f>
        <v>4.473434535104364E-2</v>
      </c>
      <c r="D59" s="256">
        <f t="shared" si="142"/>
        <v>4.6742398041980368E-2</v>
      </c>
      <c r="E59" s="256">
        <f t="shared" si="142"/>
        <v>4.6095622555821877E-2</v>
      </c>
      <c r="F59" s="256">
        <f t="shared" si="142"/>
        <v>5.2952480368200043E-2</v>
      </c>
      <c r="G59" s="256">
        <f t="shared" si="142"/>
        <v>5.4793581127417362E-2</v>
      </c>
      <c r="H59" s="256">
        <f t="shared" si="142"/>
        <v>5.2601661565369481E-2</v>
      </c>
      <c r="I59" s="256">
        <f t="shared" si="142"/>
        <v>5.9629113160030806E-2</v>
      </c>
      <c r="J59" s="256">
        <f t="shared" si="142"/>
        <v>6.1979812289711354E-2</v>
      </c>
      <c r="K59" s="256">
        <f t="shared" si="142"/>
        <v>5.2847265382224985E-2</v>
      </c>
      <c r="L59" s="257">
        <f t="shared" si="142"/>
        <v>5.5034150024018264E-2</v>
      </c>
      <c r="M59" s="257">
        <f t="shared" si="142"/>
        <v>5.8387882403232706E-2</v>
      </c>
      <c r="N59" s="257">
        <f t="shared" si="142"/>
        <v>6.2087062570586049E-2</v>
      </c>
      <c r="O59" s="257">
        <f t="shared" si="142"/>
        <v>6.2566418102880522E-2</v>
      </c>
      <c r="P59" s="257">
        <f t="shared" si="142"/>
        <v>6.3002423796646098E-2</v>
      </c>
      <c r="Q59" s="200"/>
      <c r="R59" s="256">
        <f t="shared" ref="R59:AK59" si="143">R57/R30</f>
        <v>4.3371845708239376E-2</v>
      </c>
      <c r="S59" s="256">
        <f t="shared" si="143"/>
        <v>4.6223296775173145E-2</v>
      </c>
      <c r="T59" s="256">
        <f t="shared" si="143"/>
        <v>4.6357275159497842E-2</v>
      </c>
      <c r="U59" s="256">
        <f t="shared" si="143"/>
        <v>4.7154740263317355E-2</v>
      </c>
      <c r="V59" s="256">
        <f t="shared" si="143"/>
        <v>4.6818546768366116E-2</v>
      </c>
      <c r="W59" s="256">
        <f t="shared" si="143"/>
        <v>4.5364591261988128E-2</v>
      </c>
      <c r="X59" s="256">
        <f t="shared" si="143"/>
        <v>5.5518867924528301E-2</v>
      </c>
      <c r="Y59" s="256">
        <f t="shared" si="143"/>
        <v>5.0355591618538496E-2</v>
      </c>
      <c r="Z59" s="256">
        <f t="shared" si="143"/>
        <v>5.7290760396728729E-2</v>
      </c>
      <c r="AA59" s="256">
        <f t="shared" si="143"/>
        <v>5.2028133731573369E-2</v>
      </c>
      <c r="AB59" s="256">
        <f t="shared" si="143"/>
        <v>5.1177460050462573E-2</v>
      </c>
      <c r="AC59" s="256">
        <f t="shared" si="143"/>
        <v>5.4143897996357014E-2</v>
      </c>
      <c r="AD59" s="256">
        <f t="shared" si="143"/>
        <v>5.9011687512815256E-2</v>
      </c>
      <c r="AE59" s="256">
        <f t="shared" si="143"/>
        <v>6.0265404445947086E-2</v>
      </c>
      <c r="AF59" s="256">
        <f t="shared" si="143"/>
        <v>6.1476199653112351E-2</v>
      </c>
      <c r="AG59" s="256">
        <f t="shared" si="143"/>
        <v>6.2505024519655922E-2</v>
      </c>
      <c r="AH59" s="256">
        <f t="shared" si="143"/>
        <v>5.1473344830171699E-2</v>
      </c>
      <c r="AI59" s="256">
        <f t="shared" si="143"/>
        <v>5.4324171838478277E-2</v>
      </c>
      <c r="AJ59" s="257">
        <f t="shared" si="143"/>
        <v>5.3394722716686743E-2</v>
      </c>
      <c r="AK59" s="257">
        <f t="shared" si="143"/>
        <v>5.6793659508064427E-2</v>
      </c>
    </row>
    <row r="60" spans="1:38">
      <c r="B60" s="32" t="s">
        <v>268</v>
      </c>
      <c r="C60" s="199"/>
      <c r="D60" s="244">
        <f t="shared" ref="D60:K60" si="144">D59-C59</f>
        <v>2.0080526909367277E-3</v>
      </c>
      <c r="E60" s="244">
        <f t="shared" si="144"/>
        <v>-6.4677548615849068E-4</v>
      </c>
      <c r="F60" s="244">
        <f t="shared" si="144"/>
        <v>6.8568578123781657E-3</v>
      </c>
      <c r="G60" s="244">
        <f t="shared" si="144"/>
        <v>1.8411007592173192E-3</v>
      </c>
      <c r="H60" s="244">
        <f t="shared" si="144"/>
        <v>-2.191919562047881E-3</v>
      </c>
      <c r="I60" s="244">
        <f t="shared" si="144"/>
        <v>7.0274515946613242E-3</v>
      </c>
      <c r="J60" s="244">
        <f t="shared" si="144"/>
        <v>2.3506991296805488E-3</v>
      </c>
      <c r="K60" s="244">
        <f t="shared" si="144"/>
        <v>-9.1325469074863691E-3</v>
      </c>
      <c r="L60" s="257">
        <f t="shared" ref="L60:P60" si="145">L59-K59</f>
        <v>2.1868846417932783E-3</v>
      </c>
      <c r="M60" s="257">
        <f t="shared" si="145"/>
        <v>3.3537323792144427E-3</v>
      </c>
      <c r="N60" s="257">
        <f t="shared" si="145"/>
        <v>3.6991801673533428E-3</v>
      </c>
      <c r="O60" s="257">
        <f t="shared" si="145"/>
        <v>4.7935553229447314E-4</v>
      </c>
      <c r="P60" s="257">
        <f t="shared" si="145"/>
        <v>4.3600569376557596E-4</v>
      </c>
      <c r="Q60" s="200"/>
      <c r="R60" s="199"/>
      <c r="S60" s="199"/>
      <c r="T60" s="244">
        <f t="shared" ref="T60:AI60" si="146">T59-R59</f>
        <v>2.9854294512584659E-3</v>
      </c>
      <c r="U60" s="244">
        <f t="shared" si="146"/>
        <v>9.3144348814420963E-4</v>
      </c>
      <c r="V60" s="244">
        <f t="shared" si="146"/>
        <v>4.6127160886827445E-4</v>
      </c>
      <c r="W60" s="244">
        <f t="shared" si="146"/>
        <v>-1.7901490013292262E-3</v>
      </c>
      <c r="X60" s="244">
        <f t="shared" si="146"/>
        <v>8.7003211561621843E-3</v>
      </c>
      <c r="Y60" s="244">
        <f t="shared" si="146"/>
        <v>4.991000356550368E-3</v>
      </c>
      <c r="Z60" s="244">
        <f t="shared" si="146"/>
        <v>1.7718924722004287E-3</v>
      </c>
      <c r="AA60" s="244">
        <f t="shared" si="146"/>
        <v>1.6725421130348722E-3</v>
      </c>
      <c r="AB60" s="244">
        <f t="shared" si="146"/>
        <v>-6.1133003462661567E-3</v>
      </c>
      <c r="AC60" s="244">
        <f t="shared" si="146"/>
        <v>2.1157642647836455E-3</v>
      </c>
      <c r="AD60" s="244">
        <f t="shared" si="146"/>
        <v>7.8342274623526831E-3</v>
      </c>
      <c r="AE60" s="244">
        <f t="shared" si="146"/>
        <v>6.1215064495900723E-3</v>
      </c>
      <c r="AF60" s="244">
        <f t="shared" si="146"/>
        <v>2.4645121402970954E-3</v>
      </c>
      <c r="AG60" s="244">
        <f t="shared" si="146"/>
        <v>2.2396200737088354E-3</v>
      </c>
      <c r="AH60" s="244">
        <f t="shared" si="146"/>
        <v>-1.0002854822940652E-2</v>
      </c>
      <c r="AI60" s="244">
        <f t="shared" si="146"/>
        <v>-8.1808526811776444E-3</v>
      </c>
      <c r="AJ60" s="166">
        <f t="shared" ref="AJ60:AK60" si="147">AJ59-AH59</f>
        <v>1.9213778865150438E-3</v>
      </c>
      <c r="AK60" s="166">
        <f t="shared" si="147"/>
        <v>2.4694876695861498E-3</v>
      </c>
      <c r="AL60" s="114"/>
    </row>
    <row r="61" spans="1:38">
      <c r="B61" s="32"/>
      <c r="C61" s="199"/>
      <c r="D61" s="199"/>
      <c r="E61" s="199"/>
      <c r="F61" s="199"/>
      <c r="G61" s="199"/>
      <c r="H61" s="199"/>
      <c r="I61" s="199"/>
      <c r="J61" s="199"/>
      <c r="K61" s="199"/>
      <c r="L61" s="200"/>
      <c r="M61" s="200"/>
      <c r="N61" s="200"/>
      <c r="O61" s="200"/>
      <c r="P61" s="200"/>
      <c r="Q61" s="200"/>
      <c r="R61" s="199"/>
      <c r="S61" s="199"/>
      <c r="T61" s="199"/>
      <c r="U61" s="199"/>
      <c r="V61" s="199"/>
      <c r="W61" s="199"/>
      <c r="X61" s="199"/>
      <c r="Y61" s="199"/>
      <c r="Z61" s="199"/>
      <c r="AA61" s="199"/>
      <c r="AB61" s="199"/>
      <c r="AC61" s="199"/>
      <c r="AD61" s="199"/>
      <c r="AE61" s="199"/>
      <c r="AF61" s="199"/>
      <c r="AG61" s="199"/>
      <c r="AH61" s="199"/>
      <c r="AI61" s="199"/>
      <c r="AJ61" s="200"/>
      <c r="AK61" s="200"/>
    </row>
    <row r="62" spans="1:38">
      <c r="B62" s="25" t="s">
        <v>47</v>
      </c>
      <c r="C62" s="215">
        <f>C65-C57</f>
        <v>0</v>
      </c>
      <c r="D62" s="215">
        <f>D65-D57</f>
        <v>0</v>
      </c>
      <c r="E62" s="215">
        <f>E65-E57</f>
        <v>0</v>
      </c>
      <c r="F62" s="215">
        <f>F65-F57</f>
        <v>-311</v>
      </c>
      <c r="G62" s="258">
        <f>F62*(1+G34+3%)</f>
        <v>-327.1358991436727</v>
      </c>
      <c r="H62" s="258">
        <f t="shared" ref="H62:P62" si="148">G62*(1+H34+3%)</f>
        <v>-340.30053001982685</v>
      </c>
      <c r="I62" s="258">
        <f t="shared" si="148"/>
        <v>-353.64595633535095</v>
      </c>
      <c r="J62" s="258">
        <f t="shared" si="148"/>
        <v>-369.42276452437557</v>
      </c>
      <c r="K62" s="258">
        <f t="shared" si="148"/>
        <v>-382.5005298967821</v>
      </c>
      <c r="L62" s="154">
        <f t="shared" si="148"/>
        <v>-399.11207931960479</v>
      </c>
      <c r="M62" s="154">
        <f t="shared" si="148"/>
        <v>-416.374029322686</v>
      </c>
      <c r="N62" s="154">
        <f t="shared" si="148"/>
        <v>-434.31042059455513</v>
      </c>
      <c r="O62" s="154">
        <f t="shared" si="148"/>
        <v>-452.94615000147814</v>
      </c>
      <c r="P62" s="154">
        <f t="shared" si="148"/>
        <v>-472.30700030443006</v>
      </c>
      <c r="Q62" s="200"/>
      <c r="R62" s="215">
        <f t="shared" ref="R62:Y62" si="149">R65-R57</f>
        <v>0</v>
      </c>
      <c r="S62" s="215">
        <f t="shared" si="149"/>
        <v>0</v>
      </c>
      <c r="T62" s="215">
        <f t="shared" si="149"/>
        <v>0</v>
      </c>
      <c r="U62" s="215">
        <f t="shared" si="149"/>
        <v>0</v>
      </c>
      <c r="V62" s="215">
        <f t="shared" si="149"/>
        <v>0</v>
      </c>
      <c r="W62" s="215">
        <f t="shared" si="149"/>
        <v>0</v>
      </c>
      <c r="X62" s="215">
        <f t="shared" si="149"/>
        <v>-159</v>
      </c>
      <c r="Y62" s="215">
        <f t="shared" si="149"/>
        <v>-152</v>
      </c>
      <c r="Z62" s="258">
        <f>X62*(1+Z81+3%)</f>
        <v>-167.44440318639928</v>
      </c>
      <c r="AA62" s="39">
        <f>G62-Z62</f>
        <v>-159.69149595727342</v>
      </c>
      <c r="AB62" s="258">
        <f>Z62*(1+AB81+3%)</f>
        <v>-175.12414383568901</v>
      </c>
      <c r="AC62" s="39">
        <f>H62-AB62</f>
        <v>-165.17638618413784</v>
      </c>
      <c r="AD62" s="258">
        <f>AB62*(1+AD81+3%)</f>
        <v>-183.34929504072539</v>
      </c>
      <c r="AE62" s="39">
        <f>I62-AD62</f>
        <v>-170.29666129462555</v>
      </c>
      <c r="AF62" s="258">
        <f>AD62*(1+AF81+3%)</f>
        <v>-190.52290617443671</v>
      </c>
      <c r="AG62" s="39">
        <f>J62-AF62</f>
        <v>-178.89985834993885</v>
      </c>
      <c r="AH62" s="258">
        <f>AF62*(1+AH81+3%)</f>
        <v>-197.83152481518576</v>
      </c>
      <c r="AI62" s="39">
        <f>K62-AH62</f>
        <v>-184.66900508159634</v>
      </c>
      <c r="AJ62" s="154">
        <f>AH62*(1+AJ81+3%)</f>
        <v>-203.76647055964133</v>
      </c>
      <c r="AK62" s="216">
        <f>L62-AJ62</f>
        <v>-195.34560875996345</v>
      </c>
    </row>
    <row r="63" spans="1:38">
      <c r="B63" s="32" t="s">
        <v>506</v>
      </c>
      <c r="C63" s="215"/>
      <c r="D63" s="215"/>
      <c r="E63" s="215"/>
      <c r="F63" s="256">
        <f>-F62/F30</f>
        <v>7.3782353918056508E-3</v>
      </c>
      <c r="G63" s="256">
        <f>F63</f>
        <v>7.3782353918056508E-3</v>
      </c>
      <c r="H63" s="256">
        <f t="shared" ref="H63:P63" si="150">-H62/H30</f>
        <v>7.4398891565331622E-3</v>
      </c>
      <c r="I63" s="256">
        <f t="shared" si="150"/>
        <v>7.3604170153256385E-3</v>
      </c>
      <c r="J63" s="256">
        <f t="shared" si="150"/>
        <v>7.26881066691017E-3</v>
      </c>
      <c r="K63" s="256">
        <f t="shared" si="150"/>
        <v>7.4289257671065513E-3</v>
      </c>
      <c r="L63" s="257">
        <f t="shared" si="150"/>
        <v>7.480904933633477E-3</v>
      </c>
      <c r="M63" s="257">
        <f t="shared" si="150"/>
        <v>7.5024792626335315E-3</v>
      </c>
      <c r="N63" s="257">
        <f t="shared" si="150"/>
        <v>7.5241194151795931E-3</v>
      </c>
      <c r="O63" s="257">
        <f t="shared" si="150"/>
        <v>7.5458255097176396E-3</v>
      </c>
      <c r="P63" s="257">
        <f t="shared" si="150"/>
        <v>7.5675976678236485E-3</v>
      </c>
      <c r="Q63" s="200"/>
      <c r="R63" s="215"/>
      <c r="S63" s="215"/>
      <c r="T63" s="215"/>
      <c r="U63" s="215"/>
      <c r="V63" s="215"/>
      <c r="W63" s="215"/>
      <c r="X63" s="256">
        <f t="shared" ref="X63:AK63" si="151">-X62/X30</f>
        <v>7.4999999999999997E-3</v>
      </c>
      <c r="Y63" s="256">
        <f t="shared" si="151"/>
        <v>7.2550236265572048E-3</v>
      </c>
      <c r="Z63" s="256">
        <f t="shared" si="151"/>
        <v>7.2839917864276705E-3</v>
      </c>
      <c r="AA63" s="256">
        <f t="shared" si="151"/>
        <v>7.6930097291296566E-3</v>
      </c>
      <c r="AB63" s="256">
        <f t="shared" si="151"/>
        <v>7.3643458299280495E-3</v>
      </c>
      <c r="AC63" s="256">
        <f t="shared" si="151"/>
        <v>7.5216933599334167E-3</v>
      </c>
      <c r="AD63" s="256">
        <f t="shared" si="151"/>
        <v>7.5189376682684187E-3</v>
      </c>
      <c r="AE63" s="256">
        <f t="shared" si="151"/>
        <v>7.1970527129839217E-3</v>
      </c>
      <c r="AF63" s="256">
        <f t="shared" si="151"/>
        <v>7.3433380680068107E-3</v>
      </c>
      <c r="AG63" s="256">
        <f t="shared" si="151"/>
        <v>7.1910868377658517E-3</v>
      </c>
      <c r="AH63" s="256">
        <f t="shared" si="151"/>
        <v>7.4166426038534058E-3</v>
      </c>
      <c r="AI63" s="256">
        <f t="shared" si="151"/>
        <v>7.4421296478438112E-3</v>
      </c>
      <c r="AJ63" s="257">
        <f t="shared" si="151"/>
        <v>7.3780817503851853E-3</v>
      </c>
      <c r="AK63" s="257">
        <f t="shared" si="151"/>
        <v>7.5912595466718956E-3</v>
      </c>
    </row>
    <row r="64" spans="1:38">
      <c r="B64" s="32"/>
      <c r="C64" s="199"/>
      <c r="D64" s="199"/>
      <c r="E64" s="199"/>
      <c r="F64" s="199"/>
      <c r="G64" s="199"/>
      <c r="H64" s="199"/>
      <c r="I64" s="199"/>
      <c r="J64" s="199"/>
      <c r="K64" s="199"/>
      <c r="L64" s="200"/>
      <c r="M64" s="200"/>
      <c r="N64" s="200"/>
      <c r="O64" s="200"/>
      <c r="P64" s="200"/>
      <c r="Q64" s="200"/>
      <c r="R64" s="199"/>
      <c r="S64" s="199"/>
      <c r="T64" s="199"/>
      <c r="U64" s="199"/>
      <c r="V64" s="199"/>
      <c r="W64" s="199"/>
      <c r="X64" s="199"/>
      <c r="Y64" s="199"/>
      <c r="Z64" s="199"/>
      <c r="AA64" s="199"/>
      <c r="AB64" s="199"/>
      <c r="AC64" s="199"/>
      <c r="AD64" s="199"/>
      <c r="AE64" s="199"/>
      <c r="AF64" s="199"/>
      <c r="AG64" s="199"/>
      <c r="AH64" s="199"/>
      <c r="AI64" s="199"/>
      <c r="AJ64" s="200"/>
      <c r="AK64" s="200"/>
    </row>
    <row r="65" spans="1:38">
      <c r="B65" s="25" t="s">
        <v>48</v>
      </c>
      <c r="C65" s="228">
        <f>C57</f>
        <v>1603.1</v>
      </c>
      <c r="D65" s="228">
        <f>D57</f>
        <v>1757</v>
      </c>
      <c r="E65" s="228">
        <f>E57</f>
        <v>1827</v>
      </c>
      <c r="F65" s="309">
        <v>1921</v>
      </c>
      <c r="G65" s="215">
        <f>G62+G57</f>
        <v>2069.8641008563272</v>
      </c>
      <c r="H65" s="215">
        <f>H62+H57</f>
        <v>2065.699469980173</v>
      </c>
      <c r="I65" s="215">
        <f>I62+I57</f>
        <v>2511.354043664649</v>
      </c>
      <c r="J65" s="215">
        <f>J62+J57</f>
        <v>2780.5772354756245</v>
      </c>
      <c r="K65" s="215">
        <f>K62+K57</f>
        <v>2338.4994701032178</v>
      </c>
      <c r="L65" s="216">
        <f t="shared" ref="L65:P65" si="152">L62+L57</f>
        <v>2537.0025010062682</v>
      </c>
      <c r="M65" s="216">
        <f t="shared" si="152"/>
        <v>2824.0478377441486</v>
      </c>
      <c r="N65" s="216">
        <f t="shared" si="152"/>
        <v>3149.5054082864726</v>
      </c>
      <c r="O65" s="216">
        <f t="shared" si="152"/>
        <v>3302.6692114439729</v>
      </c>
      <c r="P65" s="216">
        <f t="shared" si="152"/>
        <v>3459.7844111910194</v>
      </c>
      <c r="Q65" s="200"/>
      <c r="R65" s="215">
        <f>R57</f>
        <v>811.6</v>
      </c>
      <c r="S65" s="237">
        <f t="shared" ref="S65:T65" si="153">S57</f>
        <v>791.49999999999989</v>
      </c>
      <c r="T65" s="228">
        <f t="shared" si="153"/>
        <v>901</v>
      </c>
      <c r="U65" s="228">
        <f t="shared" ref="U65:W65" si="154">U57</f>
        <v>856</v>
      </c>
      <c r="V65" s="228">
        <f t="shared" si="154"/>
        <v>933</v>
      </c>
      <c r="W65" s="228">
        <f t="shared" si="154"/>
        <v>894</v>
      </c>
      <c r="X65" s="107">
        <v>1018</v>
      </c>
      <c r="Y65" s="58">
        <f>F65-X65</f>
        <v>903</v>
      </c>
      <c r="Z65" s="215">
        <f>Z62+Z57</f>
        <v>1149.5555968136007</v>
      </c>
      <c r="AA65" s="215">
        <f t="shared" ref="AA65:AI65" si="155">AA62+AA57</f>
        <v>920.30850404272655</v>
      </c>
      <c r="AB65" s="215">
        <f t="shared" si="155"/>
        <v>1041.875856164311</v>
      </c>
      <c r="AC65" s="215">
        <f t="shared" si="155"/>
        <v>1023.8236138158621</v>
      </c>
      <c r="AD65" s="215">
        <f t="shared" si="155"/>
        <v>1255.6507049592747</v>
      </c>
      <c r="AE65" s="215">
        <f t="shared" si="155"/>
        <v>1255.7033387053743</v>
      </c>
      <c r="AF65" s="215">
        <f t="shared" si="155"/>
        <v>1404.4770938255633</v>
      </c>
      <c r="AG65" s="215">
        <f t="shared" si="155"/>
        <v>1376.1001416500612</v>
      </c>
      <c r="AH65" s="215">
        <f t="shared" si="155"/>
        <v>1175.1684751848143</v>
      </c>
      <c r="AI65" s="215">
        <f t="shared" si="155"/>
        <v>1163.3309949184036</v>
      </c>
      <c r="AJ65" s="216">
        <f t="shared" ref="AJ65:AK65" si="156">AJ62+AJ57</f>
        <v>1270.8789132383831</v>
      </c>
      <c r="AK65" s="216">
        <f t="shared" si="156"/>
        <v>1266.1235877678848</v>
      </c>
    </row>
    <row r="66" spans="1:38">
      <c r="B66" s="32" t="s">
        <v>265</v>
      </c>
      <c r="C66" s="199"/>
      <c r="D66" s="244">
        <f t="shared" ref="D66:K66" si="157">D65/C65-1</f>
        <v>9.6001497099370114E-2</v>
      </c>
      <c r="E66" s="244">
        <f t="shared" si="157"/>
        <v>3.9840637450199168E-2</v>
      </c>
      <c r="F66" s="244">
        <f t="shared" si="157"/>
        <v>5.1450465243568777E-2</v>
      </c>
      <c r="G66" s="244">
        <f t="shared" si="157"/>
        <v>7.749302491219523E-2</v>
      </c>
      <c r="H66" s="244">
        <f t="shared" si="157"/>
        <v>-2.0120310673686914E-3</v>
      </c>
      <c r="I66" s="244">
        <f t="shared" si="157"/>
        <v>0.21574027595057355</v>
      </c>
      <c r="J66" s="244">
        <f t="shared" si="157"/>
        <v>0.10720240441213003</v>
      </c>
      <c r="K66" s="244">
        <f t="shared" si="157"/>
        <v>-0.15898776690401417</v>
      </c>
      <c r="L66" s="166">
        <f t="shared" ref="L66:P66" si="158">L65/K65-1</f>
        <v>8.4884787634477821E-2</v>
      </c>
      <c r="M66" s="166">
        <f t="shared" si="158"/>
        <v>0.11314349773956778</v>
      </c>
      <c r="N66" s="166">
        <f t="shared" si="158"/>
        <v>0.11524506284649183</v>
      </c>
      <c r="O66" s="166">
        <f t="shared" si="158"/>
        <v>4.8631065295052567E-2</v>
      </c>
      <c r="P66" s="166">
        <f t="shared" si="158"/>
        <v>4.7572187733071036E-2</v>
      </c>
      <c r="Q66" s="200"/>
      <c r="R66" s="199"/>
      <c r="S66" s="199"/>
      <c r="T66" s="244">
        <f t="shared" ref="T66:AI66" si="159">T65/R65-1</f>
        <v>0.11015278462296685</v>
      </c>
      <c r="U66" s="244">
        <f t="shared" si="159"/>
        <v>8.1490840176879464E-2</v>
      </c>
      <c r="V66" s="244">
        <f t="shared" si="159"/>
        <v>3.5516093229744694E-2</v>
      </c>
      <c r="W66" s="244">
        <f t="shared" si="159"/>
        <v>4.4392523364485958E-2</v>
      </c>
      <c r="X66" s="244">
        <f t="shared" si="159"/>
        <v>9.1103965702036493E-2</v>
      </c>
      <c r="Y66" s="244">
        <f t="shared" si="159"/>
        <v>1.0067114093959662E-2</v>
      </c>
      <c r="Z66" s="244">
        <f t="shared" si="159"/>
        <v>0.12922946641807531</v>
      </c>
      <c r="AA66" s="244">
        <f t="shared" si="159"/>
        <v>1.9167778563373705E-2</v>
      </c>
      <c r="AB66" s="244">
        <f t="shared" si="159"/>
        <v>-9.3670754983719018E-2</v>
      </c>
      <c r="AC66" s="244">
        <f t="shared" si="159"/>
        <v>0.11247870612779831</v>
      </c>
      <c r="AD66" s="244">
        <f t="shared" si="159"/>
        <v>0.20518264966997179</v>
      </c>
      <c r="AE66" s="244">
        <f t="shared" si="159"/>
        <v>0.226484056199173</v>
      </c>
      <c r="AF66" s="244">
        <f t="shared" si="159"/>
        <v>0.11852530984810428</v>
      </c>
      <c r="AG66" s="244">
        <f t="shared" si="159"/>
        <v>9.5879973584219069E-2</v>
      </c>
      <c r="AH66" s="244">
        <f t="shared" si="159"/>
        <v>-0.16326974619155254</v>
      </c>
      <c r="AI66" s="244">
        <f t="shared" si="159"/>
        <v>-0.15461748770444084</v>
      </c>
      <c r="AJ66" s="166">
        <f t="shared" ref="AJ66:AK66" si="160">AJ65/AH65-1</f>
        <v>8.144401426230985E-2</v>
      </c>
      <c r="AK66" s="166">
        <f t="shared" si="160"/>
        <v>8.8360572613034538E-2</v>
      </c>
    </row>
    <row r="67" spans="1:38">
      <c r="A67" s="6" t="s">
        <v>566</v>
      </c>
      <c r="B67" s="32" t="s">
        <v>344</v>
      </c>
      <c r="C67" s="256">
        <f t="shared" ref="C67:P67" si="161">C65/C30</f>
        <v>4.473434535104364E-2</v>
      </c>
      <c r="D67" s="256">
        <f t="shared" si="161"/>
        <v>4.6742398041980368E-2</v>
      </c>
      <c r="E67" s="256">
        <f t="shared" si="161"/>
        <v>4.6095622555821877E-2</v>
      </c>
      <c r="F67" s="256">
        <f t="shared" si="161"/>
        <v>4.5574244976394389E-2</v>
      </c>
      <c r="G67" s="256">
        <f t="shared" si="161"/>
        <v>4.7315505437213169E-2</v>
      </c>
      <c r="H67" s="256">
        <f t="shared" si="161"/>
        <v>4.5161772408836315E-2</v>
      </c>
      <c r="I67" s="256">
        <f t="shared" si="161"/>
        <v>5.2268696144705161E-2</v>
      </c>
      <c r="J67" s="256">
        <f t="shared" si="161"/>
        <v>5.4711001622801181E-2</v>
      </c>
      <c r="K67" s="256">
        <f t="shared" si="161"/>
        <v>4.541833961511843E-2</v>
      </c>
      <c r="L67" s="257">
        <f t="shared" si="161"/>
        <v>4.7553245090384791E-2</v>
      </c>
      <c r="M67" s="257">
        <f t="shared" si="161"/>
        <v>5.0885403140599174E-2</v>
      </c>
      <c r="N67" s="257">
        <f t="shared" si="161"/>
        <v>5.4562943155406454E-2</v>
      </c>
      <c r="O67" s="257">
        <f t="shared" si="161"/>
        <v>5.502059259316288E-2</v>
      </c>
      <c r="P67" s="257">
        <f t="shared" si="161"/>
        <v>5.5434826128822452E-2</v>
      </c>
      <c r="Q67" s="200"/>
      <c r="R67" s="256">
        <f t="shared" ref="R67:AK67" si="162">R65/R30</f>
        <v>4.3371845708239376E-2</v>
      </c>
      <c r="S67" s="256">
        <f t="shared" si="162"/>
        <v>4.6223296775173145E-2</v>
      </c>
      <c r="T67" s="256">
        <f t="shared" si="162"/>
        <v>4.6357275159497842E-2</v>
      </c>
      <c r="U67" s="256">
        <f t="shared" si="162"/>
        <v>4.7154740263317355E-2</v>
      </c>
      <c r="V67" s="256">
        <f t="shared" si="162"/>
        <v>4.6818546768366116E-2</v>
      </c>
      <c r="W67" s="256">
        <f t="shared" si="162"/>
        <v>4.5364591261988128E-2</v>
      </c>
      <c r="X67" s="256">
        <f t="shared" si="162"/>
        <v>4.8018867924528301E-2</v>
      </c>
      <c r="Y67" s="256">
        <f t="shared" si="162"/>
        <v>4.3100567991981288E-2</v>
      </c>
      <c r="Z67" s="256">
        <f t="shared" si="162"/>
        <v>5.000676861030106E-2</v>
      </c>
      <c r="AA67" s="256">
        <f t="shared" si="162"/>
        <v>4.4335124002443708E-2</v>
      </c>
      <c r="AB67" s="256">
        <f t="shared" si="162"/>
        <v>4.3813114220534528E-2</v>
      </c>
      <c r="AC67" s="256">
        <f t="shared" si="162"/>
        <v>4.6622204636423595E-2</v>
      </c>
      <c r="AD67" s="256">
        <f t="shared" si="162"/>
        <v>5.149274984454684E-2</v>
      </c>
      <c r="AE67" s="256">
        <f t="shared" si="162"/>
        <v>5.3068351732963162E-2</v>
      </c>
      <c r="AF67" s="256">
        <f t="shared" si="162"/>
        <v>5.4132861585105545E-2</v>
      </c>
      <c r="AG67" s="256">
        <f t="shared" si="162"/>
        <v>5.5313937681890073E-2</v>
      </c>
      <c r="AH67" s="256">
        <f t="shared" si="162"/>
        <v>4.4056702226318301E-2</v>
      </c>
      <c r="AI67" s="256">
        <f t="shared" si="162"/>
        <v>4.6882042190634465E-2</v>
      </c>
      <c r="AJ67" s="257">
        <f t="shared" si="162"/>
        <v>4.6016640966301557E-2</v>
      </c>
      <c r="AK67" s="257">
        <f t="shared" si="162"/>
        <v>4.9202399961392536E-2</v>
      </c>
    </row>
    <row r="68" spans="1:38">
      <c r="B68" s="32" t="s">
        <v>268</v>
      </c>
      <c r="C68" s="199"/>
      <c r="D68" s="256">
        <f t="shared" ref="D68:K68" si="163">D67-C67</f>
        <v>2.0080526909367277E-3</v>
      </c>
      <c r="E68" s="256">
        <f t="shared" si="163"/>
        <v>-6.4677548615849068E-4</v>
      </c>
      <c r="F68" s="256">
        <f t="shared" si="163"/>
        <v>-5.2137757942748858E-4</v>
      </c>
      <c r="G68" s="256">
        <f t="shared" si="163"/>
        <v>1.7412604608187804E-3</v>
      </c>
      <c r="H68" s="256">
        <f t="shared" si="163"/>
        <v>-2.1537330283768544E-3</v>
      </c>
      <c r="I68" s="256">
        <f t="shared" si="163"/>
        <v>7.1069237358688461E-3</v>
      </c>
      <c r="J68" s="256">
        <f t="shared" si="163"/>
        <v>2.4423054780960199E-3</v>
      </c>
      <c r="K68" s="256">
        <f t="shared" si="163"/>
        <v>-9.2926620076827504E-3</v>
      </c>
      <c r="L68" s="257">
        <f t="shared" ref="L68:P68" si="164">L67-K67</f>
        <v>2.1349054752663604E-3</v>
      </c>
      <c r="M68" s="257">
        <f t="shared" si="164"/>
        <v>3.332158050214383E-3</v>
      </c>
      <c r="N68" s="257">
        <f t="shared" si="164"/>
        <v>3.6775400148072804E-3</v>
      </c>
      <c r="O68" s="257">
        <f t="shared" si="164"/>
        <v>4.576494377564258E-4</v>
      </c>
      <c r="P68" s="257">
        <f t="shared" si="164"/>
        <v>4.1423353565957222E-4</v>
      </c>
      <c r="Q68" s="200"/>
      <c r="R68" s="199"/>
      <c r="S68" s="199"/>
      <c r="T68" s="244">
        <f t="shared" ref="T68:AI68" si="165">T67-R67</f>
        <v>2.9854294512584659E-3</v>
      </c>
      <c r="U68" s="244">
        <f t="shared" si="165"/>
        <v>9.3144348814420963E-4</v>
      </c>
      <c r="V68" s="244">
        <f t="shared" si="165"/>
        <v>4.6127160886827445E-4</v>
      </c>
      <c r="W68" s="244">
        <f t="shared" si="165"/>
        <v>-1.7901490013292262E-3</v>
      </c>
      <c r="X68" s="244">
        <f t="shared" si="165"/>
        <v>1.2003211561621846E-3</v>
      </c>
      <c r="Y68" s="244">
        <f t="shared" si="165"/>
        <v>-2.2640232700068402E-3</v>
      </c>
      <c r="Z68" s="244">
        <f t="shared" si="165"/>
        <v>1.9879006857727588E-3</v>
      </c>
      <c r="AA68" s="244">
        <f t="shared" si="165"/>
        <v>1.2345560104624204E-3</v>
      </c>
      <c r="AB68" s="244">
        <f t="shared" si="165"/>
        <v>-6.1936543897665314E-3</v>
      </c>
      <c r="AC68" s="244">
        <f t="shared" si="165"/>
        <v>2.2870806339798863E-3</v>
      </c>
      <c r="AD68" s="244">
        <f t="shared" si="165"/>
        <v>7.6796356240123112E-3</v>
      </c>
      <c r="AE68" s="244">
        <f t="shared" si="165"/>
        <v>6.4461470965395673E-3</v>
      </c>
      <c r="AF68" s="244">
        <f t="shared" si="165"/>
        <v>2.6401117405587052E-3</v>
      </c>
      <c r="AG68" s="244">
        <f t="shared" si="165"/>
        <v>2.2455859489269106E-3</v>
      </c>
      <c r="AH68" s="244">
        <f t="shared" si="165"/>
        <v>-1.0076159358787244E-2</v>
      </c>
      <c r="AI68" s="244">
        <f t="shared" si="165"/>
        <v>-8.4318954912556074E-3</v>
      </c>
      <c r="AJ68" s="166">
        <f t="shared" ref="AJ68:AK68" si="166">AJ67-AH67</f>
        <v>1.9599387399832566E-3</v>
      </c>
      <c r="AK68" s="166">
        <f t="shared" si="166"/>
        <v>2.3203577707580705E-3</v>
      </c>
      <c r="AL68" s="114"/>
    </row>
    <row r="69" spans="1:38">
      <c r="B69" s="32"/>
      <c r="C69" s="199"/>
      <c r="D69" s="199"/>
      <c r="E69" s="199"/>
      <c r="F69" s="199"/>
      <c r="G69" s="199"/>
      <c r="H69" s="199"/>
      <c r="I69" s="199"/>
      <c r="J69" s="199"/>
      <c r="K69" s="199"/>
      <c r="L69" s="200"/>
      <c r="M69" s="200"/>
      <c r="N69" s="200"/>
      <c r="O69" s="200"/>
      <c r="P69" s="200"/>
      <c r="Q69" s="200"/>
      <c r="R69" s="199"/>
      <c r="S69" s="199"/>
      <c r="T69" s="199"/>
      <c r="U69" s="199"/>
      <c r="V69" s="199"/>
      <c r="W69" s="199"/>
      <c r="X69" s="199"/>
      <c r="Y69" s="199"/>
      <c r="Z69" s="199"/>
      <c r="AA69" s="199"/>
      <c r="AB69" s="199"/>
      <c r="AC69" s="199"/>
      <c r="AD69" s="199"/>
      <c r="AE69" s="199"/>
      <c r="AF69" s="199"/>
      <c r="AG69" s="199"/>
      <c r="AH69" s="199"/>
      <c r="AI69" s="199"/>
      <c r="AJ69" s="200"/>
      <c r="AK69" s="200"/>
    </row>
    <row r="70" spans="1:38">
      <c r="B70" s="41" t="s">
        <v>61</v>
      </c>
      <c r="C70" s="43"/>
      <c r="D70" s="20"/>
      <c r="E70" s="20"/>
      <c r="F70" s="45">
        <v>9161</v>
      </c>
      <c r="G70" s="45">
        <v>9401</v>
      </c>
      <c r="H70" s="45">
        <v>10082</v>
      </c>
      <c r="I70" s="45">
        <v>9647</v>
      </c>
      <c r="J70" s="45">
        <v>9883</v>
      </c>
      <c r="K70" s="45">
        <v>10223</v>
      </c>
      <c r="L70" s="200"/>
      <c r="M70" s="200"/>
      <c r="N70" s="200"/>
      <c r="O70" s="200"/>
      <c r="P70" s="200"/>
      <c r="Q70" s="200"/>
      <c r="R70" s="42"/>
      <c r="S70" s="43"/>
      <c r="T70" s="42"/>
      <c r="U70" s="43"/>
      <c r="V70" s="44"/>
      <c r="W70" s="43"/>
      <c r="X70" s="44"/>
      <c r="Y70" s="43"/>
      <c r="Z70" s="45">
        <v>9069</v>
      </c>
      <c r="AA70" s="46"/>
      <c r="AB70" s="45">
        <v>9458</v>
      </c>
      <c r="AC70" s="46"/>
      <c r="AD70" s="45">
        <v>9871</v>
      </c>
      <c r="AE70" s="46"/>
      <c r="AF70" s="45">
        <v>9460</v>
      </c>
      <c r="AG70" s="47"/>
      <c r="AH70" s="45">
        <v>10255</v>
      </c>
      <c r="AI70" s="47"/>
      <c r="AJ70" s="200"/>
      <c r="AK70" s="200"/>
    </row>
    <row r="71" spans="1:38">
      <c r="B71" s="41" t="s">
        <v>272</v>
      </c>
      <c r="C71" s="120"/>
      <c r="D71" s="35"/>
      <c r="E71" s="35"/>
      <c r="F71" s="35">
        <v>0.25</v>
      </c>
      <c r="G71" s="35">
        <v>0.26400000000000001</v>
      </c>
      <c r="H71" s="35">
        <v>0.251</v>
      </c>
      <c r="I71" s="35">
        <v>0.28999999999999998</v>
      </c>
      <c r="J71" s="35">
        <v>0.32200000000000001</v>
      </c>
      <c r="K71" s="35">
        <v>0.27200000000000002</v>
      </c>
      <c r="L71" s="200"/>
      <c r="M71" s="200"/>
      <c r="N71" s="200"/>
      <c r="O71" s="200"/>
      <c r="P71" s="200"/>
      <c r="Q71" s="200"/>
      <c r="R71" s="35"/>
      <c r="S71" s="120"/>
      <c r="T71" s="35"/>
      <c r="U71" s="120"/>
      <c r="V71" s="100"/>
      <c r="W71" s="120"/>
      <c r="X71" s="100"/>
      <c r="Y71" s="120"/>
      <c r="Z71" s="35">
        <v>0.26500000000000001</v>
      </c>
      <c r="AA71" s="34"/>
      <c r="AB71" s="35">
        <v>0.248</v>
      </c>
      <c r="AC71" s="34"/>
      <c r="AD71" s="35">
        <v>0.26900000000000002</v>
      </c>
      <c r="AE71" s="34"/>
      <c r="AF71" s="35">
        <v>0.318</v>
      </c>
      <c r="AG71" s="34"/>
      <c r="AH71" s="35">
        <v>0.29099999999999998</v>
      </c>
      <c r="AI71" s="34"/>
      <c r="AJ71" s="200"/>
      <c r="AK71" s="200"/>
    </row>
    <row r="72" spans="1:38">
      <c r="B72" s="32"/>
      <c r="C72" s="199"/>
      <c r="D72" s="199"/>
      <c r="E72" s="199"/>
      <c r="F72" s="199"/>
      <c r="G72" s="199"/>
      <c r="H72" s="199"/>
      <c r="I72" s="199"/>
      <c r="J72" s="199"/>
      <c r="K72" s="199"/>
      <c r="L72" s="200"/>
      <c r="M72" s="200"/>
      <c r="N72" s="200"/>
      <c r="O72" s="200"/>
      <c r="P72" s="200"/>
      <c r="Q72" s="200"/>
      <c r="R72" s="199"/>
      <c r="S72" s="199"/>
      <c r="T72" s="199"/>
      <c r="U72" s="199"/>
      <c r="V72" s="199"/>
      <c r="W72" s="199"/>
      <c r="X72" s="199"/>
      <c r="Y72" s="199"/>
      <c r="Z72" s="199"/>
      <c r="AA72" s="199"/>
      <c r="AB72" s="199"/>
      <c r="AC72" s="199"/>
      <c r="AD72" s="199"/>
      <c r="AE72" s="199"/>
      <c r="AF72" s="199"/>
      <c r="AG72" s="199"/>
      <c r="AH72" s="199"/>
      <c r="AI72" s="199"/>
      <c r="AJ72" s="200"/>
      <c r="AK72" s="200"/>
    </row>
    <row r="73" spans="1:38">
      <c r="B73" s="52" t="s">
        <v>49</v>
      </c>
      <c r="C73" s="199"/>
      <c r="D73" s="199"/>
      <c r="E73" s="199"/>
      <c r="F73" s="199"/>
      <c r="G73" s="199"/>
      <c r="H73" s="199"/>
      <c r="I73" s="199"/>
      <c r="J73" s="199"/>
      <c r="K73" s="199"/>
      <c r="L73" s="200"/>
      <c r="M73" s="200"/>
      <c r="N73" s="200"/>
      <c r="O73" s="200"/>
      <c r="P73" s="200"/>
      <c r="Q73" s="200"/>
      <c r="R73" s="199"/>
      <c r="S73" s="199"/>
      <c r="T73" s="199"/>
      <c r="U73" s="199"/>
      <c r="V73" s="199"/>
      <c r="W73" s="199"/>
      <c r="X73" s="199"/>
      <c r="Y73" s="199"/>
      <c r="Z73" s="199"/>
      <c r="AA73" s="199"/>
      <c r="AB73" s="199"/>
      <c r="AC73" s="199"/>
      <c r="AD73" s="199"/>
      <c r="AE73" s="199"/>
      <c r="AF73" s="199"/>
      <c r="AG73" s="199"/>
      <c r="AH73" s="199"/>
      <c r="AI73" s="199"/>
      <c r="AJ73" s="200"/>
      <c r="AK73" s="200"/>
    </row>
    <row r="74" spans="1:38">
      <c r="B74" s="87" t="s">
        <v>261</v>
      </c>
      <c r="C74" s="104"/>
      <c r="D74" s="199"/>
      <c r="E74" s="199"/>
      <c r="F74" s="199"/>
      <c r="G74" s="199"/>
      <c r="H74" s="199"/>
      <c r="I74" s="199"/>
      <c r="J74" s="199"/>
      <c r="K74" s="199"/>
      <c r="L74" s="200"/>
      <c r="M74" s="200"/>
      <c r="N74" s="200"/>
      <c r="O74" s="200"/>
      <c r="P74" s="200"/>
      <c r="Q74" s="200"/>
      <c r="R74" s="104"/>
      <c r="S74" s="199"/>
      <c r="T74" s="104"/>
      <c r="U74" s="199"/>
      <c r="V74" s="104"/>
      <c r="W74" s="199"/>
      <c r="X74" s="199"/>
      <c r="Y74" s="199"/>
      <c r="Z74" s="199"/>
      <c r="AA74" s="199"/>
      <c r="AB74" s="199"/>
      <c r="AC74" s="199"/>
      <c r="AD74" s="199"/>
      <c r="AE74" s="199"/>
      <c r="AF74" s="199"/>
      <c r="AG74" s="199"/>
      <c r="AH74" s="199"/>
      <c r="AI74" s="199"/>
      <c r="AJ74" s="200"/>
      <c r="AK74" s="200"/>
    </row>
    <row r="75" spans="1:38">
      <c r="B75" s="86" t="s">
        <v>263</v>
      </c>
      <c r="C75" s="88">
        <v>3</v>
      </c>
      <c r="D75" s="88">
        <v>10</v>
      </c>
      <c r="E75" s="88">
        <v>16</v>
      </c>
      <c r="F75" s="88">
        <v>27</v>
      </c>
      <c r="G75" s="88">
        <v>23</v>
      </c>
      <c r="H75" s="88">
        <v>11</v>
      </c>
      <c r="I75" s="88">
        <v>10</v>
      </c>
      <c r="J75" s="88">
        <v>16</v>
      </c>
      <c r="K75" s="88">
        <v>6</v>
      </c>
      <c r="L75" s="234">
        <v>15</v>
      </c>
      <c r="M75" s="234">
        <v>15</v>
      </c>
      <c r="N75" s="234">
        <v>15</v>
      </c>
      <c r="O75" s="234">
        <v>15</v>
      </c>
      <c r="P75" s="234">
        <v>15</v>
      </c>
      <c r="Q75" s="200"/>
      <c r="R75" s="88">
        <v>4</v>
      </c>
      <c r="S75" s="89">
        <f>C75-R75</f>
        <v>-1</v>
      </c>
      <c r="T75" s="88">
        <v>13</v>
      </c>
      <c r="U75" s="89">
        <f>D75-T75</f>
        <v>-3</v>
      </c>
      <c r="V75" s="88">
        <v>10</v>
      </c>
      <c r="W75" s="89">
        <f>E75-V75</f>
        <v>6</v>
      </c>
      <c r="X75" s="88">
        <v>14</v>
      </c>
      <c r="Y75" s="89">
        <f>F75-X75</f>
        <v>13</v>
      </c>
      <c r="Z75" s="88">
        <v>14</v>
      </c>
      <c r="AA75" s="89">
        <f>G75-Z75</f>
        <v>9</v>
      </c>
      <c r="AB75" s="88">
        <v>9</v>
      </c>
      <c r="AC75" s="89">
        <f>H75-AB75</f>
        <v>2</v>
      </c>
      <c r="AD75" s="88">
        <v>8</v>
      </c>
      <c r="AE75" s="89">
        <f>I75-AD75</f>
        <v>2</v>
      </c>
      <c r="AF75" s="88">
        <v>9</v>
      </c>
      <c r="AG75" s="89">
        <f>J75-AF75</f>
        <v>7</v>
      </c>
      <c r="AH75" s="88">
        <v>2</v>
      </c>
      <c r="AI75" s="89">
        <f>K75-AH75</f>
        <v>4</v>
      </c>
      <c r="AJ75" s="234">
        <v>7</v>
      </c>
      <c r="AK75" s="200">
        <f>L75-AJ75</f>
        <v>8</v>
      </c>
    </row>
    <row r="76" spans="1:38">
      <c r="B76" s="86" t="s">
        <v>262</v>
      </c>
      <c r="C76" s="90">
        <v>998</v>
      </c>
      <c r="D76" s="90">
        <v>1008</v>
      </c>
      <c r="E76" s="90">
        <v>1024</v>
      </c>
      <c r="F76" s="90">
        <v>1051</v>
      </c>
      <c r="G76" s="90">
        <v>1074</v>
      </c>
      <c r="H76" s="90">
        <v>1085</v>
      </c>
      <c r="I76" s="90">
        <v>1095</v>
      </c>
      <c r="J76" s="90">
        <v>1111</v>
      </c>
      <c r="K76" s="90">
        <v>1117</v>
      </c>
      <c r="L76" s="204">
        <f>L75+K76</f>
        <v>1132</v>
      </c>
      <c r="M76" s="204">
        <f>M75+L76</f>
        <v>1147</v>
      </c>
      <c r="N76" s="204">
        <f>N75+M76</f>
        <v>1162</v>
      </c>
      <c r="O76" s="204">
        <f>O75+N76</f>
        <v>1177</v>
      </c>
      <c r="P76" s="204">
        <f>P75+O76</f>
        <v>1192</v>
      </c>
      <c r="Q76" s="200"/>
      <c r="R76" s="90">
        <v>996</v>
      </c>
      <c r="S76" s="91">
        <f>R76+S75</f>
        <v>995</v>
      </c>
      <c r="T76" s="90">
        <v>1008</v>
      </c>
      <c r="U76" s="91">
        <f>T76+U75</f>
        <v>1005</v>
      </c>
      <c r="V76" s="90">
        <v>1018</v>
      </c>
      <c r="W76" s="91">
        <f>V76+W75</f>
        <v>1024</v>
      </c>
      <c r="X76" s="90">
        <v>1039</v>
      </c>
      <c r="Y76" s="91">
        <f>X76+Y75</f>
        <v>1052</v>
      </c>
      <c r="Z76" s="90">
        <v>1064</v>
      </c>
      <c r="AA76" s="91">
        <f>Z76+AA75</f>
        <v>1073</v>
      </c>
      <c r="AB76" s="90">
        <v>1083</v>
      </c>
      <c r="AC76" s="91">
        <f>AB76+AC75</f>
        <v>1085</v>
      </c>
      <c r="AD76" s="90">
        <v>1093</v>
      </c>
      <c r="AE76" s="91">
        <f>AD76+AE75</f>
        <v>1095</v>
      </c>
      <c r="AF76" s="90">
        <v>1104</v>
      </c>
      <c r="AG76" s="91">
        <f>AF76+AG75</f>
        <v>1111</v>
      </c>
      <c r="AH76" s="90">
        <v>1113</v>
      </c>
      <c r="AI76" s="91">
        <f>AH76+AI75</f>
        <v>1117</v>
      </c>
      <c r="AJ76" s="204">
        <f>AI76+AJ75</f>
        <v>1124</v>
      </c>
      <c r="AK76" s="204">
        <f>AJ76+AK75</f>
        <v>1132</v>
      </c>
    </row>
    <row r="77" spans="1:38">
      <c r="B77" s="192" t="s">
        <v>508</v>
      </c>
      <c r="C77" s="90"/>
      <c r="D77" s="90"/>
      <c r="E77" s="90"/>
      <c r="F77" s="90"/>
      <c r="G77" s="104">
        <v>78</v>
      </c>
      <c r="H77" s="22">
        <v>90</v>
      </c>
      <c r="I77" s="22">
        <v>93</v>
      </c>
      <c r="J77" s="22">
        <v>105</v>
      </c>
      <c r="K77" s="22">
        <v>105</v>
      </c>
      <c r="L77" s="204"/>
      <c r="M77" s="204"/>
      <c r="N77" s="204"/>
      <c r="O77" s="204"/>
      <c r="P77" s="204"/>
      <c r="Q77" s="200"/>
      <c r="R77" s="90"/>
      <c r="S77" s="91"/>
      <c r="T77" s="90"/>
      <c r="U77" s="91"/>
      <c r="V77" s="90"/>
      <c r="W77" s="91"/>
      <c r="X77" s="90"/>
      <c r="Y77" s="91"/>
      <c r="Z77" s="104">
        <v>70</v>
      </c>
      <c r="AA77" s="104">
        <v>78</v>
      </c>
      <c r="AB77" s="22">
        <v>82</v>
      </c>
      <c r="AC77" s="22">
        <v>90</v>
      </c>
      <c r="AD77" s="22">
        <v>90</v>
      </c>
      <c r="AE77" s="22">
        <v>93</v>
      </c>
      <c r="AF77" s="22">
        <v>103</v>
      </c>
      <c r="AG77" s="22">
        <v>105</v>
      </c>
      <c r="AH77" s="22">
        <v>106</v>
      </c>
      <c r="AI77" s="91"/>
      <c r="AJ77" s="204"/>
      <c r="AK77" s="204"/>
    </row>
    <row r="78" spans="1:38">
      <c r="B78" s="86"/>
      <c r="C78" s="90"/>
      <c r="D78" s="90"/>
      <c r="E78" s="90"/>
      <c r="F78" s="90"/>
      <c r="G78" s="90"/>
      <c r="H78" s="90"/>
      <c r="I78" s="90"/>
      <c r="J78" s="90"/>
      <c r="K78" s="90"/>
      <c r="L78" s="204"/>
      <c r="M78" s="204"/>
      <c r="N78" s="204"/>
      <c r="O78" s="204"/>
      <c r="P78" s="204"/>
      <c r="Q78" s="200"/>
      <c r="R78" s="90"/>
      <c r="S78" s="91"/>
      <c r="T78" s="90"/>
      <c r="U78" s="91"/>
      <c r="V78" s="90"/>
      <c r="W78" s="91"/>
      <c r="X78" s="90"/>
      <c r="Y78" s="91"/>
      <c r="Z78" s="90"/>
      <c r="AA78" s="91"/>
      <c r="AB78" s="90"/>
      <c r="AC78" s="91"/>
      <c r="AD78" s="90"/>
      <c r="AE78" s="91"/>
      <c r="AF78" s="90"/>
      <c r="AG78" s="91"/>
      <c r="AH78" s="90"/>
      <c r="AI78" s="91"/>
      <c r="AJ78" s="204"/>
      <c r="AK78" s="204"/>
    </row>
    <row r="79" spans="1:38">
      <c r="B79" s="86"/>
      <c r="C79" s="104"/>
      <c r="D79" s="199"/>
      <c r="E79" s="199"/>
      <c r="F79" s="199"/>
      <c r="G79" s="199"/>
      <c r="H79" s="199"/>
      <c r="I79" s="199"/>
      <c r="J79" s="199"/>
      <c r="K79" s="199"/>
      <c r="L79" s="200"/>
      <c r="M79" s="200"/>
      <c r="N79" s="200"/>
      <c r="O79" s="200"/>
      <c r="P79" s="200"/>
      <c r="Q79" s="200"/>
      <c r="R79" s="199"/>
      <c r="S79" s="199"/>
      <c r="T79" s="104"/>
      <c r="U79" s="199"/>
      <c r="V79" s="199"/>
      <c r="W79" s="199"/>
      <c r="X79" s="199"/>
      <c r="Y79" s="199"/>
      <c r="Z79" s="199"/>
      <c r="AA79" s="199"/>
      <c r="AB79" s="199"/>
      <c r="AC79" s="199"/>
      <c r="AD79" s="199"/>
      <c r="AE79" s="199"/>
      <c r="AF79" s="199"/>
      <c r="AG79" s="199"/>
      <c r="AH79" s="199"/>
      <c r="AI79" s="199"/>
      <c r="AJ79" s="200"/>
      <c r="AK79" s="200"/>
    </row>
    <row r="80" spans="1:38" s="7" customFormat="1">
      <c r="A80" s="6"/>
      <c r="B80" s="23" t="s">
        <v>50</v>
      </c>
      <c r="C80" s="49">
        <v>2252.7089999999998</v>
      </c>
      <c r="D80" s="48">
        <v>2281.866</v>
      </c>
      <c r="E80" s="48">
        <f>2330.718</f>
        <v>2330.7179999999998</v>
      </c>
      <c r="F80" s="48">
        <v>2382.7640000000001</v>
      </c>
      <c r="G80" s="48">
        <v>2435.0650000000001</v>
      </c>
      <c r="H80" s="48">
        <v>2460.6329999999998</v>
      </c>
      <c r="I80" s="48">
        <v>2491.1019999999999</v>
      </c>
      <c r="J80" s="48">
        <v>2531.6570000000002</v>
      </c>
      <c r="K80" s="48">
        <v>2549.069</v>
      </c>
      <c r="L80" s="229"/>
      <c r="M80" s="229"/>
      <c r="N80" s="229"/>
      <c r="O80" s="229"/>
      <c r="P80" s="229"/>
      <c r="Q80" s="229"/>
      <c r="R80" s="49">
        <v>2250.0279999999998</v>
      </c>
      <c r="S80" s="50">
        <f>AVERAGE(R80,C80)</f>
        <v>2251.3684999999996</v>
      </c>
      <c r="T80" s="49">
        <v>2283.2890000000002</v>
      </c>
      <c r="U80" s="50">
        <f>AVERAGE(T80,D80)</f>
        <v>2282.5775000000003</v>
      </c>
      <c r="V80" s="48">
        <v>2308.944</v>
      </c>
      <c r="W80" s="50">
        <f>AVERAGE(V80,E80)</f>
        <v>2319.8310000000001</v>
      </c>
      <c r="X80" s="48">
        <v>2357.52</v>
      </c>
      <c r="Y80" s="50">
        <f>AVERAGE(X80,F80)</f>
        <v>2370.1419999999998</v>
      </c>
      <c r="Z80" s="48">
        <v>2412.0010000000002</v>
      </c>
      <c r="AA80" s="50">
        <f>AVERAGE(Z80,G80)</f>
        <v>2423.5330000000004</v>
      </c>
      <c r="AB80" s="48">
        <v>2450.2660000000001</v>
      </c>
      <c r="AC80" s="50">
        <f>AVERAGE(AB80,H80)</f>
        <v>2455.4494999999997</v>
      </c>
      <c r="AD80" s="48">
        <v>2491.8409999999999</v>
      </c>
      <c r="AE80" s="50">
        <f>AVERAGE(AD80,I80)</f>
        <v>2491.4714999999997</v>
      </c>
      <c r="AF80" s="48">
        <v>2514.58</v>
      </c>
      <c r="AG80" s="50">
        <f>AVERAGE(AF80,J80)</f>
        <v>2523.1185</v>
      </c>
      <c r="AH80" s="48">
        <v>2535.6039999999998</v>
      </c>
      <c r="AI80" s="50">
        <f>AVERAGE(AH80,K80)</f>
        <v>2542.3364999999999</v>
      </c>
      <c r="AJ80" s="229"/>
      <c r="AK80" s="229"/>
    </row>
    <row r="81" spans="1:37">
      <c r="B81" s="32" t="s">
        <v>265</v>
      </c>
      <c r="C81" s="199"/>
      <c r="D81" s="244">
        <f t="shared" ref="D81:K81" si="167">D80/C80-1</f>
        <v>1.2943083194500549E-2</v>
      </c>
      <c r="E81" s="244">
        <f t="shared" si="167"/>
        <v>2.1408794381440499E-2</v>
      </c>
      <c r="F81" s="244">
        <f t="shared" si="167"/>
        <v>2.2330457824584649E-2</v>
      </c>
      <c r="G81" s="244">
        <f t="shared" si="167"/>
        <v>2.1949718897884996E-2</v>
      </c>
      <c r="H81" s="244">
        <f t="shared" si="167"/>
        <v>1.0499925053335302E-2</v>
      </c>
      <c r="I81" s="244">
        <f t="shared" si="167"/>
        <v>1.2382586106908233E-2</v>
      </c>
      <c r="J81" s="244">
        <f t="shared" si="167"/>
        <v>1.6279943575172817E-2</v>
      </c>
      <c r="K81" s="279">
        <f t="shared" si="167"/>
        <v>6.8777089471441233E-3</v>
      </c>
      <c r="L81" s="200"/>
      <c r="M81" s="200"/>
      <c r="N81" s="200"/>
      <c r="O81" s="200"/>
      <c r="P81" s="200"/>
      <c r="Q81" s="200"/>
      <c r="R81" s="199"/>
      <c r="S81" s="199"/>
      <c r="T81" s="244">
        <f t="shared" ref="T81:AI81" si="168">T80/R80-1</f>
        <v>1.4782482706882094E-2</v>
      </c>
      <c r="U81" s="244">
        <f t="shared" si="168"/>
        <v>1.3862235347079199E-2</v>
      </c>
      <c r="V81" s="244">
        <f t="shared" si="168"/>
        <v>1.1235984581890346E-2</v>
      </c>
      <c r="W81" s="244">
        <f t="shared" si="168"/>
        <v>1.6320804003368883E-2</v>
      </c>
      <c r="X81" s="244">
        <f t="shared" si="168"/>
        <v>2.1038188886348008E-2</v>
      </c>
      <c r="Y81" s="244">
        <f t="shared" si="168"/>
        <v>2.1687355673753794E-2</v>
      </c>
      <c r="Z81" s="244">
        <f t="shared" si="168"/>
        <v>2.3109454002511187E-2</v>
      </c>
      <c r="AA81" s="244">
        <f t="shared" si="168"/>
        <v>2.2526498412331675E-2</v>
      </c>
      <c r="AB81" s="244">
        <f t="shared" si="168"/>
        <v>1.5864421283407371E-2</v>
      </c>
      <c r="AC81" s="244">
        <f t="shared" si="168"/>
        <v>1.3169410113251789E-2</v>
      </c>
      <c r="AD81" s="244">
        <f t="shared" si="168"/>
        <v>1.6967545564440689E-2</v>
      </c>
      <c r="AE81" s="244">
        <f t="shared" si="168"/>
        <v>1.4670226367921702E-2</v>
      </c>
      <c r="AF81" s="244">
        <f t="shared" si="168"/>
        <v>9.125381595374682E-3</v>
      </c>
      <c r="AG81" s="244">
        <f t="shared" si="168"/>
        <v>1.2702132053286741E-2</v>
      </c>
      <c r="AH81" s="244">
        <f t="shared" si="168"/>
        <v>8.3608395835486071E-3</v>
      </c>
      <c r="AI81" s="244">
        <f t="shared" si="168"/>
        <v>7.6167647298372998E-3</v>
      </c>
      <c r="AJ81" s="200"/>
      <c r="AK81" s="200"/>
    </row>
    <row r="82" spans="1:37">
      <c r="B82" s="17"/>
      <c r="C82" s="199"/>
      <c r="D82" s="199"/>
      <c r="E82" s="199"/>
      <c r="F82" s="199"/>
      <c r="G82" s="199"/>
      <c r="H82" s="199"/>
      <c r="I82" s="199"/>
      <c r="J82" s="199"/>
      <c r="K82" s="199"/>
      <c r="L82" s="200"/>
      <c r="M82" s="200"/>
      <c r="N82" s="200"/>
      <c r="O82" s="200"/>
      <c r="P82" s="200"/>
      <c r="Q82" s="200"/>
      <c r="R82" s="199"/>
      <c r="S82" s="199"/>
      <c r="T82" s="199"/>
      <c r="U82" s="199"/>
      <c r="V82" s="199"/>
      <c r="W82" s="199"/>
      <c r="X82" s="199"/>
      <c r="Y82" s="199"/>
      <c r="Z82" s="199"/>
      <c r="AA82" s="199"/>
      <c r="AB82" s="199"/>
      <c r="AC82" s="199"/>
      <c r="AD82" s="199"/>
      <c r="AE82" s="199"/>
      <c r="AF82" s="199"/>
      <c r="AG82" s="199"/>
      <c r="AH82" s="199"/>
      <c r="AI82" s="199"/>
      <c r="AJ82" s="200"/>
      <c r="AK82" s="200"/>
    </row>
    <row r="83" spans="1:37" s="7" customFormat="1">
      <c r="A83" s="6"/>
      <c r="B83" s="51" t="s">
        <v>67</v>
      </c>
      <c r="C83" s="237">
        <f t="shared" ref="C83:K83" si="169">C30/C80</f>
        <v>15.907957929763677</v>
      </c>
      <c r="D83" s="237">
        <f t="shared" si="169"/>
        <v>16.472921722835608</v>
      </c>
      <c r="E83" s="237">
        <f t="shared" si="169"/>
        <v>17.005489295573298</v>
      </c>
      <c r="F83" s="237">
        <f t="shared" si="169"/>
        <v>17.689960063187122</v>
      </c>
      <c r="G83" s="237">
        <f t="shared" si="169"/>
        <v>17.965023520932707</v>
      </c>
      <c r="H83" s="237">
        <f t="shared" si="169"/>
        <v>18.58871274180262</v>
      </c>
      <c r="I83" s="237">
        <f t="shared" si="169"/>
        <v>19.287447884510552</v>
      </c>
      <c r="J83" s="237">
        <f t="shared" si="169"/>
        <v>20.074994361400456</v>
      </c>
      <c r="K83" s="237">
        <f t="shared" si="169"/>
        <v>20.1987470719702</v>
      </c>
      <c r="L83" s="229"/>
      <c r="M83" s="229"/>
      <c r="N83" s="229"/>
      <c r="O83" s="229"/>
      <c r="P83" s="229"/>
      <c r="Q83" s="229"/>
      <c r="R83" s="237">
        <f t="shared" ref="R83:AI83" si="170">R30/R80</f>
        <v>8.3166076155496729</v>
      </c>
      <c r="S83" s="237">
        <f t="shared" si="170"/>
        <v>7.6057739992364661</v>
      </c>
      <c r="T83" s="237">
        <f t="shared" si="170"/>
        <v>8.5122820632867757</v>
      </c>
      <c r="U83" s="237">
        <f t="shared" si="170"/>
        <v>7.9528515461139859</v>
      </c>
      <c r="V83" s="237">
        <f t="shared" si="170"/>
        <v>8.630785328704377</v>
      </c>
      <c r="W83" s="237">
        <f t="shared" si="170"/>
        <v>8.495015369654082</v>
      </c>
      <c r="X83" s="237">
        <f t="shared" si="170"/>
        <v>8.9925005938443796</v>
      </c>
      <c r="Y83" s="237">
        <f t="shared" si="170"/>
        <v>8.8395547608539911</v>
      </c>
      <c r="Z83" s="237">
        <f t="shared" si="170"/>
        <v>9.5306759823068052</v>
      </c>
      <c r="AA83" s="237">
        <f t="shared" si="170"/>
        <v>8.5651814932992441</v>
      </c>
      <c r="AB83" s="237">
        <f t="shared" si="170"/>
        <v>9.7050687558003901</v>
      </c>
      <c r="AC83" s="237">
        <f t="shared" si="170"/>
        <v>8.943372690010527</v>
      </c>
      <c r="AD83" s="237">
        <f t="shared" si="170"/>
        <v>9.7859373852505041</v>
      </c>
      <c r="AE83" s="237">
        <f t="shared" si="170"/>
        <v>9.4971987437945824</v>
      </c>
      <c r="AF83" s="237">
        <f t="shared" si="170"/>
        <v>10.317826436223942</v>
      </c>
      <c r="AG83" s="237">
        <f t="shared" si="170"/>
        <v>9.8600204469191599</v>
      </c>
      <c r="AH83" s="237">
        <f t="shared" si="170"/>
        <v>10.519781480073387</v>
      </c>
      <c r="AI83" s="237">
        <f t="shared" si="170"/>
        <v>9.7603130034124135</v>
      </c>
      <c r="AJ83" s="229"/>
      <c r="AK83" s="229"/>
    </row>
    <row r="84" spans="1:37">
      <c r="B84" s="32" t="s">
        <v>265</v>
      </c>
      <c r="C84" s="199"/>
      <c r="D84" s="244">
        <f t="shared" ref="D84:K84" si="171">D83/C83-1</f>
        <v>3.5514539048087768E-2</v>
      </c>
      <c r="E84" s="244">
        <f t="shared" si="171"/>
        <v>3.2329879404417783E-2</v>
      </c>
      <c r="F84" s="244">
        <f t="shared" si="171"/>
        <v>4.0249989619057791E-2</v>
      </c>
      <c r="G84" s="244">
        <f t="shared" si="171"/>
        <v>1.554912824919219E-2</v>
      </c>
      <c r="H84" s="244">
        <f t="shared" si="171"/>
        <v>3.4716860801389693E-2</v>
      </c>
      <c r="I84" s="244">
        <f t="shared" si="171"/>
        <v>3.7589216231019851E-2</v>
      </c>
      <c r="J84" s="244">
        <f t="shared" si="171"/>
        <v>4.08320728385414E-2</v>
      </c>
      <c r="K84" s="279">
        <f t="shared" si="171"/>
        <v>6.1645203152680406E-3</v>
      </c>
      <c r="L84" s="200"/>
      <c r="M84" s="200"/>
      <c r="N84" s="200"/>
      <c r="O84" s="200"/>
      <c r="P84" s="200"/>
      <c r="Q84" s="200"/>
      <c r="R84" s="199"/>
      <c r="S84" s="199"/>
      <c r="T84" s="244">
        <f t="shared" ref="T84:AI84" si="172">T83/R83-1</f>
        <v>2.3528156765656227E-2</v>
      </c>
      <c r="U84" s="244">
        <f t="shared" si="172"/>
        <v>4.5633428880790028E-2</v>
      </c>
      <c r="V84" s="244">
        <f t="shared" si="172"/>
        <v>1.3921444864791521E-2</v>
      </c>
      <c r="W84" s="244">
        <f t="shared" si="172"/>
        <v>6.8172254995130022E-2</v>
      </c>
      <c r="X84" s="244">
        <f t="shared" si="172"/>
        <v>4.1909890162254992E-2</v>
      </c>
      <c r="Y84" s="244">
        <f t="shared" si="172"/>
        <v>4.0557830234265735E-2</v>
      </c>
      <c r="Z84" s="244">
        <f t="shared" si="172"/>
        <v>5.9847134047544159E-2</v>
      </c>
      <c r="AA84" s="244">
        <f t="shared" si="172"/>
        <v>-3.1039263286179342E-2</v>
      </c>
      <c r="AB84" s="244">
        <f t="shared" si="172"/>
        <v>1.8298048723651483E-2</v>
      </c>
      <c r="AC84" s="244">
        <f t="shared" si="172"/>
        <v>4.4154487211643056E-2</v>
      </c>
      <c r="AD84" s="244">
        <f t="shared" si="172"/>
        <v>8.3326178809173257E-3</v>
      </c>
      <c r="AE84" s="244">
        <f t="shared" si="172"/>
        <v>6.1925860967715574E-2</v>
      </c>
      <c r="AF84" s="244">
        <f t="shared" si="172"/>
        <v>5.4352386494431082E-2</v>
      </c>
      <c r="AG84" s="244">
        <f t="shared" si="172"/>
        <v>3.8203023113698942E-2</v>
      </c>
      <c r="AH84" s="244">
        <f t="shared" si="172"/>
        <v>1.957340968059107E-2</v>
      </c>
      <c r="AI84" s="244">
        <f t="shared" si="172"/>
        <v>-1.0112295815563055E-2</v>
      </c>
      <c r="AJ84" s="200"/>
      <c r="AK84" s="200"/>
    </row>
    <row r="85" spans="1:37">
      <c r="B85" s="17"/>
      <c r="C85" s="199"/>
      <c r="D85" s="199"/>
      <c r="E85" s="199"/>
      <c r="F85" s="199"/>
      <c r="G85" s="199"/>
      <c r="H85" s="199"/>
      <c r="I85" s="199"/>
      <c r="J85" s="199"/>
      <c r="K85" s="199"/>
      <c r="L85" s="200"/>
      <c r="M85" s="200"/>
      <c r="N85" s="200"/>
      <c r="O85" s="200"/>
      <c r="P85" s="200"/>
      <c r="Q85" s="200"/>
      <c r="R85" s="199"/>
      <c r="S85" s="199"/>
      <c r="T85" s="199"/>
      <c r="U85" s="199"/>
      <c r="V85" s="199"/>
      <c r="W85" s="199"/>
      <c r="X85" s="199"/>
      <c r="Y85" s="199"/>
      <c r="Z85" s="199"/>
      <c r="AA85" s="199"/>
      <c r="AB85" s="199"/>
      <c r="AC85" s="199"/>
      <c r="AD85" s="199"/>
      <c r="AE85" s="199"/>
      <c r="AF85" s="199"/>
      <c r="AG85" s="199"/>
      <c r="AH85" s="199"/>
      <c r="AI85" s="199"/>
      <c r="AJ85" s="200"/>
      <c r="AK85" s="200"/>
    </row>
    <row r="86" spans="1:37">
      <c r="B86" s="23" t="s">
        <v>65</v>
      </c>
      <c r="C86" s="215">
        <f t="shared" ref="C86:K86" si="173">(C80*1000)/C76</f>
        <v>2257.2234468937877</v>
      </c>
      <c r="D86" s="215">
        <f t="shared" si="173"/>
        <v>2263.7559523809523</v>
      </c>
      <c r="E86" s="215">
        <f t="shared" si="173"/>
        <v>2276.091796875</v>
      </c>
      <c r="F86" s="215">
        <f t="shared" si="173"/>
        <v>2267.13986679353</v>
      </c>
      <c r="G86" s="215">
        <f t="shared" si="173"/>
        <v>2267.2858472998137</v>
      </c>
      <c r="H86" s="215">
        <f t="shared" si="173"/>
        <v>2267.8645161290324</v>
      </c>
      <c r="I86" s="215">
        <f t="shared" si="173"/>
        <v>2274.9789954337898</v>
      </c>
      <c r="J86" s="215">
        <f t="shared" si="173"/>
        <v>2278.7191719171919</v>
      </c>
      <c r="K86" s="215">
        <f t="shared" si="173"/>
        <v>2282.0671441360787</v>
      </c>
      <c r="L86" s="200"/>
      <c r="M86" s="200"/>
      <c r="N86" s="200"/>
      <c r="O86" s="200"/>
      <c r="P86" s="200"/>
      <c r="Q86" s="200"/>
      <c r="R86" s="215">
        <f t="shared" ref="R86:AI86" si="174">(R80*1000)/R76</f>
        <v>2259.0642570281125</v>
      </c>
      <c r="S86" s="215">
        <f t="shared" si="174"/>
        <v>2262.6819095477381</v>
      </c>
      <c r="T86" s="215">
        <f t="shared" si="174"/>
        <v>2265.1676587301586</v>
      </c>
      <c r="U86" s="215">
        <f t="shared" si="174"/>
        <v>2271.2213930348262</v>
      </c>
      <c r="V86" s="215">
        <f t="shared" si="174"/>
        <v>2268.1178781925346</v>
      </c>
      <c r="W86" s="215">
        <f t="shared" si="174"/>
        <v>2265.4599609375</v>
      </c>
      <c r="X86" s="215">
        <f t="shared" si="174"/>
        <v>2269.0279114533205</v>
      </c>
      <c r="Y86" s="215">
        <f t="shared" si="174"/>
        <v>2252.986692015209</v>
      </c>
      <c r="Z86" s="215">
        <f t="shared" si="174"/>
        <v>2266.9182330827066</v>
      </c>
      <c r="AA86" s="215">
        <f t="shared" si="174"/>
        <v>2258.6514445479966</v>
      </c>
      <c r="AB86" s="215">
        <f t="shared" si="174"/>
        <v>2262.4801477377655</v>
      </c>
      <c r="AC86" s="215">
        <f t="shared" si="174"/>
        <v>2263.087096774193</v>
      </c>
      <c r="AD86" s="215">
        <f t="shared" si="174"/>
        <v>2279.817932296432</v>
      </c>
      <c r="AE86" s="215">
        <f t="shared" si="174"/>
        <v>2275.3164383561639</v>
      </c>
      <c r="AF86" s="215">
        <f t="shared" si="174"/>
        <v>2277.699275362319</v>
      </c>
      <c r="AG86" s="215">
        <f t="shared" si="174"/>
        <v>2271.0337533753377</v>
      </c>
      <c r="AH86" s="215">
        <f t="shared" si="174"/>
        <v>2278.1707097933513</v>
      </c>
      <c r="AI86" s="215">
        <f t="shared" si="174"/>
        <v>2276.0398388540734</v>
      </c>
      <c r="AJ86" s="200"/>
      <c r="AK86" s="200"/>
    </row>
    <row r="87" spans="1:37">
      <c r="B87" s="32" t="s">
        <v>265</v>
      </c>
      <c r="C87" s="199"/>
      <c r="D87" s="244">
        <f t="shared" ref="D87:K87" si="175">D86/C86-1</f>
        <v>2.8940446707454992E-3</v>
      </c>
      <c r="E87" s="244">
        <f t="shared" si="175"/>
        <v>5.4492819692304462E-3</v>
      </c>
      <c r="F87" s="244">
        <f t="shared" si="175"/>
        <v>-3.9330268198148888E-3</v>
      </c>
      <c r="G87" s="244">
        <f t="shared" si="175"/>
        <v>6.4389722231883439E-5</v>
      </c>
      <c r="H87" s="244">
        <f t="shared" si="175"/>
        <v>2.5522535233379884E-4</v>
      </c>
      <c r="I87" s="244">
        <f t="shared" si="175"/>
        <v>3.1370830374386482E-3</v>
      </c>
      <c r="J87" s="244">
        <f t="shared" si="175"/>
        <v>1.6440487982127827E-3</v>
      </c>
      <c r="K87" s="279">
        <f t="shared" si="175"/>
        <v>1.4692342348048282E-3</v>
      </c>
      <c r="L87" s="200"/>
      <c r="M87" s="200"/>
      <c r="N87" s="200"/>
      <c r="O87" s="200"/>
      <c r="P87" s="200"/>
      <c r="Q87" s="200"/>
      <c r="R87" s="199"/>
      <c r="S87" s="199"/>
      <c r="T87" s="244">
        <f t="shared" ref="T87:AI87" si="176">T86/R86-1</f>
        <v>2.7017388651331409E-3</v>
      </c>
      <c r="U87" s="244">
        <f t="shared" si="176"/>
        <v>3.7740539008397356E-3</v>
      </c>
      <c r="V87" s="244">
        <f t="shared" si="176"/>
        <v>1.3024287412040092E-3</v>
      </c>
      <c r="W87" s="244">
        <f t="shared" si="176"/>
        <v>-2.5367109146623434E-3</v>
      </c>
      <c r="X87" s="244">
        <f t="shared" si="176"/>
        <v>4.0122837950162804E-4</v>
      </c>
      <c r="Y87" s="244">
        <f t="shared" si="176"/>
        <v>-5.5058439069165521E-3</v>
      </c>
      <c r="Z87" s="244">
        <f t="shared" si="176"/>
        <v>-9.2977189040510666E-4</v>
      </c>
      <c r="AA87" s="244">
        <f t="shared" si="176"/>
        <v>2.5143302234602594E-3</v>
      </c>
      <c r="AB87" s="244">
        <f t="shared" si="176"/>
        <v>-1.9577615461259246E-3</v>
      </c>
      <c r="AC87" s="244">
        <f t="shared" si="176"/>
        <v>1.9638498170682084E-3</v>
      </c>
      <c r="AD87" s="244">
        <f t="shared" si="176"/>
        <v>7.6631764375931777E-3</v>
      </c>
      <c r="AE87" s="244">
        <f t="shared" si="176"/>
        <v>5.4038316065707637E-3</v>
      </c>
      <c r="AF87" s="244">
        <f t="shared" si="176"/>
        <v>-9.2930970675320079E-4</v>
      </c>
      <c r="AG87" s="244">
        <f t="shared" si="176"/>
        <v>-1.8822370851943049E-3</v>
      </c>
      <c r="AH87" s="244">
        <f t="shared" si="176"/>
        <v>2.0697834702398943E-4</v>
      </c>
      <c r="AI87" s="244">
        <f t="shared" si="176"/>
        <v>2.2043201565347115E-3</v>
      </c>
      <c r="AJ87" s="200"/>
      <c r="AK87" s="200"/>
    </row>
    <row r="88" spans="1:37">
      <c r="B88" s="32"/>
      <c r="C88" s="199"/>
      <c r="D88" s="199"/>
      <c r="E88" s="199"/>
      <c r="F88" s="199"/>
      <c r="G88" s="199"/>
      <c r="H88" s="199"/>
      <c r="I88" s="199"/>
      <c r="J88" s="199"/>
      <c r="K88" s="199"/>
      <c r="L88" s="200"/>
      <c r="M88" s="200"/>
      <c r="N88" s="200"/>
      <c r="O88" s="200"/>
      <c r="P88" s="200"/>
      <c r="Q88" s="200"/>
      <c r="R88" s="199"/>
      <c r="S88" s="199"/>
      <c r="T88" s="199"/>
      <c r="U88" s="199"/>
      <c r="V88" s="199"/>
      <c r="W88" s="199"/>
      <c r="X88" s="199"/>
      <c r="Y88" s="199"/>
      <c r="Z88" s="199"/>
      <c r="AA88" s="199"/>
      <c r="AB88" s="199"/>
      <c r="AC88" s="199"/>
      <c r="AD88" s="199"/>
      <c r="AE88" s="199"/>
      <c r="AF88" s="199"/>
      <c r="AG88" s="199"/>
      <c r="AH88" s="199"/>
      <c r="AI88" s="199"/>
      <c r="AJ88" s="200"/>
      <c r="AK88" s="200"/>
    </row>
    <row r="89" spans="1:37">
      <c r="B89" s="52" t="s">
        <v>51</v>
      </c>
      <c r="C89" s="199"/>
      <c r="D89" s="199"/>
      <c r="E89" s="199"/>
      <c r="F89" s="199"/>
      <c r="G89" s="199"/>
      <c r="H89" s="199"/>
      <c r="I89" s="199"/>
      <c r="J89" s="199"/>
      <c r="K89" s="199"/>
      <c r="L89" s="200"/>
      <c r="M89" s="200"/>
      <c r="N89" s="200"/>
      <c r="O89" s="200"/>
      <c r="P89" s="200"/>
      <c r="Q89" s="200"/>
      <c r="R89" s="199"/>
      <c r="S89" s="199"/>
      <c r="T89" s="199"/>
      <c r="U89" s="199"/>
      <c r="V89" s="199"/>
      <c r="W89" s="199"/>
      <c r="X89" s="199"/>
      <c r="Y89" s="199"/>
      <c r="Z89" s="199"/>
      <c r="AA89" s="199"/>
      <c r="AB89" s="199"/>
      <c r="AC89" s="199"/>
      <c r="AD89" s="199"/>
      <c r="AE89" s="199"/>
      <c r="AF89" s="199"/>
      <c r="AG89" s="199"/>
      <c r="AH89" s="199"/>
      <c r="AI89" s="199"/>
      <c r="AJ89" s="200"/>
      <c r="AK89" s="200"/>
    </row>
    <row r="90" spans="1:37">
      <c r="B90" s="53" t="s">
        <v>52</v>
      </c>
      <c r="C90" s="54">
        <v>312</v>
      </c>
      <c r="D90" s="54">
        <v>317</v>
      </c>
      <c r="E90" s="54">
        <v>324</v>
      </c>
      <c r="F90" s="54">
        <v>334</v>
      </c>
      <c r="G90" s="54">
        <v>343</v>
      </c>
      <c r="H90" s="54">
        <v>346</v>
      </c>
      <c r="I90" s="54">
        <v>349</v>
      </c>
      <c r="J90" s="54">
        <v>358</v>
      </c>
      <c r="K90" s="54">
        <v>357</v>
      </c>
      <c r="L90" s="200"/>
      <c r="M90" s="200"/>
      <c r="N90" s="200"/>
      <c r="O90" s="200"/>
      <c r="P90" s="200"/>
      <c r="Q90" s="200"/>
      <c r="R90" s="104">
        <v>308</v>
      </c>
      <c r="S90" s="199"/>
      <c r="T90" s="55"/>
      <c r="U90" s="55"/>
      <c r="V90" s="55"/>
      <c r="W90" s="55"/>
      <c r="X90" s="55"/>
      <c r="Y90" s="55"/>
      <c r="Z90" s="55"/>
      <c r="AA90" s="55"/>
      <c r="AB90" s="54"/>
      <c r="AC90" s="54"/>
      <c r="AD90" s="54">
        <v>348</v>
      </c>
      <c r="AE90" s="199"/>
      <c r="AF90" s="54">
        <v>353</v>
      </c>
      <c r="AG90" s="55"/>
      <c r="AH90" s="54">
        <v>359</v>
      </c>
      <c r="AI90" s="55"/>
      <c r="AJ90" s="200"/>
      <c r="AK90" s="200"/>
    </row>
    <row r="91" spans="1:37">
      <c r="B91" s="53" t="s">
        <v>53</v>
      </c>
      <c r="C91" s="54">
        <v>234</v>
      </c>
      <c r="D91" s="54">
        <v>334</v>
      </c>
      <c r="E91" s="54">
        <v>237</v>
      </c>
      <c r="F91" s="54">
        <v>242</v>
      </c>
      <c r="G91" s="54">
        <v>250</v>
      </c>
      <c r="H91" s="54">
        <v>253</v>
      </c>
      <c r="I91" s="54">
        <v>256</v>
      </c>
      <c r="J91" s="54">
        <v>260</v>
      </c>
      <c r="K91" s="54">
        <v>262</v>
      </c>
      <c r="L91" s="200"/>
      <c r="M91" s="200"/>
      <c r="N91" s="200"/>
      <c r="O91" s="200"/>
      <c r="P91" s="200"/>
      <c r="Q91" s="200"/>
      <c r="R91" s="104">
        <v>234</v>
      </c>
      <c r="S91" s="199"/>
      <c r="T91" s="55"/>
      <c r="U91" s="55"/>
      <c r="V91" s="55"/>
      <c r="W91" s="55"/>
      <c r="X91" s="55"/>
      <c r="Y91" s="55"/>
      <c r="Z91" s="55"/>
      <c r="AA91" s="55"/>
      <c r="AB91" s="54"/>
      <c r="AC91" s="54"/>
      <c r="AD91" s="54">
        <v>254</v>
      </c>
      <c r="AE91" s="199"/>
      <c r="AF91" s="54">
        <v>259</v>
      </c>
      <c r="AG91" s="55"/>
      <c r="AH91" s="54">
        <v>261</v>
      </c>
      <c r="AI91" s="55"/>
      <c r="AJ91" s="200"/>
      <c r="AK91" s="200"/>
    </row>
    <row r="92" spans="1:37">
      <c r="B92" s="53" t="s">
        <v>54</v>
      </c>
      <c r="C92" s="54">
        <v>244</v>
      </c>
      <c r="D92" s="54">
        <v>249</v>
      </c>
      <c r="E92" s="54">
        <v>253</v>
      </c>
      <c r="F92" s="54">
        <v>265</v>
      </c>
      <c r="G92" s="54">
        <v>268</v>
      </c>
      <c r="H92" s="54">
        <v>270</v>
      </c>
      <c r="I92" s="54">
        <v>273</v>
      </c>
      <c r="J92" s="54">
        <v>274</v>
      </c>
      <c r="K92" s="54">
        <v>278</v>
      </c>
      <c r="L92" s="200"/>
      <c r="M92" s="200"/>
      <c r="N92" s="200"/>
      <c r="O92" s="200"/>
      <c r="P92" s="200"/>
      <c r="Q92" s="200"/>
      <c r="R92" s="104">
        <v>243</v>
      </c>
      <c r="S92" s="199"/>
      <c r="T92" s="55"/>
      <c r="U92" s="55"/>
      <c r="V92" s="55"/>
      <c r="W92" s="55"/>
      <c r="X92" s="55"/>
      <c r="Y92" s="55"/>
      <c r="Z92" s="55"/>
      <c r="AA92" s="55"/>
      <c r="AB92" s="54"/>
      <c r="AC92" s="54"/>
      <c r="AD92" s="54">
        <v>274</v>
      </c>
      <c r="AE92" s="199"/>
      <c r="AF92" s="54">
        <v>274</v>
      </c>
      <c r="AG92" s="55"/>
      <c r="AH92" s="54">
        <v>273</v>
      </c>
      <c r="AI92" s="55"/>
      <c r="AJ92" s="200"/>
      <c r="AK92" s="200"/>
    </row>
    <row r="93" spans="1:37">
      <c r="B93" s="53" t="s">
        <v>55</v>
      </c>
      <c r="C93" s="54">
        <v>80</v>
      </c>
      <c r="D93" s="54">
        <v>79</v>
      </c>
      <c r="E93" s="54">
        <v>78</v>
      </c>
      <c r="F93" s="54">
        <v>78</v>
      </c>
      <c r="G93" s="54">
        <v>78</v>
      </c>
      <c r="H93" s="54">
        <v>79</v>
      </c>
      <c r="I93" s="54">
        <v>79</v>
      </c>
      <c r="J93" s="54">
        <v>79</v>
      </c>
      <c r="K93" s="54">
        <v>79</v>
      </c>
      <c r="L93" s="200"/>
      <c r="M93" s="200"/>
      <c r="N93" s="200"/>
      <c r="O93" s="200"/>
      <c r="P93" s="200"/>
      <c r="Q93" s="200"/>
      <c r="R93" s="104">
        <v>83</v>
      </c>
      <c r="S93" s="199"/>
      <c r="T93" s="55"/>
      <c r="U93" s="55"/>
      <c r="V93" s="55"/>
      <c r="W93" s="55"/>
      <c r="X93" s="55"/>
      <c r="Y93" s="55"/>
      <c r="Z93" s="55"/>
      <c r="AA93" s="55"/>
      <c r="AB93" s="54"/>
      <c r="AC93" s="54"/>
      <c r="AD93" s="54">
        <v>79</v>
      </c>
      <c r="AE93" s="199"/>
      <c r="AF93" s="54">
        <v>79</v>
      </c>
      <c r="AG93" s="55"/>
      <c r="AH93" s="54">
        <v>79</v>
      </c>
      <c r="AI93" s="55"/>
      <c r="AJ93" s="200"/>
      <c r="AK93" s="200"/>
    </row>
    <row r="94" spans="1:37">
      <c r="B94" s="53" t="s">
        <v>56</v>
      </c>
      <c r="C94" s="54">
        <v>94</v>
      </c>
      <c r="D94" s="54">
        <v>98</v>
      </c>
      <c r="E94" s="54">
        <v>101</v>
      </c>
      <c r="F94" s="54">
        <v>101</v>
      </c>
      <c r="G94" s="54">
        <v>104</v>
      </c>
      <c r="H94" s="54">
        <v>106</v>
      </c>
      <c r="I94" s="54">
        <v>107</v>
      </c>
      <c r="J94" s="54">
        <v>109</v>
      </c>
      <c r="K94" s="54">
        <v>110</v>
      </c>
      <c r="L94" s="200"/>
      <c r="M94" s="200"/>
      <c r="N94" s="200"/>
      <c r="O94" s="200"/>
      <c r="P94" s="200"/>
      <c r="Q94" s="200"/>
      <c r="R94" s="104">
        <v>96</v>
      </c>
      <c r="S94" s="199"/>
      <c r="T94" s="55"/>
      <c r="U94" s="55"/>
      <c r="V94" s="55"/>
      <c r="W94" s="55"/>
      <c r="X94" s="55"/>
      <c r="Y94" s="55"/>
      <c r="Z94" s="55"/>
      <c r="AA94" s="55"/>
      <c r="AB94" s="54"/>
      <c r="AC94" s="54"/>
      <c r="AD94" s="54">
        <v>107</v>
      </c>
      <c r="AE94" s="199"/>
      <c r="AF94" s="54">
        <v>108</v>
      </c>
      <c r="AG94" s="55"/>
      <c r="AH94" s="54">
        <v>110</v>
      </c>
      <c r="AI94" s="55"/>
      <c r="AJ94" s="200"/>
      <c r="AK94" s="200"/>
    </row>
    <row r="95" spans="1:37">
      <c r="B95" s="53" t="s">
        <v>57</v>
      </c>
      <c r="C95" s="54">
        <v>31</v>
      </c>
      <c r="D95" s="54">
        <v>31</v>
      </c>
      <c r="E95" s="54">
        <v>31</v>
      </c>
      <c r="F95" s="54">
        <v>31</v>
      </c>
      <c r="G95" s="54">
        <v>31</v>
      </c>
      <c r="H95" s="54">
        <v>31</v>
      </c>
      <c r="I95" s="54">
        <v>31</v>
      </c>
      <c r="J95" s="54">
        <v>31</v>
      </c>
      <c r="K95" s="54">
        <v>31</v>
      </c>
      <c r="L95" s="200"/>
      <c r="M95" s="200"/>
      <c r="N95" s="200"/>
      <c r="O95" s="200"/>
      <c r="P95" s="200"/>
      <c r="Q95" s="200"/>
      <c r="R95" s="104">
        <v>32</v>
      </c>
      <c r="S95" s="199"/>
      <c r="T95" s="55"/>
      <c r="U95" s="55"/>
      <c r="V95" s="55"/>
      <c r="W95" s="55"/>
      <c r="X95" s="55"/>
      <c r="Y95" s="55"/>
      <c r="Z95" s="55"/>
      <c r="AA95" s="55"/>
      <c r="AB95" s="54"/>
      <c r="AC95" s="54"/>
      <c r="AD95" s="54">
        <v>31</v>
      </c>
      <c r="AE95" s="199"/>
      <c r="AF95" s="54">
        <v>31</v>
      </c>
      <c r="AG95" s="55"/>
      <c r="AH95" s="54">
        <v>31</v>
      </c>
      <c r="AI95" s="55"/>
      <c r="AJ95" s="200"/>
      <c r="AK95" s="200"/>
    </row>
    <row r="96" spans="1:37">
      <c r="B96" s="53" t="s">
        <v>571</v>
      </c>
      <c r="C96" s="55"/>
      <c r="D96" s="55"/>
      <c r="E96" s="54">
        <v>2</v>
      </c>
      <c r="F96" s="54">
        <v>2</v>
      </c>
      <c r="G96" s="54">
        <v>3</v>
      </c>
      <c r="H96" s="54">
        <v>13</v>
      </c>
      <c r="I96" s="54">
        <v>41</v>
      </c>
      <c r="J96" s="54">
        <v>66</v>
      </c>
      <c r="K96" s="54">
        <v>32</v>
      </c>
      <c r="L96" s="200"/>
      <c r="M96" s="200"/>
      <c r="N96" s="200"/>
      <c r="O96" s="200"/>
      <c r="P96" s="200"/>
      <c r="Q96" s="200"/>
      <c r="R96" s="199"/>
      <c r="S96" s="199"/>
      <c r="T96" s="55"/>
      <c r="U96" s="55"/>
      <c r="V96" s="55"/>
      <c r="W96" s="55"/>
      <c r="X96" s="54"/>
      <c r="Y96" s="54"/>
      <c r="Z96" s="54"/>
      <c r="AA96" s="54"/>
      <c r="AB96" s="54"/>
      <c r="AC96" s="54"/>
      <c r="AD96" s="54"/>
      <c r="AE96" s="54"/>
      <c r="AF96" s="54">
        <v>52</v>
      </c>
      <c r="AG96" s="54"/>
      <c r="AH96" s="54">
        <v>86</v>
      </c>
      <c r="AI96" s="54"/>
      <c r="AJ96" s="200"/>
      <c r="AK96" s="200"/>
    </row>
    <row r="97" spans="1:37" s="7" customFormat="1">
      <c r="A97" s="6" t="s">
        <v>564</v>
      </c>
      <c r="B97" s="52" t="s">
        <v>58</v>
      </c>
      <c r="C97" s="215">
        <f t="shared" ref="C97:K97" si="177">SUM(C90:C95)</f>
        <v>995</v>
      </c>
      <c r="D97" s="215">
        <f t="shared" si="177"/>
        <v>1108</v>
      </c>
      <c r="E97" s="215">
        <f t="shared" si="177"/>
        <v>1024</v>
      </c>
      <c r="F97" s="215">
        <f t="shared" si="177"/>
        <v>1051</v>
      </c>
      <c r="G97" s="215">
        <f t="shared" si="177"/>
        <v>1074</v>
      </c>
      <c r="H97" s="215">
        <f t="shared" si="177"/>
        <v>1085</v>
      </c>
      <c r="I97" s="215">
        <f t="shared" si="177"/>
        <v>1095</v>
      </c>
      <c r="J97" s="215">
        <f t="shared" si="177"/>
        <v>1111</v>
      </c>
      <c r="K97" s="215">
        <f t="shared" si="177"/>
        <v>1117</v>
      </c>
      <c r="L97" s="229"/>
      <c r="M97" s="229"/>
      <c r="N97" s="229"/>
      <c r="O97" s="229"/>
      <c r="P97" s="229"/>
      <c r="Q97" s="229"/>
      <c r="R97" s="215">
        <f>SUM(R90:R95)</f>
        <v>996</v>
      </c>
      <c r="S97" s="228"/>
      <c r="T97" s="215"/>
      <c r="U97" s="215"/>
      <c r="V97" s="215"/>
      <c r="W97" s="215"/>
      <c r="X97" s="215"/>
      <c r="Y97" s="215"/>
      <c r="Z97" s="215"/>
      <c r="AA97" s="215"/>
      <c r="AB97" s="215"/>
      <c r="AC97" s="215"/>
      <c r="AD97" s="215">
        <f>SUM(AD90:AD95)</f>
        <v>1093</v>
      </c>
      <c r="AE97" s="215"/>
      <c r="AF97" s="215">
        <f>SUM(AF90:AF95)</f>
        <v>1104</v>
      </c>
      <c r="AG97" s="215"/>
      <c r="AH97" s="215">
        <f>SUM(AH90:AH95)</f>
        <v>1113</v>
      </c>
      <c r="AI97" s="215"/>
      <c r="AJ97" s="229"/>
      <c r="AK97" s="229"/>
    </row>
    <row r="98" spans="1:37">
      <c r="B98" s="32"/>
      <c r="C98" s="199"/>
      <c r="D98" s="199"/>
      <c r="E98" s="199"/>
      <c r="F98" s="199"/>
      <c r="G98" s="199"/>
      <c r="H98" s="199"/>
      <c r="I98" s="199"/>
      <c r="J98" s="199"/>
      <c r="K98" s="199"/>
      <c r="L98" s="200"/>
      <c r="M98" s="200"/>
      <c r="N98" s="200"/>
      <c r="O98" s="200"/>
      <c r="P98" s="200"/>
      <c r="Q98" s="200"/>
      <c r="R98" s="199"/>
      <c r="S98" s="199"/>
      <c r="T98" s="199"/>
      <c r="U98" s="199"/>
      <c r="V98" s="199"/>
      <c r="W98" s="199"/>
      <c r="X98" s="199"/>
      <c r="Y98" s="199"/>
      <c r="Z98" s="199"/>
      <c r="AA98" s="199"/>
      <c r="AB98" s="199"/>
      <c r="AC98" s="199"/>
      <c r="AD98" s="199"/>
      <c r="AE98" s="199"/>
      <c r="AF98" s="199"/>
      <c r="AG98" s="199"/>
      <c r="AH98" s="199"/>
      <c r="AI98" s="199"/>
      <c r="AJ98" s="200"/>
      <c r="AK98" s="200"/>
    </row>
    <row r="99" spans="1:37">
      <c r="B99" s="23" t="s">
        <v>59</v>
      </c>
      <c r="C99" s="49">
        <v>72</v>
      </c>
      <c r="D99" s="28">
        <f>80+54-11</f>
        <v>123</v>
      </c>
      <c r="E99" s="28">
        <v>68</v>
      </c>
      <c r="F99" s="57">
        <v>69</v>
      </c>
      <c r="G99" s="57">
        <v>65</v>
      </c>
      <c r="H99" s="57">
        <v>58</v>
      </c>
      <c r="I99" s="57">
        <v>39</v>
      </c>
      <c r="J99" s="57">
        <v>48</v>
      </c>
      <c r="K99" s="57">
        <v>63</v>
      </c>
      <c r="L99" s="200"/>
      <c r="M99" s="200"/>
      <c r="N99" s="200"/>
      <c r="O99" s="200"/>
      <c r="P99" s="200"/>
      <c r="Q99" s="200"/>
      <c r="R99" s="49">
        <v>26</v>
      </c>
      <c r="S99" s="49"/>
      <c r="T99" s="49">
        <v>37</v>
      </c>
      <c r="U99" s="56"/>
      <c r="V99" s="57">
        <v>43</v>
      </c>
      <c r="W99" s="56"/>
      <c r="X99" s="57">
        <v>36</v>
      </c>
      <c r="Y99" s="56"/>
      <c r="Z99" s="57">
        <v>35</v>
      </c>
      <c r="AA99" s="57"/>
      <c r="AB99" s="57">
        <v>27</v>
      </c>
      <c r="AC99" s="57"/>
      <c r="AD99" s="57">
        <v>23</v>
      </c>
      <c r="AE99" s="57"/>
      <c r="AF99" s="57">
        <v>23</v>
      </c>
      <c r="AG99" s="57"/>
      <c r="AH99" s="57">
        <v>30</v>
      </c>
      <c r="AI99" s="57"/>
      <c r="AJ99" s="200"/>
      <c r="AK99" s="200"/>
    </row>
    <row r="100" spans="1:37">
      <c r="B100" s="32"/>
      <c r="C100" s="199"/>
      <c r="D100" s="199"/>
      <c r="E100" s="199"/>
      <c r="F100" s="199"/>
      <c r="G100" s="199"/>
      <c r="H100" s="199"/>
      <c r="I100" s="199"/>
      <c r="J100" s="199"/>
      <c r="K100" s="199"/>
      <c r="L100" s="200"/>
      <c r="M100" s="200"/>
      <c r="N100" s="200"/>
      <c r="O100" s="200"/>
      <c r="P100" s="200"/>
      <c r="Q100" s="200"/>
      <c r="R100" s="199"/>
      <c r="S100" s="199"/>
      <c r="T100" s="199"/>
      <c r="U100" s="199"/>
      <c r="V100" s="199"/>
      <c r="W100" s="199"/>
      <c r="X100" s="199"/>
      <c r="Y100" s="199"/>
      <c r="Z100" s="199"/>
      <c r="AA100" s="199"/>
      <c r="AB100" s="199"/>
      <c r="AC100" s="199"/>
      <c r="AD100" s="199"/>
      <c r="AE100" s="199"/>
      <c r="AF100" s="199"/>
      <c r="AG100" s="199"/>
      <c r="AH100" s="199"/>
      <c r="AI100" s="199"/>
      <c r="AJ100" s="200"/>
      <c r="AK100" s="200"/>
    </row>
    <row r="101" spans="1:37">
      <c r="B101" s="41"/>
      <c r="C101" s="199"/>
      <c r="D101" s="199"/>
      <c r="E101" s="199"/>
      <c r="F101" s="199"/>
      <c r="G101" s="199"/>
      <c r="H101" s="199"/>
      <c r="I101" s="199"/>
      <c r="J101" s="199"/>
      <c r="K101" s="199"/>
      <c r="L101" s="200"/>
      <c r="M101" s="200"/>
      <c r="N101" s="200"/>
      <c r="O101" s="200"/>
      <c r="P101" s="200"/>
      <c r="Q101" s="200"/>
      <c r="R101" s="199"/>
      <c r="S101" s="199"/>
      <c r="T101" s="199"/>
      <c r="U101" s="199"/>
      <c r="V101" s="199"/>
      <c r="W101" s="199"/>
      <c r="X101" s="199"/>
      <c r="Y101" s="199"/>
      <c r="Z101" s="199"/>
      <c r="AA101" s="199"/>
      <c r="AB101" s="199"/>
      <c r="AC101" s="199"/>
      <c r="AD101" s="199"/>
      <c r="AE101" s="199"/>
      <c r="AF101" s="199"/>
      <c r="AG101" s="199"/>
      <c r="AH101" s="199"/>
      <c r="AI101" s="57"/>
      <c r="AJ101" s="200"/>
      <c r="AK101" s="200"/>
    </row>
    <row r="102" spans="1:37">
      <c r="B102" s="52" t="s">
        <v>60</v>
      </c>
      <c r="C102" s="199"/>
      <c r="D102" s="199"/>
      <c r="E102" s="199"/>
      <c r="F102" s="199"/>
      <c r="G102" s="199"/>
      <c r="H102" s="199"/>
      <c r="I102" s="199"/>
      <c r="J102" s="199"/>
      <c r="K102" s="199"/>
      <c r="L102" s="200"/>
      <c r="M102" s="200"/>
      <c r="N102" s="200"/>
      <c r="O102" s="200"/>
      <c r="P102" s="200"/>
      <c r="Q102" s="200"/>
      <c r="R102" s="199"/>
      <c r="S102" s="199"/>
      <c r="T102" s="199"/>
      <c r="U102" s="199"/>
      <c r="V102" s="199"/>
      <c r="W102" s="199"/>
      <c r="X102" s="199"/>
      <c r="Y102" s="199"/>
      <c r="Z102" s="199"/>
      <c r="AA102" s="199"/>
      <c r="AB102" s="199"/>
      <c r="AC102" s="199"/>
      <c r="AD102" s="199"/>
      <c r="AE102" s="199"/>
      <c r="AF102" s="199"/>
      <c r="AG102" s="199"/>
      <c r="AH102" s="199"/>
      <c r="AI102" s="199"/>
      <c r="AJ102" s="200"/>
      <c r="AK102" s="200"/>
    </row>
    <row r="103" spans="1:37">
      <c r="B103" s="52" t="s">
        <v>64</v>
      </c>
      <c r="C103" s="26"/>
      <c r="D103" s="28">
        <v>1100</v>
      </c>
      <c r="E103" s="28">
        <f>395+368+346+335</f>
        <v>1444</v>
      </c>
      <c r="F103" s="57">
        <v>2017</v>
      </c>
      <c r="G103" s="28">
        <v>3286</v>
      </c>
      <c r="H103" s="28">
        <v>4937</v>
      </c>
      <c r="I103" s="28">
        <v>5079</v>
      </c>
      <c r="J103" s="28">
        <v>6226</v>
      </c>
      <c r="K103" s="28">
        <v>7309</v>
      </c>
      <c r="L103" s="216">
        <f>K103*(1+L104)</f>
        <v>8259.17</v>
      </c>
      <c r="M103" s="216">
        <f t="shared" ref="M103" si="178">L103*(1+M104)</f>
        <v>9085.0870000000014</v>
      </c>
      <c r="N103" s="216">
        <f t="shared" ref="N103" si="179">M103*(1+N104)</f>
        <v>9993.5957000000017</v>
      </c>
      <c r="O103" s="216">
        <f t="shared" ref="O103" si="180">N103*(1+O104)</f>
        <v>10992.955270000002</v>
      </c>
      <c r="P103" s="216">
        <f t="shared" ref="P103" si="181">O103*(1+P104)</f>
        <v>12092.250797000004</v>
      </c>
      <c r="Q103" s="200"/>
      <c r="R103" s="58"/>
      <c r="S103" s="58"/>
      <c r="T103" s="59">
        <f>D103-U103</f>
        <v>543</v>
      </c>
      <c r="U103" s="57">
        <f>277+280</f>
        <v>557</v>
      </c>
      <c r="V103" s="57">
        <f>355+343</f>
        <v>698</v>
      </c>
      <c r="W103" s="56">
        <f>E103-V103</f>
        <v>746</v>
      </c>
      <c r="X103" s="57">
        <f>462+480</f>
        <v>942</v>
      </c>
      <c r="Y103" s="56">
        <f>F103-X103</f>
        <v>1075</v>
      </c>
      <c r="Z103" s="57">
        <v>1697</v>
      </c>
      <c r="AA103" s="56">
        <f>G103-Z103</f>
        <v>1589</v>
      </c>
      <c r="AB103" s="57">
        <v>2547</v>
      </c>
      <c r="AC103" s="39">
        <f>H103-AB103</f>
        <v>2390</v>
      </c>
      <c r="AD103" s="28">
        <v>2356</v>
      </c>
      <c r="AE103" s="39">
        <f>I103-AD103</f>
        <v>2723</v>
      </c>
      <c r="AF103" s="28">
        <v>3113</v>
      </c>
      <c r="AG103" s="39">
        <f>J103-AF103</f>
        <v>3113</v>
      </c>
      <c r="AH103" s="28">
        <v>3735</v>
      </c>
      <c r="AI103" s="39">
        <f>K103-AH103</f>
        <v>3574</v>
      </c>
      <c r="AJ103" s="216">
        <f>AH103*(1+AJ104)</f>
        <v>3921.75</v>
      </c>
      <c r="AK103" s="216">
        <f>L103-AJ103</f>
        <v>4337.42</v>
      </c>
    </row>
    <row r="104" spans="1:37">
      <c r="B104" s="32" t="s">
        <v>265</v>
      </c>
      <c r="C104" s="199"/>
      <c r="D104" s="244"/>
      <c r="E104" s="244">
        <f t="shared" ref="E104:K104" si="182">E103/D103-1</f>
        <v>0.31272727272727274</v>
      </c>
      <c r="F104" s="244">
        <f t="shared" si="182"/>
        <v>0.39681440443213289</v>
      </c>
      <c r="G104" s="244">
        <f t="shared" si="182"/>
        <v>0.62915220624690127</v>
      </c>
      <c r="H104" s="244">
        <f t="shared" si="182"/>
        <v>0.5024345709068776</v>
      </c>
      <c r="I104" s="244">
        <f t="shared" si="182"/>
        <v>2.8762406319627232E-2</v>
      </c>
      <c r="J104" s="244">
        <f t="shared" si="182"/>
        <v>0.22583185666469774</v>
      </c>
      <c r="K104" s="279">
        <f t="shared" si="182"/>
        <v>0.1739479601670415</v>
      </c>
      <c r="L104" s="160">
        <v>0.13</v>
      </c>
      <c r="M104" s="160">
        <v>0.1</v>
      </c>
      <c r="N104" s="160">
        <v>0.1</v>
      </c>
      <c r="O104" s="160">
        <v>0.1</v>
      </c>
      <c r="P104" s="160">
        <v>0.1</v>
      </c>
      <c r="Q104" s="200"/>
      <c r="R104" s="199"/>
      <c r="S104" s="199"/>
      <c r="T104" s="244"/>
      <c r="U104" s="244"/>
      <c r="V104" s="244">
        <f t="shared" ref="V104:AI104" si="183">V103/T103-1</f>
        <v>0.28545119705340705</v>
      </c>
      <c r="W104" s="244">
        <f t="shared" si="183"/>
        <v>0.33931777378815076</v>
      </c>
      <c r="X104" s="244">
        <f t="shared" si="183"/>
        <v>0.34957020057306587</v>
      </c>
      <c r="Y104" s="244">
        <f t="shared" si="183"/>
        <v>0.44101876675603213</v>
      </c>
      <c r="Z104" s="244">
        <f t="shared" si="183"/>
        <v>0.80148619957537148</v>
      </c>
      <c r="AA104" s="244">
        <f t="shared" si="183"/>
        <v>0.47813953488372096</v>
      </c>
      <c r="AB104" s="244">
        <f t="shared" si="183"/>
        <v>0.50088391278727173</v>
      </c>
      <c r="AC104" s="244">
        <f t="shared" si="183"/>
        <v>0.50409062303335439</v>
      </c>
      <c r="AD104" s="244">
        <f t="shared" si="183"/>
        <v>-7.4990184530820625E-2</v>
      </c>
      <c r="AE104" s="244">
        <f t="shared" si="183"/>
        <v>0.13933054393305433</v>
      </c>
      <c r="AF104" s="244">
        <f t="shared" si="183"/>
        <v>0.32130730050933787</v>
      </c>
      <c r="AG104" s="244">
        <f t="shared" si="183"/>
        <v>0.14322438486962907</v>
      </c>
      <c r="AH104" s="244">
        <f t="shared" si="183"/>
        <v>0.19980725987793124</v>
      </c>
      <c r="AI104" s="244">
        <f t="shared" si="183"/>
        <v>0.14808866045615154</v>
      </c>
      <c r="AJ104" s="160">
        <v>0.05</v>
      </c>
      <c r="AK104" s="166">
        <f>AK103/AI103-1</f>
        <v>0.21360380526021272</v>
      </c>
    </row>
    <row r="105" spans="1:37">
      <c r="B105" s="32" t="s">
        <v>203</v>
      </c>
      <c r="C105" s="199"/>
      <c r="D105" s="244">
        <f t="shared" ref="D105:P105" si="184">D103/D30</f>
        <v>2.9263880390539787E-2</v>
      </c>
      <c r="E105" s="244">
        <f t="shared" si="184"/>
        <v>3.6432446070392331E-2</v>
      </c>
      <c r="F105" s="244">
        <f t="shared" si="184"/>
        <v>4.7851771013736326E-2</v>
      </c>
      <c r="G105" s="244">
        <f t="shared" si="184"/>
        <v>7.5115439125862937E-2</v>
      </c>
      <c r="H105" s="244">
        <f t="shared" si="184"/>
        <v>0.10793616090948842</v>
      </c>
      <c r="I105" s="244">
        <f t="shared" si="184"/>
        <v>0.10570899327741587</v>
      </c>
      <c r="J105" s="244">
        <f t="shared" si="184"/>
        <v>0.12250359089388663</v>
      </c>
      <c r="K105" s="244">
        <f t="shared" si="184"/>
        <v>0.14195540708514606</v>
      </c>
      <c r="L105" s="166">
        <f t="shared" si="184"/>
        <v>0.1548088088590272</v>
      </c>
      <c r="M105" s="166">
        <f t="shared" si="184"/>
        <v>0.16370059613852045</v>
      </c>
      <c r="N105" s="166">
        <f t="shared" si="184"/>
        <v>0.17313194403875648</v>
      </c>
      <c r="O105" s="166">
        <f t="shared" si="184"/>
        <v>0.18313638895767251</v>
      </c>
      <c r="P105" s="166">
        <f t="shared" si="184"/>
        <v>0.19374959268258291</v>
      </c>
      <c r="Q105" s="200"/>
      <c r="R105" s="199"/>
      <c r="S105" s="199"/>
      <c r="T105" s="244">
        <f t="shared" ref="T105:AK105" si="185">T103/T30</f>
        <v>2.7937847293681827E-2</v>
      </c>
      <c r="U105" s="244">
        <f t="shared" si="185"/>
        <v>3.0683633559191317E-2</v>
      </c>
      <c r="V105" s="244">
        <f t="shared" si="185"/>
        <v>3.502609393817744E-2</v>
      </c>
      <c r="W105" s="244">
        <f t="shared" si="185"/>
        <v>3.7854569442330135E-2</v>
      </c>
      <c r="X105" s="244">
        <f t="shared" si="185"/>
        <v>4.4433962264150945E-2</v>
      </c>
      <c r="Y105" s="244">
        <f t="shared" si="185"/>
        <v>5.1310199990453914E-2</v>
      </c>
      <c r="Z105" s="244">
        <f t="shared" si="185"/>
        <v>7.3821124064729418E-2</v>
      </c>
      <c r="AA105" s="244">
        <f t="shared" si="185"/>
        <v>7.6548800462472297E-2</v>
      </c>
      <c r="AB105" s="244">
        <f t="shared" si="185"/>
        <v>0.10710681244743482</v>
      </c>
      <c r="AC105" s="244">
        <f t="shared" si="185"/>
        <v>0.10883424408014572</v>
      </c>
      <c r="AD105" s="244">
        <f t="shared" si="185"/>
        <v>9.6616772606110318E-2</v>
      </c>
      <c r="AE105" s="244">
        <f t="shared" si="185"/>
        <v>0.11507902966782182</v>
      </c>
      <c r="AF105" s="244">
        <f t="shared" si="185"/>
        <v>0.11998458277124686</v>
      </c>
      <c r="AG105" s="244">
        <f t="shared" si="185"/>
        <v>0.12513063751105394</v>
      </c>
      <c r="AH105" s="244">
        <f t="shared" si="185"/>
        <v>0.14002399340181451</v>
      </c>
      <c r="AI105" s="244">
        <f t="shared" si="185"/>
        <v>0.14403159506730071</v>
      </c>
      <c r="AJ105" s="166">
        <f t="shared" si="185"/>
        <v>0.14200075225871855</v>
      </c>
      <c r="AK105" s="166">
        <f t="shared" si="185"/>
        <v>0.16855500971810927</v>
      </c>
    </row>
    <row r="106" spans="1:37">
      <c r="B106" s="32" t="s">
        <v>268</v>
      </c>
      <c r="C106" s="199"/>
      <c r="D106" s="199"/>
      <c r="E106" s="244">
        <f t="shared" ref="E106:K106" si="186">E105-D105</f>
        <v>7.1685656798525441E-3</v>
      </c>
      <c r="F106" s="244">
        <f t="shared" si="186"/>
        <v>1.1419324943343995E-2</v>
      </c>
      <c r="G106" s="244">
        <f t="shared" si="186"/>
        <v>2.7263668112126611E-2</v>
      </c>
      <c r="H106" s="244">
        <f t="shared" si="186"/>
        <v>3.2820721783625481E-2</v>
      </c>
      <c r="I106" s="244">
        <f t="shared" si="186"/>
        <v>-2.2271676320725492E-3</v>
      </c>
      <c r="J106" s="244">
        <f t="shared" si="186"/>
        <v>1.6794597616470758E-2</v>
      </c>
      <c r="K106" s="244">
        <f t="shared" si="186"/>
        <v>1.9451816191259436E-2</v>
      </c>
      <c r="L106" s="166">
        <f t="shared" ref="L106:P106" si="187">L105-K105</f>
        <v>1.285340177388114E-2</v>
      </c>
      <c r="M106" s="166">
        <f t="shared" si="187"/>
        <v>8.8917872794932462E-3</v>
      </c>
      <c r="N106" s="166">
        <f t="shared" si="187"/>
        <v>9.4313479002360312E-3</v>
      </c>
      <c r="O106" s="166">
        <f t="shared" si="187"/>
        <v>1.0004444918916028E-2</v>
      </c>
      <c r="P106" s="166">
        <f t="shared" si="187"/>
        <v>1.0613203724910397E-2</v>
      </c>
      <c r="Q106" s="200"/>
      <c r="R106" s="199"/>
      <c r="S106" s="199"/>
      <c r="T106" s="199"/>
      <c r="U106" s="199"/>
      <c r="V106" s="244">
        <f t="shared" ref="V106:AI106" si="188">V105-T105</f>
        <v>7.0882466444956126E-3</v>
      </c>
      <c r="W106" s="244">
        <f t="shared" si="188"/>
        <v>7.1709358831388188E-3</v>
      </c>
      <c r="X106" s="244">
        <f t="shared" si="188"/>
        <v>9.4078683259735049E-3</v>
      </c>
      <c r="Y106" s="244">
        <f t="shared" si="188"/>
        <v>1.3455630548123779E-2</v>
      </c>
      <c r="Z106" s="244">
        <f t="shared" si="188"/>
        <v>2.9387161800578473E-2</v>
      </c>
      <c r="AA106" s="244">
        <f t="shared" si="188"/>
        <v>2.5238600472018383E-2</v>
      </c>
      <c r="AB106" s="244">
        <f t="shared" si="188"/>
        <v>3.3285688382705403E-2</v>
      </c>
      <c r="AC106" s="244">
        <f t="shared" si="188"/>
        <v>3.2285443617673423E-2</v>
      </c>
      <c r="AD106" s="244">
        <f t="shared" si="188"/>
        <v>-1.0490039841324503E-2</v>
      </c>
      <c r="AE106" s="244">
        <f t="shared" si="188"/>
        <v>6.2447855876761049E-3</v>
      </c>
      <c r="AF106" s="244">
        <f t="shared" si="188"/>
        <v>2.3367810165136546E-2</v>
      </c>
      <c r="AG106" s="244">
        <f t="shared" si="188"/>
        <v>1.0051607843232113E-2</v>
      </c>
      <c r="AH106" s="244">
        <f t="shared" si="188"/>
        <v>2.0039410630567647E-2</v>
      </c>
      <c r="AI106" s="244">
        <f t="shared" si="188"/>
        <v>1.8900957556246767E-2</v>
      </c>
      <c r="AJ106" s="166">
        <f t="shared" ref="AJ106:AK106" si="189">AJ105-AH105</f>
        <v>1.9767588569040428E-3</v>
      </c>
      <c r="AK106" s="166">
        <f t="shared" si="189"/>
        <v>2.4523414650808567E-2</v>
      </c>
    </row>
    <row r="107" spans="1:37">
      <c r="B107" s="32" t="s">
        <v>562</v>
      </c>
      <c r="C107" s="199"/>
      <c r="D107" s="199"/>
      <c r="E107" s="244">
        <f>(E103-D103)/D30</f>
        <v>9.1516135039506237E-3</v>
      </c>
      <c r="F107" s="244">
        <f t="shared" ref="F107:P107" si="190">(F103-E103)/E30</f>
        <v>1.4456919389428535E-2</v>
      </c>
      <c r="G107" s="244">
        <f t="shared" si="190"/>
        <v>3.0106047306113735E-2</v>
      </c>
      <c r="H107" s="244">
        <f t="shared" si="190"/>
        <v>3.7740593425684636E-2</v>
      </c>
      <c r="I107" s="244">
        <f t="shared" si="190"/>
        <v>3.1045037166593792E-3</v>
      </c>
      <c r="J107" s="244">
        <f t="shared" si="190"/>
        <v>2.3872458217994882E-2</v>
      </c>
      <c r="K107" s="244">
        <f t="shared" si="190"/>
        <v>2.130924974912933E-2</v>
      </c>
      <c r="L107" s="369">
        <f>(L103-K103)/K30</f>
        <v>1.8454202921068988E-2</v>
      </c>
      <c r="M107" s="369">
        <f t="shared" si="190"/>
        <v>1.5480880885902744E-2</v>
      </c>
      <c r="N107" s="369">
        <f t="shared" si="190"/>
        <v>1.6370059613852048E-2</v>
      </c>
      <c r="O107" s="369">
        <f t="shared" si="190"/>
        <v>1.7313194403875656E-2</v>
      </c>
      <c r="P107" s="369">
        <f t="shared" si="190"/>
        <v>1.831363889576728E-2</v>
      </c>
      <c r="Q107" s="200"/>
      <c r="R107" s="199"/>
      <c r="S107" s="199"/>
      <c r="T107" s="199"/>
      <c r="U107" s="199"/>
      <c r="V107" s="244"/>
      <c r="W107" s="244"/>
      <c r="X107" s="244"/>
      <c r="Y107" s="244"/>
      <c r="Z107" s="244"/>
      <c r="AA107" s="244"/>
      <c r="AB107" s="244"/>
      <c r="AC107" s="244"/>
      <c r="AD107" s="244"/>
      <c r="AE107" s="244"/>
      <c r="AF107" s="244"/>
      <c r="AG107" s="244"/>
      <c r="AH107" s="244"/>
      <c r="AI107" s="244"/>
      <c r="AJ107" s="166"/>
      <c r="AK107" s="166"/>
    </row>
    <row r="108" spans="1:37">
      <c r="B108" s="32"/>
      <c r="C108" s="199"/>
      <c r="D108" s="199"/>
      <c r="E108" s="199"/>
      <c r="F108" s="199"/>
      <c r="G108" s="199"/>
      <c r="H108" s="199"/>
      <c r="I108" s="199"/>
      <c r="J108" s="199"/>
      <c r="K108" s="199"/>
      <c r="L108" s="200"/>
      <c r="M108" s="200"/>
      <c r="N108" s="200"/>
      <c r="O108" s="200"/>
      <c r="P108" s="200"/>
      <c r="Q108" s="200"/>
      <c r="R108" s="199"/>
      <c r="S108" s="199"/>
      <c r="T108" s="199"/>
      <c r="U108" s="199"/>
      <c r="V108" s="199"/>
      <c r="W108" s="199"/>
      <c r="X108" s="199"/>
      <c r="Y108" s="199"/>
      <c r="Z108" s="199"/>
      <c r="AA108" s="199"/>
      <c r="AB108" s="199"/>
      <c r="AC108" s="199"/>
      <c r="AD108" s="199"/>
      <c r="AE108" s="199"/>
      <c r="AF108" s="199"/>
      <c r="AG108" s="199"/>
      <c r="AH108" s="199"/>
      <c r="AI108" s="199"/>
      <c r="AJ108" s="200"/>
      <c r="AK108" s="200"/>
    </row>
    <row r="109" spans="1:37">
      <c r="B109" s="52" t="s">
        <v>39</v>
      </c>
      <c r="C109" s="60"/>
      <c r="D109" s="60"/>
      <c r="E109" s="46"/>
      <c r="F109" s="46"/>
      <c r="G109" s="46"/>
      <c r="H109" s="28">
        <v>93</v>
      </c>
      <c r="I109" s="28">
        <v>89</v>
      </c>
      <c r="J109" s="28">
        <v>201</v>
      </c>
      <c r="K109" s="28">
        <v>207</v>
      </c>
      <c r="L109" s="216">
        <f>L103*L111</f>
        <v>242.16917000000001</v>
      </c>
      <c r="M109" s="216">
        <f t="shared" ref="M109:P109" si="191">M103*M111</f>
        <v>275.47117400000008</v>
      </c>
      <c r="N109" s="216">
        <f t="shared" si="191"/>
        <v>313.01188710000008</v>
      </c>
      <c r="O109" s="216">
        <f t="shared" si="191"/>
        <v>355.30603108000008</v>
      </c>
      <c r="P109" s="216">
        <f t="shared" si="191"/>
        <v>402.9288849850002</v>
      </c>
      <c r="Q109" s="200"/>
      <c r="R109" s="60"/>
      <c r="S109" s="60"/>
      <c r="T109" s="60"/>
      <c r="U109" s="60"/>
      <c r="V109" s="46"/>
      <c r="W109" s="46"/>
      <c r="X109" s="46"/>
      <c r="Y109" s="46"/>
      <c r="Z109" s="46"/>
      <c r="AA109" s="46"/>
      <c r="AB109" s="28">
        <v>71</v>
      </c>
      <c r="AC109" s="39">
        <f>H109-AB109</f>
        <v>22</v>
      </c>
      <c r="AD109" s="28">
        <v>34</v>
      </c>
      <c r="AE109" s="39">
        <f>I109-AD109</f>
        <v>55</v>
      </c>
      <c r="AF109" s="28">
        <v>89</v>
      </c>
      <c r="AG109" s="39">
        <f>J109-AF109</f>
        <v>112</v>
      </c>
      <c r="AH109" s="28">
        <v>97</v>
      </c>
      <c r="AI109" s="39">
        <f>K109-AH109</f>
        <v>110</v>
      </c>
      <c r="AJ109" s="216">
        <f>AJ103*AJ111</f>
        <v>105.77175000000001</v>
      </c>
      <c r="AK109" s="216">
        <f>L109-AJ109</f>
        <v>136.39742000000001</v>
      </c>
    </row>
    <row r="110" spans="1:37">
      <c r="B110" s="32" t="s">
        <v>265</v>
      </c>
      <c r="C110" s="199"/>
      <c r="D110" s="244"/>
      <c r="E110" s="244"/>
      <c r="F110" s="244"/>
      <c r="G110" s="244"/>
      <c r="H110" s="244"/>
      <c r="I110" s="244">
        <f>I109/H109-1</f>
        <v>-4.3010752688172005E-2</v>
      </c>
      <c r="J110" s="244">
        <f>J109/I109-1</f>
        <v>1.2584269662921348</v>
      </c>
      <c r="K110" s="279">
        <f>K109/J109-1</f>
        <v>2.9850746268656803E-2</v>
      </c>
      <c r="L110" s="274">
        <f t="shared" ref="L110:P110" si="192">L109/K109-1</f>
        <v>0.16989937198067628</v>
      </c>
      <c r="M110" s="274">
        <f t="shared" si="192"/>
        <v>0.13751545665371068</v>
      </c>
      <c r="N110" s="274">
        <f t="shared" si="192"/>
        <v>0.1362781903996968</v>
      </c>
      <c r="O110" s="274">
        <f t="shared" si="192"/>
        <v>0.13511992906035553</v>
      </c>
      <c r="P110" s="274">
        <f t="shared" si="192"/>
        <v>0.13403333954181451</v>
      </c>
      <c r="Q110" s="200"/>
      <c r="R110" s="199"/>
      <c r="S110" s="199"/>
      <c r="T110" s="244"/>
      <c r="U110" s="244"/>
      <c r="V110" s="244"/>
      <c r="W110" s="244"/>
      <c r="X110" s="244"/>
      <c r="Y110" s="244"/>
      <c r="Z110" s="244"/>
      <c r="AA110" s="244"/>
      <c r="AB110" s="244"/>
      <c r="AC110" s="244"/>
      <c r="AD110" s="244">
        <f t="shared" ref="AD110:AI110" si="193">AD109/AB109-1</f>
        <v>-0.52112676056338025</v>
      </c>
      <c r="AE110" s="244">
        <f t="shared" si="193"/>
        <v>1.5</v>
      </c>
      <c r="AF110" s="244">
        <f t="shared" si="193"/>
        <v>1.6176470588235294</v>
      </c>
      <c r="AG110" s="244">
        <f t="shared" si="193"/>
        <v>1.0363636363636362</v>
      </c>
      <c r="AH110" s="244">
        <f t="shared" si="193"/>
        <v>8.98876404494382E-2</v>
      </c>
      <c r="AI110" s="244">
        <f t="shared" si="193"/>
        <v>-1.7857142857142905E-2</v>
      </c>
      <c r="AJ110" s="166">
        <f t="shared" ref="AJ110:AK110" si="194">AJ109/AH109-1</f>
        <v>9.0430412371134139E-2</v>
      </c>
      <c r="AK110" s="166">
        <f t="shared" si="194"/>
        <v>0.2399765454545455</v>
      </c>
    </row>
    <row r="111" spans="1:37">
      <c r="B111" s="32" t="s">
        <v>259</v>
      </c>
      <c r="C111" s="199"/>
      <c r="D111" s="199"/>
      <c r="E111" s="199"/>
      <c r="F111" s="199"/>
      <c r="G111" s="199"/>
      <c r="H111" s="256">
        <f>H109/H103</f>
        <v>1.883735061778408E-2</v>
      </c>
      <c r="I111" s="256">
        <f>I109/I103</f>
        <v>1.752313447529041E-2</v>
      </c>
      <c r="J111" s="256">
        <f>J109/J103</f>
        <v>3.2283970446514619E-2</v>
      </c>
      <c r="K111" s="256">
        <f>K109/K103</f>
        <v>2.8321247776713642E-2</v>
      </c>
      <c r="L111" s="166">
        <f>K111+L112</f>
        <v>2.9321247776713643E-2</v>
      </c>
      <c r="M111" s="166">
        <f t="shared" ref="M111:P111" si="195">L111+M112</f>
        <v>3.0321247776713644E-2</v>
      </c>
      <c r="N111" s="166">
        <f t="shared" si="195"/>
        <v>3.1321247776713641E-2</v>
      </c>
      <c r="O111" s="166">
        <f t="shared" si="195"/>
        <v>3.2321247776713642E-2</v>
      </c>
      <c r="P111" s="166">
        <f t="shared" si="195"/>
        <v>3.3321247776713643E-2</v>
      </c>
      <c r="Q111" s="166"/>
      <c r="R111" s="199"/>
      <c r="S111" s="199"/>
      <c r="T111" s="199"/>
      <c r="U111" s="199"/>
      <c r="V111" s="199"/>
      <c r="W111" s="199"/>
      <c r="X111" s="199"/>
      <c r="Y111" s="199"/>
      <c r="Z111" s="199"/>
      <c r="AA111" s="199"/>
      <c r="AB111" s="256">
        <f>AB109/AB103</f>
        <v>2.7875932469572047E-2</v>
      </c>
      <c r="AC111" s="256">
        <f t="shared" ref="AC111:AK111" si="196">AC109/AC103</f>
        <v>9.2050209205020925E-3</v>
      </c>
      <c r="AD111" s="256">
        <f t="shared" si="196"/>
        <v>1.4431239388794566E-2</v>
      </c>
      <c r="AE111" s="256">
        <f t="shared" si="196"/>
        <v>2.0198310686742563E-2</v>
      </c>
      <c r="AF111" s="256">
        <f t="shared" si="196"/>
        <v>2.8589784773530358E-2</v>
      </c>
      <c r="AG111" s="256">
        <f t="shared" si="196"/>
        <v>3.5978156119498873E-2</v>
      </c>
      <c r="AH111" s="256">
        <f t="shared" si="196"/>
        <v>2.5970548862115129E-2</v>
      </c>
      <c r="AI111" s="256">
        <f t="shared" si="196"/>
        <v>3.0777839955232231E-2</v>
      </c>
      <c r="AJ111" s="166">
        <f>AH111+AJ112</f>
        <v>2.697054886211513E-2</v>
      </c>
      <c r="AK111" s="257">
        <f t="shared" si="196"/>
        <v>3.1446671062521039E-2</v>
      </c>
    </row>
    <row r="112" spans="1:37">
      <c r="B112" s="32" t="s">
        <v>268</v>
      </c>
      <c r="C112" s="199"/>
      <c r="D112" s="199"/>
      <c r="E112" s="199"/>
      <c r="F112" s="199"/>
      <c r="G112" s="199"/>
      <c r="H112" s="199"/>
      <c r="I112" s="244">
        <f>I111-H111</f>
        <v>-1.3142161424936696E-3</v>
      </c>
      <c r="J112" s="244">
        <f>J111-I111</f>
        <v>1.4760835971224209E-2</v>
      </c>
      <c r="K112" s="244">
        <f>K111-J111</f>
        <v>-3.962722669800977E-3</v>
      </c>
      <c r="L112" s="245">
        <v>1E-3</v>
      </c>
      <c r="M112" s="245">
        <v>1E-3</v>
      </c>
      <c r="N112" s="245">
        <v>1E-3</v>
      </c>
      <c r="O112" s="245">
        <v>1E-3</v>
      </c>
      <c r="P112" s="245">
        <v>1E-3</v>
      </c>
      <c r="Q112" s="166"/>
      <c r="R112" s="199"/>
      <c r="S112" s="199"/>
      <c r="T112" s="199"/>
      <c r="U112" s="199"/>
      <c r="V112" s="199"/>
      <c r="W112" s="199"/>
      <c r="X112" s="199"/>
      <c r="Y112" s="199"/>
      <c r="Z112" s="199"/>
      <c r="AA112" s="199"/>
      <c r="AB112" s="199"/>
      <c r="AC112" s="199"/>
      <c r="AD112" s="244">
        <f t="shared" ref="AD112:AI112" si="197">AD111-AB111</f>
        <v>-1.3444693080777481E-2</v>
      </c>
      <c r="AE112" s="244">
        <f t="shared" si="197"/>
        <v>1.099328976624047E-2</v>
      </c>
      <c r="AF112" s="244">
        <f t="shared" si="197"/>
        <v>1.4158545384735792E-2</v>
      </c>
      <c r="AG112" s="244">
        <f t="shared" si="197"/>
        <v>1.5779845432756311E-2</v>
      </c>
      <c r="AH112" s="244">
        <f t="shared" si="197"/>
        <v>-2.619235911415229E-3</v>
      </c>
      <c r="AI112" s="244">
        <f t="shared" si="197"/>
        <v>-5.2003161642666419E-3</v>
      </c>
      <c r="AJ112" s="245">
        <v>1E-3</v>
      </c>
      <c r="AK112" s="166">
        <f>AK111-AI111</f>
        <v>6.6883110728880799E-4</v>
      </c>
    </row>
    <row r="113" spans="1:47">
      <c r="B113" s="32"/>
      <c r="C113" s="199"/>
      <c r="D113" s="199"/>
      <c r="E113" s="199"/>
      <c r="F113" s="199"/>
      <c r="G113" s="199"/>
      <c r="H113" s="199"/>
      <c r="I113" s="199"/>
      <c r="J113" s="199"/>
      <c r="K113" s="199"/>
      <c r="L113" s="200"/>
      <c r="M113" s="200"/>
      <c r="N113" s="200"/>
      <c r="O113" s="200"/>
      <c r="P113" s="200"/>
      <c r="Q113" s="200"/>
      <c r="R113" s="199"/>
      <c r="S113" s="199"/>
      <c r="T113" s="199"/>
      <c r="U113" s="199"/>
      <c r="V113" s="199"/>
      <c r="W113" s="199"/>
      <c r="X113" s="199"/>
      <c r="Y113" s="199"/>
      <c r="Z113" s="199"/>
      <c r="AA113" s="199"/>
      <c r="AB113" s="199"/>
      <c r="AC113" s="199"/>
      <c r="AD113" s="199"/>
      <c r="AE113" s="199"/>
      <c r="AF113" s="199"/>
      <c r="AG113" s="199"/>
      <c r="AH113" s="199"/>
      <c r="AI113" s="199"/>
      <c r="AJ113" s="200"/>
      <c r="AK113" s="200"/>
    </row>
    <row r="114" spans="1:47">
      <c r="B114" s="3" t="s">
        <v>62</v>
      </c>
      <c r="C114" s="167"/>
      <c r="D114" s="167"/>
      <c r="E114" s="167"/>
      <c r="F114" s="167"/>
      <c r="G114" s="167"/>
      <c r="H114" s="167"/>
      <c r="I114" s="167"/>
      <c r="J114" s="167"/>
      <c r="K114" s="167"/>
      <c r="L114" s="167"/>
      <c r="M114" s="167"/>
      <c r="N114" s="167"/>
      <c r="O114" s="167"/>
      <c r="P114" s="167"/>
      <c r="Q114" s="167"/>
      <c r="R114" s="167"/>
      <c r="S114" s="167"/>
      <c r="T114" s="167"/>
      <c r="U114" s="167"/>
      <c r="V114" s="167"/>
      <c r="W114" s="167"/>
      <c r="X114" s="167"/>
      <c r="Y114" s="167"/>
      <c r="Z114" s="167"/>
      <c r="AA114" s="167"/>
      <c r="AB114" s="167"/>
      <c r="AC114" s="167"/>
      <c r="AD114" s="167"/>
      <c r="AE114" s="167"/>
      <c r="AF114" s="167"/>
      <c r="AG114" s="167"/>
      <c r="AH114" s="167"/>
      <c r="AI114" s="167"/>
      <c r="AJ114" s="167"/>
      <c r="AK114" s="167"/>
    </row>
    <row r="115" spans="1:47" ht="3" customHeight="1">
      <c r="B115" s="144"/>
      <c r="C115" s="200"/>
      <c r="D115" s="200"/>
      <c r="E115" s="200"/>
      <c r="F115" s="200"/>
      <c r="G115" s="200"/>
      <c r="H115" s="200"/>
      <c r="I115" s="200"/>
      <c r="J115" s="200"/>
      <c r="K115" s="200"/>
      <c r="L115" s="200"/>
      <c r="M115" s="200"/>
      <c r="N115" s="200"/>
      <c r="O115" s="200"/>
      <c r="P115" s="200"/>
      <c r="Q115" s="200"/>
      <c r="R115" s="200"/>
      <c r="S115" s="200"/>
      <c r="T115" s="200"/>
      <c r="U115" s="200"/>
      <c r="V115" s="200"/>
      <c r="W115" s="200"/>
      <c r="X115" s="200"/>
      <c r="Y115" s="200"/>
      <c r="Z115" s="200"/>
      <c r="AA115" s="200"/>
      <c r="AB115" s="200"/>
      <c r="AC115" s="200"/>
      <c r="AD115" s="200"/>
      <c r="AE115" s="200"/>
      <c r="AF115" s="200"/>
      <c r="AG115" s="200"/>
      <c r="AH115" s="200"/>
      <c r="AI115" s="200"/>
      <c r="AJ115" s="200"/>
      <c r="AK115" s="200"/>
    </row>
    <row r="116" spans="1:47">
      <c r="B116" s="4" t="s">
        <v>63</v>
      </c>
      <c r="C116" s="167"/>
      <c r="D116" s="167"/>
      <c r="E116" s="167"/>
      <c r="F116" s="167"/>
      <c r="G116" s="167"/>
      <c r="H116" s="167"/>
      <c r="I116" s="167"/>
      <c r="J116" s="167"/>
      <c r="K116" s="167"/>
      <c r="L116" s="167"/>
      <c r="M116" s="167"/>
      <c r="N116" s="167"/>
      <c r="O116" s="167"/>
      <c r="P116" s="167"/>
      <c r="Q116" s="167"/>
      <c r="R116" s="167"/>
      <c r="S116" s="167"/>
      <c r="T116" s="167"/>
      <c r="U116" s="167"/>
      <c r="V116" s="167"/>
      <c r="W116" s="167"/>
      <c r="X116" s="167"/>
      <c r="Y116" s="167"/>
      <c r="Z116" s="167"/>
      <c r="AA116" s="167"/>
      <c r="AB116" s="167"/>
      <c r="AC116" s="167"/>
      <c r="AD116" s="167"/>
      <c r="AE116" s="167"/>
      <c r="AF116" s="167"/>
      <c r="AG116" s="167"/>
      <c r="AH116" s="167"/>
      <c r="AI116" s="167"/>
      <c r="AJ116" s="167"/>
      <c r="AK116" s="167"/>
    </row>
    <row r="117" spans="1:47" s="7" customFormat="1">
      <c r="A117" s="6"/>
      <c r="B117" s="25" t="s">
        <v>0</v>
      </c>
      <c r="C117" s="26">
        <v>6232</v>
      </c>
      <c r="D117" s="40">
        <v>6396</v>
      </c>
      <c r="E117" s="40">
        <v>6712</v>
      </c>
      <c r="F117" s="40">
        <v>7192</v>
      </c>
      <c r="G117" s="40">
        <v>7146</v>
      </c>
      <c r="H117" s="40">
        <v>7563</v>
      </c>
      <c r="I117" s="40">
        <v>7912</v>
      </c>
      <c r="J117" s="40">
        <v>8166</v>
      </c>
      <c r="K117" s="40">
        <v>8286</v>
      </c>
      <c r="L117" s="216">
        <f>K117*(1+L118)</f>
        <v>8486.9355000000014</v>
      </c>
      <c r="M117" s="216">
        <f t="shared" ref="M117" si="198">L117*(1+M118)</f>
        <v>8833.7928639130459</v>
      </c>
      <c r="N117" s="216">
        <f t="shared" ref="N117" si="199">M117*(1+N118)</f>
        <v>9193.7936698725134</v>
      </c>
      <c r="O117" s="216">
        <f t="shared" ref="O117" si="200">N117*(1+O118)</f>
        <v>9567.4137956056311</v>
      </c>
      <c r="P117" s="216">
        <f t="shared" ref="P117" si="201">O117*(1+P118)</f>
        <v>9955.1458283749125</v>
      </c>
      <c r="Q117" s="229"/>
      <c r="R117" s="259">
        <v>3227</v>
      </c>
      <c r="S117" s="59">
        <f>C117-R117</f>
        <v>3005</v>
      </c>
      <c r="T117" s="259">
        <v>3337</v>
      </c>
      <c r="U117" s="59">
        <f>D117-T117</f>
        <v>3059</v>
      </c>
      <c r="V117" s="40">
        <v>3401</v>
      </c>
      <c r="W117" s="59">
        <f>E117-V117</f>
        <v>3311</v>
      </c>
      <c r="X117" s="40">
        <v>3564</v>
      </c>
      <c r="Y117" s="59">
        <f>F117-X117</f>
        <v>3628</v>
      </c>
      <c r="Z117" s="40">
        <v>3717</v>
      </c>
      <c r="AA117" s="59">
        <f>G117-Z117</f>
        <v>3429</v>
      </c>
      <c r="AB117" s="40">
        <v>4027</v>
      </c>
      <c r="AC117" s="59">
        <f>H117-AB117</f>
        <v>3536</v>
      </c>
      <c r="AD117" s="40">
        <v>4079</v>
      </c>
      <c r="AE117" s="59">
        <f>I117-AD117</f>
        <v>3833</v>
      </c>
      <c r="AF117" s="40">
        <v>4172</v>
      </c>
      <c r="AG117" s="59">
        <f>J117-AF117</f>
        <v>3994</v>
      </c>
      <c r="AH117" s="40">
        <v>4285</v>
      </c>
      <c r="AI117" s="59">
        <f>K117-AH117</f>
        <v>4001</v>
      </c>
      <c r="AJ117" s="216">
        <f>AH117*(1+AJ118)</f>
        <v>4386.7572311827953</v>
      </c>
      <c r="AK117" s="216">
        <f>L117-AJ117</f>
        <v>4100.1782688172061</v>
      </c>
    </row>
    <row r="118" spans="1:47">
      <c r="A118" s="6" t="s">
        <v>362</v>
      </c>
      <c r="B118" s="32" t="s">
        <v>265</v>
      </c>
      <c r="C118" s="199"/>
      <c r="D118" s="244">
        <f t="shared" ref="D118:K118" si="202">D117/C117-1</f>
        <v>2.6315789473684292E-2</v>
      </c>
      <c r="E118" s="244">
        <f t="shared" si="202"/>
        <v>4.9405878674171344E-2</v>
      </c>
      <c r="F118" s="244">
        <f t="shared" si="202"/>
        <v>7.151370679380209E-2</v>
      </c>
      <c r="G118" s="244">
        <f t="shared" si="202"/>
        <v>-6.3959955506117661E-3</v>
      </c>
      <c r="H118" s="244">
        <f t="shared" si="202"/>
        <v>5.8354324097397159E-2</v>
      </c>
      <c r="I118" s="244">
        <f t="shared" si="202"/>
        <v>4.614570937458673E-2</v>
      </c>
      <c r="J118" s="244">
        <f t="shared" si="202"/>
        <v>3.2103134479271933E-2</v>
      </c>
      <c r="K118" s="279">
        <f t="shared" si="202"/>
        <v>1.4695077149154967E-2</v>
      </c>
      <c r="L118" s="277">
        <f>SUM(L119:L121)</f>
        <v>2.4250000000000001E-2</v>
      </c>
      <c r="M118" s="277">
        <f t="shared" ref="M118:P118" si="203">SUM(M119:M121)</f>
        <v>4.0869565217391358E-2</v>
      </c>
      <c r="N118" s="277">
        <f t="shared" si="203"/>
        <v>4.0752688172043007E-2</v>
      </c>
      <c r="O118" s="277">
        <f t="shared" si="203"/>
        <v>4.0638297872340502E-2</v>
      </c>
      <c r="P118" s="277">
        <f t="shared" si="203"/>
        <v>4.0526315789473723E-2</v>
      </c>
      <c r="Q118" s="200"/>
      <c r="R118" s="199"/>
      <c r="S118" s="199"/>
      <c r="T118" s="244">
        <f t="shared" ref="T118:AI118" si="204">T117/R117-1</f>
        <v>3.4087387666563274E-2</v>
      </c>
      <c r="U118" s="244">
        <f t="shared" si="204"/>
        <v>1.7970049916805397E-2</v>
      </c>
      <c r="V118" s="244">
        <f t="shared" si="204"/>
        <v>1.9178903206472864E-2</v>
      </c>
      <c r="W118" s="244">
        <f t="shared" si="204"/>
        <v>8.237986270022879E-2</v>
      </c>
      <c r="X118" s="244">
        <f t="shared" si="204"/>
        <v>4.7927080270508737E-2</v>
      </c>
      <c r="Y118" s="244">
        <f t="shared" si="204"/>
        <v>9.5741467834491001E-2</v>
      </c>
      <c r="Z118" s="244">
        <f t="shared" si="204"/>
        <v>4.2929292929293039E-2</v>
      </c>
      <c r="AA118" s="244">
        <f t="shared" si="204"/>
        <v>-5.485115766262405E-2</v>
      </c>
      <c r="AB118" s="244">
        <f t="shared" si="204"/>
        <v>8.3400591875168129E-2</v>
      </c>
      <c r="AC118" s="244">
        <f t="shared" si="204"/>
        <v>3.1204432779236013E-2</v>
      </c>
      <c r="AD118" s="244">
        <f t="shared" si="204"/>
        <v>1.2912838341196942E-2</v>
      </c>
      <c r="AE118" s="244">
        <f t="shared" si="204"/>
        <v>8.3993212669683182E-2</v>
      </c>
      <c r="AF118" s="244">
        <f t="shared" si="204"/>
        <v>2.2799705810247595E-2</v>
      </c>
      <c r="AG118" s="244">
        <f t="shared" si="204"/>
        <v>4.2003652491521049E-2</v>
      </c>
      <c r="AH118" s="244">
        <f t="shared" si="204"/>
        <v>2.7085330776605909E-2</v>
      </c>
      <c r="AI118" s="244">
        <f t="shared" si="204"/>
        <v>1.7526289434151021E-3</v>
      </c>
      <c r="AJ118" s="277">
        <f>SUM(AJ119:AJ121)</f>
        <v>2.3747311827956998E-2</v>
      </c>
      <c r="AK118" s="166">
        <f>AK117/AI117-1</f>
        <v>2.4788370111773483E-2</v>
      </c>
    </row>
    <row r="119" spans="1:47">
      <c r="A119" s="6" t="s">
        <v>363</v>
      </c>
      <c r="B119" s="32" t="s">
        <v>266</v>
      </c>
      <c r="C119" s="370">
        <v>1.2E-2</v>
      </c>
      <c r="D119" s="370">
        <v>3.4000000000000002E-2</v>
      </c>
      <c r="E119" s="370">
        <v>3.4000000000000002E-2</v>
      </c>
      <c r="F119" s="370">
        <v>8.8999999999999996E-2</v>
      </c>
      <c r="G119" s="370">
        <v>-1.2999999999999999E-2</v>
      </c>
      <c r="H119" s="370">
        <v>0.05</v>
      </c>
      <c r="I119" s="370">
        <v>3.5000000000000003E-2</v>
      </c>
      <c r="J119" s="370">
        <v>1.7999999999999999E-2</v>
      </c>
      <c r="K119" s="370">
        <v>3.7999999999999999E-2</v>
      </c>
      <c r="L119" s="158">
        <f>VLOOKUP($A119,Quarterly!$1:$1048576,MATCH(Model!L$3,Quarterly!$3:$3,0),FALSE)</f>
        <v>3.4250000000000003E-2</v>
      </c>
      <c r="M119" s="160">
        <v>3.5000000000000003E-2</v>
      </c>
      <c r="N119" s="160">
        <v>3.5000000000000003E-2</v>
      </c>
      <c r="O119" s="160">
        <v>3.5000000000000003E-2</v>
      </c>
      <c r="P119" s="160">
        <v>3.5000000000000003E-2</v>
      </c>
      <c r="Q119" s="200"/>
      <c r="R119" s="370">
        <v>0</v>
      </c>
      <c r="S119" s="370">
        <v>2.4886522462562396E-2</v>
      </c>
      <c r="T119" s="370">
        <v>0.03</v>
      </c>
      <c r="U119" s="371">
        <f>VLOOKUP($A119,Quarterly!$1:$1048576,MATCH(Model!U$3,Quarterly!$3:$3,0),FALSE)</f>
        <v>3.7499999999999999E-2</v>
      </c>
      <c r="V119" s="106">
        <v>3.2000000000000001E-2</v>
      </c>
      <c r="W119" s="371">
        <f>VLOOKUP($A119,Quarterly!$1:$1048576,MATCH(Model!W$3,Quarterly!$3:$3,0),FALSE)</f>
        <v>3.6500000000000005E-2</v>
      </c>
      <c r="X119" s="106">
        <v>4.7E-2</v>
      </c>
      <c r="Y119" s="371">
        <f>VLOOKUP($A119,Quarterly!$1:$1048576,MATCH(Model!Y$3,Quarterly!$3:$3,0),FALSE)</f>
        <v>0.13650000000000001</v>
      </c>
      <c r="Z119" s="106">
        <v>3.3000000000000002E-2</v>
      </c>
      <c r="AA119" s="371">
        <f>VLOOKUP($A119,Quarterly!$1:$1048576,MATCH(Model!AA$3,Quarterly!$3:$3,0),FALSE)</f>
        <v>-5.8499999999999996E-2</v>
      </c>
      <c r="AB119" s="106">
        <v>7.0000000000000007E-2</v>
      </c>
      <c r="AC119" s="371">
        <f>VLOOKUP($A119,Quarterly!$1:$1048576,MATCH(Model!AC$3,Quarterly!$3:$3,0),FALSE)</f>
        <v>2.2499999999999999E-2</v>
      </c>
      <c r="AD119" s="106">
        <v>3.0000000000000001E-3</v>
      </c>
      <c r="AE119" s="371">
        <f>VLOOKUP($A119,Quarterly!$1:$1048576,MATCH(Model!AE$3,Quarterly!$3:$3,0),FALSE)</f>
        <v>7.0000000000000007E-2</v>
      </c>
      <c r="AF119" s="106">
        <v>2.5000000000000001E-2</v>
      </c>
      <c r="AG119" s="371">
        <f>VLOOKUP($A119,Quarterly!$1:$1048576,MATCH(Model!AG$3,Quarterly!$3:$3,0),FALSE)</f>
        <v>1.2999999999999999E-2</v>
      </c>
      <c r="AH119" s="106">
        <v>3.3000000000000002E-2</v>
      </c>
      <c r="AI119" s="371">
        <f>VLOOKUP($A119,Quarterly!$1:$1048576,MATCH(Model!AI$3,Quarterly!$3:$3,0),FALSE)</f>
        <v>4.3499999999999997E-2</v>
      </c>
      <c r="AJ119" s="158">
        <f>VLOOKUP($A119,Quarterly!$1:$1048576,MATCH(Model!AJ$3,Quarterly!$3:$3,0),FALSE)</f>
        <v>3.85E-2</v>
      </c>
      <c r="AK119" s="158">
        <f>VLOOKUP($A119,Quarterly!$1:$1048576,MATCH(Model!AK$3,Quarterly!$3:$3,0),FALSE)</f>
        <v>3.0000000000000002E-2</v>
      </c>
    </row>
    <row r="120" spans="1:47">
      <c r="B120" s="32" t="s">
        <v>267</v>
      </c>
      <c r="C120" s="199"/>
      <c r="D120" s="244">
        <f t="shared" ref="D120:K120" si="205">D162/C162-1</f>
        <v>-1.6304347826086918E-2</v>
      </c>
      <c r="E120" s="244">
        <f t="shared" si="205"/>
        <v>-5.5248618784530246E-3</v>
      </c>
      <c r="F120" s="244">
        <f t="shared" si="205"/>
        <v>1.1111111111111072E-2</v>
      </c>
      <c r="G120" s="244">
        <f t="shared" si="205"/>
        <v>1.098901098901095E-2</v>
      </c>
      <c r="H120" s="244">
        <f t="shared" si="205"/>
        <v>3.2608695652173836E-2</v>
      </c>
      <c r="I120" s="244">
        <f t="shared" si="205"/>
        <v>5.2631578947368585E-3</v>
      </c>
      <c r="J120" s="244">
        <f t="shared" si="205"/>
        <v>-1.5706806282722474E-2</v>
      </c>
      <c r="K120" s="244">
        <f t="shared" si="205"/>
        <v>-2.1276595744680882E-2</v>
      </c>
      <c r="L120" s="166">
        <f>L162/K162-1</f>
        <v>0</v>
      </c>
      <c r="M120" s="166">
        <f t="shared" ref="M120:P120" si="206">M162/L162-1</f>
        <v>1.0869565217391353E-2</v>
      </c>
      <c r="N120" s="166">
        <f t="shared" si="206"/>
        <v>1.0752688172043001E-2</v>
      </c>
      <c r="O120" s="166">
        <f t="shared" si="206"/>
        <v>1.0638297872340496E-2</v>
      </c>
      <c r="P120" s="166">
        <f t="shared" si="206"/>
        <v>1.0526315789473717E-2</v>
      </c>
      <c r="Q120" s="200"/>
      <c r="R120" s="199"/>
      <c r="S120" s="199"/>
      <c r="T120" s="244">
        <f t="shared" ref="T120:AG120" si="207">T162/R162-1</f>
        <v>5.464480874316946E-3</v>
      </c>
      <c r="U120" s="244">
        <f t="shared" si="207"/>
        <v>-1.6304347826086918E-2</v>
      </c>
      <c r="V120" s="244">
        <f t="shared" si="207"/>
        <v>-2.1739130434782594E-2</v>
      </c>
      <c r="W120" s="244">
        <f t="shared" si="207"/>
        <v>-5.5248618784530246E-3</v>
      </c>
      <c r="X120" s="244">
        <f t="shared" si="207"/>
        <v>1.1111111111111072E-2</v>
      </c>
      <c r="Y120" s="244">
        <f t="shared" si="207"/>
        <v>1.1111111111111072E-2</v>
      </c>
      <c r="Z120" s="244">
        <f t="shared" si="207"/>
        <v>-5.494505494505475E-3</v>
      </c>
      <c r="AA120" s="244">
        <f t="shared" si="207"/>
        <v>5.494505494505475E-3</v>
      </c>
      <c r="AB120" s="244">
        <f t="shared" si="207"/>
        <v>2.2099447513812098E-2</v>
      </c>
      <c r="AC120" s="244">
        <f t="shared" si="207"/>
        <v>3.8251366120218622E-2</v>
      </c>
      <c r="AD120" s="244">
        <f t="shared" si="207"/>
        <v>4.3243243243243246E-2</v>
      </c>
      <c r="AE120" s="244">
        <f t="shared" si="207"/>
        <v>5.2631578947368585E-3</v>
      </c>
      <c r="AF120" s="244">
        <f t="shared" si="207"/>
        <v>-2.0725388601036232E-2</v>
      </c>
      <c r="AG120" s="244">
        <f t="shared" si="207"/>
        <v>-1.5706806282722474E-2</v>
      </c>
      <c r="AH120" s="244">
        <f>AH162/AF162-1</f>
        <v>-1.5873015873015928E-2</v>
      </c>
      <c r="AI120" s="244">
        <f>AI162/AG162-1</f>
        <v>-2.1276595744680882E-2</v>
      </c>
      <c r="AJ120" s="166">
        <f>AJ162/AH162-1</f>
        <v>-1.0752688172043001E-2</v>
      </c>
      <c r="AK120" s="166">
        <f>AK162/AI162-1</f>
        <v>0</v>
      </c>
    </row>
    <row r="121" spans="1:47">
      <c r="B121" s="32" t="s">
        <v>77</v>
      </c>
      <c r="C121" s="199"/>
      <c r="D121" s="244">
        <f>D118-SUM(D119:D120)</f>
        <v>8.6201372997712078E-3</v>
      </c>
      <c r="E121" s="244">
        <f t="shared" ref="E121" si="208">E118-SUM(E119:E120)</f>
        <v>2.0930740552624366E-2</v>
      </c>
      <c r="F121" s="244">
        <f t="shared" ref="F121" si="209">F118-SUM(F119:F120)</f>
        <v>-2.8597404317308978E-2</v>
      </c>
      <c r="G121" s="244">
        <f t="shared" ref="G121" si="210">G118-SUM(G119:G120)</f>
        <v>-4.3850065396227166E-3</v>
      </c>
      <c r="H121" s="244">
        <f t="shared" ref="H121" si="211">H118-SUM(H119:H120)</f>
        <v>-2.425437155477668E-2</v>
      </c>
      <c r="I121" s="244">
        <f t="shared" ref="I121" si="212">I118-SUM(I119:I120)</f>
        <v>5.8825514798498679E-3</v>
      </c>
      <c r="J121" s="244">
        <f t="shared" ref="J121" si="213">J118-SUM(J119:J120)</f>
        <v>2.9809940761994409E-2</v>
      </c>
      <c r="K121" s="244">
        <f t="shared" ref="K121" si="214">K118-SUM(K119:K120)</f>
        <v>-2.0283271061641503E-3</v>
      </c>
      <c r="L121" s="160">
        <v>-0.01</v>
      </c>
      <c r="M121" s="160">
        <v>-5.0000000000000001E-3</v>
      </c>
      <c r="N121" s="160">
        <v>-5.0000000000000001E-3</v>
      </c>
      <c r="O121" s="160">
        <v>-5.0000000000000001E-3</v>
      </c>
      <c r="P121" s="160">
        <v>-5.0000000000000001E-3</v>
      </c>
      <c r="Q121" s="200"/>
      <c r="R121" s="199"/>
      <c r="S121" s="199"/>
      <c r="T121" s="244">
        <f t="shared" ref="T121" si="215">T118-SUM(T119:T120)</f>
        <v>-1.3770932077536713E-3</v>
      </c>
      <c r="U121" s="244">
        <f t="shared" ref="U121" si="216">U118-SUM(U119:U120)</f>
        <v>-3.2256022571076834E-3</v>
      </c>
      <c r="V121" s="244">
        <f t="shared" ref="V121" si="217">V118-SUM(V119:V120)</f>
        <v>8.9180336412554573E-3</v>
      </c>
      <c r="W121" s="244">
        <f t="shared" ref="W121" si="218">W118-SUM(W119:W120)</f>
        <v>5.140472457868181E-2</v>
      </c>
      <c r="X121" s="244">
        <f t="shared" ref="X121" si="219">X118-SUM(X119:X120)</f>
        <v>-1.0184030840602334E-2</v>
      </c>
      <c r="Y121" s="244">
        <f t="shared" ref="Y121" si="220">Y118-SUM(Y119:Y120)</f>
        <v>-5.1869643276620081E-2</v>
      </c>
      <c r="Z121" s="244">
        <f t="shared" ref="Z121" si="221">Z118-SUM(Z119:Z120)</f>
        <v>1.5423798423798513E-2</v>
      </c>
      <c r="AA121" s="244">
        <f t="shared" ref="AA121" si="222">AA118-SUM(AA119:AA120)</f>
        <v>-1.845663157129529E-3</v>
      </c>
      <c r="AB121" s="244">
        <f t="shared" ref="AB121" si="223">AB118-SUM(AB119:AB120)</f>
        <v>-8.6988556386439764E-3</v>
      </c>
      <c r="AC121" s="244">
        <f t="shared" ref="AC121" si="224">AC118-SUM(AC119:AC120)</f>
        <v>-2.9546933340982608E-2</v>
      </c>
      <c r="AD121" s="244">
        <f t="shared" ref="AD121" si="225">AD118-SUM(AD119:AD120)</f>
        <v>-3.3330404902046307E-2</v>
      </c>
      <c r="AE121" s="244">
        <f t="shared" ref="AE121" si="226">AE118-SUM(AE119:AE120)</f>
        <v>8.7300547749463164E-3</v>
      </c>
      <c r="AF121" s="244">
        <f t="shared" ref="AF121" si="227">AF118-SUM(AF119:AF120)</f>
        <v>1.8525094411283825E-2</v>
      </c>
      <c r="AG121" s="244">
        <f t="shared" ref="AG121" si="228">AG118-SUM(AG119:AG120)</f>
        <v>4.4710458774243525E-2</v>
      </c>
      <c r="AH121" s="244">
        <f t="shared" ref="AH121" si="229">AH118-SUM(AH119:AH120)</f>
        <v>9.9583466496218354E-3</v>
      </c>
      <c r="AI121" s="244">
        <f t="shared" ref="AI121" si="230">AI118-SUM(AI119:AI120)</f>
        <v>-2.0470775311904013E-2</v>
      </c>
      <c r="AJ121" s="160">
        <v>-4.0000000000000001E-3</v>
      </c>
      <c r="AK121" s="166">
        <f t="shared" ref="AK121" si="231">AK118-SUM(AK119:AK120)</f>
        <v>-5.211629888226519E-3</v>
      </c>
      <c r="AU121" s="115"/>
    </row>
    <row r="122" spans="1:47">
      <c r="B122" s="32"/>
      <c r="C122" s="199"/>
      <c r="D122" s="199"/>
      <c r="E122" s="199"/>
      <c r="F122" s="199"/>
      <c r="G122" s="199"/>
      <c r="H122" s="199"/>
      <c r="I122" s="199"/>
      <c r="J122" s="199"/>
      <c r="K122" s="199"/>
      <c r="L122" s="200"/>
      <c r="M122" s="200"/>
      <c r="N122" s="200"/>
      <c r="O122" s="200"/>
      <c r="P122" s="200"/>
      <c r="Q122" s="200"/>
      <c r="R122" s="199"/>
      <c r="S122" s="199"/>
      <c r="T122" s="199"/>
      <c r="U122" s="199"/>
      <c r="V122" s="199"/>
      <c r="W122" s="199"/>
      <c r="X122" s="199"/>
      <c r="Y122" s="199"/>
      <c r="Z122" s="199"/>
      <c r="AA122" s="199"/>
      <c r="AB122" s="199"/>
      <c r="AC122" s="199"/>
      <c r="AD122" s="199"/>
      <c r="AE122" s="199"/>
      <c r="AF122" s="199"/>
      <c r="AG122" s="199"/>
      <c r="AH122" s="199"/>
      <c r="AI122" s="199"/>
      <c r="AJ122" s="200"/>
      <c r="AK122" s="200"/>
    </row>
    <row r="123" spans="1:47">
      <c r="B123" s="25" t="s">
        <v>78</v>
      </c>
      <c r="C123" s="215">
        <f t="shared" ref="C123:L123" si="232">C125*C117</f>
        <v>1495.6799999999998</v>
      </c>
      <c r="D123" s="215">
        <f t="shared" si="232"/>
        <v>1547.8319999999999</v>
      </c>
      <c r="E123" s="215">
        <f t="shared" si="232"/>
        <v>1637.7280000000001</v>
      </c>
      <c r="F123" s="215">
        <f t="shared" si="232"/>
        <v>1798</v>
      </c>
      <c r="G123" s="215">
        <f t="shared" si="232"/>
        <v>1665.018</v>
      </c>
      <c r="H123" s="215">
        <f t="shared" si="232"/>
        <v>1754.616</v>
      </c>
      <c r="I123" s="215">
        <f t="shared" si="232"/>
        <v>1827.672</v>
      </c>
      <c r="J123" s="215">
        <f t="shared" si="232"/>
        <v>1837.3500000000001</v>
      </c>
      <c r="K123" s="215">
        <f t="shared" si="232"/>
        <v>1880.922</v>
      </c>
      <c r="L123" s="216">
        <f t="shared" si="232"/>
        <v>1951.9951650000005</v>
      </c>
      <c r="M123" s="216">
        <f t="shared" ref="M123:P123" si="233">M125*M117</f>
        <v>2058.27373729174</v>
      </c>
      <c r="N123" s="216">
        <f t="shared" si="233"/>
        <v>2169.7353060899131</v>
      </c>
      <c r="O123" s="216">
        <f t="shared" si="233"/>
        <v>2286.6118971497458</v>
      </c>
      <c r="P123" s="216">
        <f t="shared" si="233"/>
        <v>2409.145290466729</v>
      </c>
      <c r="Q123" s="200"/>
      <c r="R123" s="215">
        <f>R125*R117</f>
        <v>768.34870000000001</v>
      </c>
      <c r="S123" s="215">
        <f>C123-R123</f>
        <v>727.33129999999983</v>
      </c>
      <c r="T123" s="215">
        <f>T125*T117</f>
        <v>800.88</v>
      </c>
      <c r="U123" s="215">
        <f>D123-T123</f>
        <v>746.95199999999988</v>
      </c>
      <c r="V123" s="215">
        <f>V125*V117</f>
        <v>826.44299999999998</v>
      </c>
      <c r="W123" s="215">
        <f>E123-V123</f>
        <v>811.28500000000008</v>
      </c>
      <c r="X123" s="215">
        <f>X125*X117</f>
        <v>880.30799999999999</v>
      </c>
      <c r="Y123" s="215">
        <f>F123-X123</f>
        <v>917.69200000000001</v>
      </c>
      <c r="Z123" s="215">
        <f>Z125*Z117</f>
        <v>862.34400000000005</v>
      </c>
      <c r="AA123" s="215">
        <f>G123-Z123</f>
        <v>802.67399999999998</v>
      </c>
      <c r="AB123" s="215">
        <f>AB125*AB117</f>
        <v>934.26400000000001</v>
      </c>
      <c r="AC123" s="215">
        <f>H123-AB123</f>
        <v>820.35199999999998</v>
      </c>
      <c r="AD123" s="215">
        <f>AD125*AD117</f>
        <v>930.01200000000006</v>
      </c>
      <c r="AE123" s="215">
        <f>I123-AD123</f>
        <v>897.66</v>
      </c>
      <c r="AF123" s="215">
        <f>AF125*AF117</f>
        <v>942.87200000000007</v>
      </c>
      <c r="AG123" s="215">
        <f>J123-AF123</f>
        <v>894.47800000000007</v>
      </c>
      <c r="AH123" s="215">
        <f>AH125*AH117</f>
        <v>972.69500000000005</v>
      </c>
      <c r="AI123" s="215">
        <f>K123-AH123</f>
        <v>908.22699999999998</v>
      </c>
      <c r="AJ123" s="216">
        <f>AJ125*AJ117</f>
        <v>1008.954163172043</v>
      </c>
      <c r="AK123" s="216">
        <f>L123-AJ123</f>
        <v>943.04100182795753</v>
      </c>
    </row>
    <row r="124" spans="1:47">
      <c r="B124" s="32" t="s">
        <v>265</v>
      </c>
      <c r="C124" s="215"/>
      <c r="D124" s="244">
        <f t="shared" ref="D124:K124" si="234">D123/C123-1</f>
        <v>3.4868421052631549E-2</v>
      </c>
      <c r="E124" s="244">
        <f t="shared" si="234"/>
        <v>5.8078654530982821E-2</v>
      </c>
      <c r="F124" s="244">
        <f t="shared" si="234"/>
        <v>9.7862404501846356E-2</v>
      </c>
      <c r="G124" s="244">
        <f t="shared" si="234"/>
        <v>-7.3961067853170137E-2</v>
      </c>
      <c r="H124" s="244">
        <f t="shared" si="234"/>
        <v>5.3812030860927562E-2</v>
      </c>
      <c r="I124" s="244">
        <f t="shared" si="234"/>
        <v>4.1636460627282545E-2</v>
      </c>
      <c r="J124" s="244">
        <f t="shared" si="234"/>
        <v>5.2952608564338366E-3</v>
      </c>
      <c r="K124" s="244">
        <f t="shared" si="234"/>
        <v>2.3714588946036397E-2</v>
      </c>
      <c r="L124" s="366">
        <f t="shared" ref="L124" si="235">L123/K123-1</f>
        <v>3.7786343612335127E-2</v>
      </c>
      <c r="M124" s="366">
        <f t="shared" ref="M124" si="236">M123/L123-1</f>
        <v>5.4446124763705361E-2</v>
      </c>
      <c r="N124" s="366">
        <f t="shared" ref="N124" si="237">N123/M123-1</f>
        <v>5.4152937375974819E-2</v>
      </c>
      <c r="O124" s="366">
        <f t="shared" ref="O124" si="238">O123/N123-1</f>
        <v>5.3866750811395692E-2</v>
      </c>
      <c r="P124" s="366">
        <f t="shared" ref="P124" si="239">P123/O123-1</f>
        <v>5.3587315569258109E-2</v>
      </c>
      <c r="Q124" s="200"/>
      <c r="R124" s="215"/>
      <c r="S124" s="215"/>
      <c r="T124" s="244">
        <f t="shared" ref="T124:AI124" si="240">T123/R123-1</f>
        <v>4.2339239983096189E-2</v>
      </c>
      <c r="U124" s="244">
        <f t="shared" si="240"/>
        <v>2.6976289897052474E-2</v>
      </c>
      <c r="V124" s="244">
        <f t="shared" si="240"/>
        <v>3.1918639496553824E-2</v>
      </c>
      <c r="W124" s="244">
        <f t="shared" si="240"/>
        <v>8.6127354903662079E-2</v>
      </c>
      <c r="X124" s="244">
        <f t="shared" si="240"/>
        <v>6.5176908752327734E-2</v>
      </c>
      <c r="Y124" s="244">
        <f t="shared" si="240"/>
        <v>0.13115859408222752</v>
      </c>
      <c r="Z124" s="244">
        <f t="shared" si="240"/>
        <v>-2.0406494090704497E-2</v>
      </c>
      <c r="AA124" s="244">
        <f t="shared" si="240"/>
        <v>-0.1253339900533077</v>
      </c>
      <c r="AB124" s="244">
        <f t="shared" si="240"/>
        <v>8.3400591875168129E-2</v>
      </c>
      <c r="AC124" s="244">
        <f t="shared" si="240"/>
        <v>2.2023885163839907E-2</v>
      </c>
      <c r="AD124" s="244">
        <f t="shared" si="240"/>
        <v>-4.5511761129616302E-3</v>
      </c>
      <c r="AE124" s="244">
        <f t="shared" si="240"/>
        <v>9.4237595568731569E-2</v>
      </c>
      <c r="AF124" s="244">
        <f t="shared" si="240"/>
        <v>1.3827778566298132E-2</v>
      </c>
      <c r="AG124" s="244">
        <f t="shared" si="240"/>
        <v>-3.544771962658344E-3</v>
      </c>
      <c r="AH124" s="244">
        <f t="shared" si="240"/>
        <v>3.1629956134024528E-2</v>
      </c>
      <c r="AI124" s="244">
        <f t="shared" si="240"/>
        <v>1.5370976144745807E-2</v>
      </c>
      <c r="AJ124" s="366">
        <f t="shared" ref="AJ124" si="241">AJ123/AI123-1</f>
        <v>0.11090527276996065</v>
      </c>
      <c r="AK124" s="166">
        <f>AK123/AI123-1</f>
        <v>3.8331828747612207E-2</v>
      </c>
    </row>
    <row r="125" spans="1:47">
      <c r="B125" s="32" t="s">
        <v>79</v>
      </c>
      <c r="C125" s="260">
        <v>0.24</v>
      </c>
      <c r="D125" s="101">
        <v>0.24199999999999999</v>
      </c>
      <c r="E125" s="101">
        <v>0.24399999999999999</v>
      </c>
      <c r="F125" s="101">
        <v>0.25</v>
      </c>
      <c r="G125" s="101">
        <v>0.23300000000000001</v>
      </c>
      <c r="H125" s="137">
        <v>0.23200000000000001</v>
      </c>
      <c r="I125" s="137">
        <v>0.23100000000000001</v>
      </c>
      <c r="J125" s="137">
        <v>0.22500000000000001</v>
      </c>
      <c r="K125" s="137">
        <v>0.22700000000000001</v>
      </c>
      <c r="L125" s="254">
        <f>K125+L126</f>
        <v>0.23</v>
      </c>
      <c r="M125" s="254">
        <f t="shared" ref="M125" si="242">L125+M126</f>
        <v>0.23300000000000001</v>
      </c>
      <c r="N125" s="254">
        <f t="shared" ref="N125" si="243">M125+N126</f>
        <v>0.23600000000000002</v>
      </c>
      <c r="O125" s="254">
        <f t="shared" ref="O125" si="244">N125+O126</f>
        <v>0.23900000000000002</v>
      </c>
      <c r="P125" s="254">
        <f t="shared" ref="P125" si="245">O125+P126</f>
        <v>0.24200000000000002</v>
      </c>
      <c r="Q125" s="200"/>
      <c r="R125" s="260">
        <v>0.23810000000000001</v>
      </c>
      <c r="S125" s="261">
        <f>S123/S117</f>
        <v>0.24204036605657231</v>
      </c>
      <c r="T125" s="260">
        <v>0.24</v>
      </c>
      <c r="U125" s="261">
        <f>U123/U117</f>
        <v>0.24418175874468778</v>
      </c>
      <c r="V125" s="260">
        <v>0.24299999999999999</v>
      </c>
      <c r="W125" s="261">
        <f>W123/W117</f>
        <v>0.24502718212020541</v>
      </c>
      <c r="X125" s="260">
        <v>0.247</v>
      </c>
      <c r="Y125" s="261">
        <f>Y123/Y117</f>
        <v>0.25294707828004409</v>
      </c>
      <c r="Z125" s="260">
        <v>0.23200000000000001</v>
      </c>
      <c r="AA125" s="261">
        <f>AA123/AA117</f>
        <v>0.23408398950131232</v>
      </c>
      <c r="AB125" s="101">
        <v>0.23200000000000001</v>
      </c>
      <c r="AC125" s="261">
        <f>AC123/AC117</f>
        <v>0.23199999999999998</v>
      </c>
      <c r="AD125" s="137">
        <v>0.22800000000000001</v>
      </c>
      <c r="AE125" s="261">
        <f>AE123/AE117</f>
        <v>0.23419253848160709</v>
      </c>
      <c r="AF125" s="137">
        <v>0.22600000000000001</v>
      </c>
      <c r="AG125" s="261">
        <f>AG123/AG117</f>
        <v>0.2239554331497246</v>
      </c>
      <c r="AH125" s="137">
        <v>0.22700000000000001</v>
      </c>
      <c r="AI125" s="261">
        <f>AI123/AI117</f>
        <v>0.22700000000000001</v>
      </c>
      <c r="AJ125" s="254">
        <f>AH125+AJ126</f>
        <v>0.23</v>
      </c>
      <c r="AK125" s="151">
        <f>AK123/AK117</f>
        <v>0.23000000000000004</v>
      </c>
    </row>
    <row r="126" spans="1:47">
      <c r="B126" s="32" t="s">
        <v>268</v>
      </c>
      <c r="C126" s="113">
        <v>4.1999999999999997E-3</v>
      </c>
      <c r="D126" s="113">
        <v>-1E-4</v>
      </c>
      <c r="E126" s="113">
        <v>1.8E-3</v>
      </c>
      <c r="F126" s="113">
        <v>6.7000000000000002E-3</v>
      </c>
      <c r="G126" s="113">
        <v>2.3999999999999998E-3</v>
      </c>
      <c r="H126" s="113">
        <v>1.6999999999999999E-3</v>
      </c>
      <c r="I126" s="113">
        <v>-8.9999999999999998E-4</v>
      </c>
      <c r="J126" s="113">
        <v>-5.7999999999999996E-3</v>
      </c>
      <c r="K126" s="113">
        <v>1.1000000000000001E-3</v>
      </c>
      <c r="L126" s="255">
        <v>3.0000000000000001E-3</v>
      </c>
      <c r="M126" s="255">
        <v>3.0000000000000001E-3</v>
      </c>
      <c r="N126" s="255">
        <v>3.0000000000000001E-3</v>
      </c>
      <c r="O126" s="255">
        <v>3.0000000000000001E-3</v>
      </c>
      <c r="P126" s="255">
        <v>3.0000000000000001E-3</v>
      </c>
      <c r="Q126" s="200"/>
      <c r="R126" s="113">
        <v>3.0000000000000001E-3</v>
      </c>
      <c r="S126" s="261"/>
      <c r="T126" s="113">
        <v>5.9999999999999995E-4</v>
      </c>
      <c r="U126" s="299">
        <f>U125-S125</f>
        <v>2.1413926881154732E-3</v>
      </c>
      <c r="V126" s="113">
        <v>2E-3</v>
      </c>
      <c r="W126" s="299">
        <f>W125-U125</f>
        <v>8.4542337551762881E-4</v>
      </c>
      <c r="X126" s="113">
        <v>4.5999999999999999E-3</v>
      </c>
      <c r="Y126" s="299">
        <f>Y125-W125</f>
        <v>7.9198961598386797E-3</v>
      </c>
      <c r="Z126" s="113">
        <v>3.0999999999999999E-3</v>
      </c>
      <c r="AA126" s="299">
        <f>AA125-Y125</f>
        <v>-1.8863088778731774E-2</v>
      </c>
      <c r="AB126" s="113">
        <v>1.6000000000000001E-3</v>
      </c>
      <c r="AC126" s="299">
        <f>AC125-AA125</f>
        <v>-2.0839895013123333E-3</v>
      </c>
      <c r="AD126" s="113">
        <v>5.0000000000000001E-4</v>
      </c>
      <c r="AE126" s="299">
        <f>AE125-AC125</f>
        <v>2.1925384816071092E-3</v>
      </c>
      <c r="AF126" s="113">
        <v>-9.5999999999999992E-3</v>
      </c>
      <c r="AG126" s="299">
        <f>AG125-AE125</f>
        <v>-1.023710533188249E-2</v>
      </c>
      <c r="AH126" s="113">
        <v>5.0000000000000001E-4</v>
      </c>
      <c r="AI126" s="299">
        <f>AI125-AG125</f>
        <v>3.0445668502754042E-3</v>
      </c>
      <c r="AJ126" s="255">
        <v>3.0000000000000001E-3</v>
      </c>
      <c r="AK126" s="254">
        <f>AK125-AI125</f>
        <v>3.0000000000000304E-3</v>
      </c>
    </row>
    <row r="127" spans="1:47">
      <c r="B127" s="32"/>
      <c r="C127" s="199"/>
      <c r="D127" s="199"/>
      <c r="E127" s="199"/>
      <c r="F127" s="199"/>
      <c r="G127" s="199"/>
      <c r="H127" s="199"/>
      <c r="I127" s="199"/>
      <c r="J127" s="199"/>
      <c r="K127" s="199"/>
      <c r="L127" s="200"/>
      <c r="M127" s="200"/>
      <c r="N127" s="200"/>
      <c r="O127" s="200"/>
      <c r="P127" s="200"/>
      <c r="Q127" s="200"/>
      <c r="R127" s="199"/>
      <c r="S127" s="199"/>
      <c r="T127" s="199"/>
      <c r="U127" s="199"/>
      <c r="V127" s="199"/>
      <c r="W127" s="199"/>
      <c r="X127" s="199"/>
      <c r="Y127" s="199"/>
      <c r="Z127" s="199"/>
      <c r="AA127" s="199"/>
      <c r="AB127" s="199"/>
      <c r="AC127" s="199"/>
      <c r="AD127" s="199"/>
      <c r="AE127" s="199"/>
      <c r="AF127" s="199"/>
      <c r="AG127" s="199"/>
      <c r="AH127" s="199"/>
      <c r="AI127" s="199"/>
      <c r="AJ127" s="200"/>
      <c r="AK127" s="200"/>
    </row>
    <row r="128" spans="1:47">
      <c r="B128" s="25" t="s">
        <v>43</v>
      </c>
      <c r="C128" s="199"/>
      <c r="D128" s="199"/>
      <c r="E128" s="199"/>
      <c r="F128" s="199"/>
      <c r="G128" s="215">
        <f>G133-G123</f>
        <v>-1032.018</v>
      </c>
      <c r="H128" s="215">
        <f>H133-H123</f>
        <v>-1143.616</v>
      </c>
      <c r="I128" s="215">
        <f>I133-I123</f>
        <v>-1255.672</v>
      </c>
      <c r="J128" s="215">
        <f>J133-J123</f>
        <v>-1388.3500000000001</v>
      </c>
      <c r="K128" s="215">
        <f>K133-K123</f>
        <v>-1365.922</v>
      </c>
      <c r="L128" s="216">
        <f t="shared" ref="L128:P128" si="246">L133-L123</f>
        <v>-1390.5195195000006</v>
      </c>
      <c r="M128" s="216">
        <f t="shared" si="246"/>
        <v>-1452.6840014217398</v>
      </c>
      <c r="N128" s="216">
        <f t="shared" si="246"/>
        <v>-1517.3573393431002</v>
      </c>
      <c r="O128" s="216">
        <f t="shared" si="246"/>
        <v>-1555.9297020315769</v>
      </c>
      <c r="P128" s="216">
        <f t="shared" si="246"/>
        <v>-1594.8724161611069</v>
      </c>
      <c r="Q128" s="200"/>
      <c r="R128" s="199"/>
      <c r="S128" s="199"/>
      <c r="T128" s="199"/>
      <c r="U128" s="199"/>
      <c r="V128" s="199"/>
      <c r="W128" s="199"/>
      <c r="X128" s="199"/>
      <c r="Y128" s="199"/>
      <c r="Z128" s="199"/>
      <c r="AA128" s="199"/>
      <c r="AB128" s="215">
        <f t="shared" ref="AB128:AJ128" si="247">AB133-AB123</f>
        <v>-581.26400000000001</v>
      </c>
      <c r="AC128" s="215">
        <f t="shared" si="247"/>
        <v>-562.35199999999998</v>
      </c>
      <c r="AD128" s="215">
        <f t="shared" si="247"/>
        <v>-644.01200000000006</v>
      </c>
      <c r="AE128" s="215">
        <f t="shared" si="247"/>
        <v>-611.66</v>
      </c>
      <c r="AF128" s="215">
        <f t="shared" si="247"/>
        <v>-700.87200000000007</v>
      </c>
      <c r="AG128" s="215">
        <f t="shared" si="247"/>
        <v>-687.47800000000007</v>
      </c>
      <c r="AH128" s="215">
        <f t="shared" si="247"/>
        <v>-703.69500000000005</v>
      </c>
      <c r="AI128" s="215">
        <f t="shared" si="247"/>
        <v>-662.22699999999998</v>
      </c>
      <c r="AJ128" s="216">
        <f t="shared" si="247"/>
        <v>-716.09550408602149</v>
      </c>
      <c r="AK128" s="216">
        <f>L128-AJ128</f>
        <v>-674.42401541397908</v>
      </c>
    </row>
    <row r="129" spans="1:37">
      <c r="B129" s="32" t="s">
        <v>265</v>
      </c>
      <c r="C129" s="199"/>
      <c r="D129" s="199"/>
      <c r="E129" s="199"/>
      <c r="F129" s="199"/>
      <c r="G129" s="244"/>
      <c r="H129" s="244">
        <f>H128/G128-1</f>
        <v>0.10813571081124551</v>
      </c>
      <c r="I129" s="244">
        <f>I128/H128-1</f>
        <v>9.7983938664726766E-2</v>
      </c>
      <c r="J129" s="244">
        <f>J128/I128-1</f>
        <v>0.10566294382609476</v>
      </c>
      <c r="K129" s="279">
        <f>K128/J128-1</f>
        <v>-1.6154427918032233E-2</v>
      </c>
      <c r="L129" s="274">
        <f t="shared" ref="L129:P129" si="248">L128/K128-1</f>
        <v>1.800799716235657E-2</v>
      </c>
      <c r="M129" s="274">
        <f t="shared" si="248"/>
        <v>4.4705939794424499E-2</v>
      </c>
      <c r="N129" s="274">
        <f t="shared" si="248"/>
        <v>4.4519894111909153E-2</v>
      </c>
      <c r="O129" s="274">
        <f t="shared" si="248"/>
        <v>2.5420750727825014E-2</v>
      </c>
      <c r="P129" s="274">
        <f t="shared" si="248"/>
        <v>2.5028581997427413E-2</v>
      </c>
      <c r="Q129" s="200"/>
      <c r="R129" s="199"/>
      <c r="S129" s="199"/>
      <c r="T129" s="199"/>
      <c r="U129" s="199"/>
      <c r="V129" s="199"/>
      <c r="W129" s="199"/>
      <c r="X129" s="199"/>
      <c r="Y129" s="199"/>
      <c r="Z129" s="199"/>
      <c r="AA129" s="199"/>
      <c r="AB129" s="244"/>
      <c r="AC129" s="244"/>
      <c r="AD129" s="244">
        <f t="shared" ref="AD129:AI129" si="249">AD128/AB128-1</f>
        <v>0.10795094827823504</v>
      </c>
      <c r="AE129" s="244">
        <f t="shared" si="249"/>
        <v>8.7681736705835567E-2</v>
      </c>
      <c r="AF129" s="244">
        <f t="shared" si="249"/>
        <v>8.8290280305336033E-2</v>
      </c>
      <c r="AG129" s="244">
        <f t="shared" si="249"/>
        <v>0.12395448451754265</v>
      </c>
      <c r="AH129" s="244">
        <f t="shared" si="249"/>
        <v>4.0278396055200005E-3</v>
      </c>
      <c r="AI129" s="244">
        <f t="shared" si="249"/>
        <v>-3.6729902629611511E-2</v>
      </c>
      <c r="AJ129" s="166">
        <f t="shared" ref="AJ129" si="250">AJ128/AH128-1</f>
        <v>1.7621986920500321E-2</v>
      </c>
      <c r="AK129" s="166">
        <f t="shared" ref="AK129" si="251">AK128/AI128-1</f>
        <v>1.8418178983911959E-2</v>
      </c>
    </row>
    <row r="130" spans="1:37">
      <c r="B130" s="32" t="s">
        <v>269</v>
      </c>
      <c r="C130" s="199"/>
      <c r="D130" s="199"/>
      <c r="E130" s="199"/>
      <c r="F130" s="199"/>
      <c r="G130" s="244">
        <f>G128/G117</f>
        <v>-0.14441897565071368</v>
      </c>
      <c r="H130" s="244">
        <f>H128/H117</f>
        <v>-0.15121195292873199</v>
      </c>
      <c r="I130" s="244">
        <f>I128/I117</f>
        <v>-0.15870475227502528</v>
      </c>
      <c r="J130" s="244">
        <f>J128/J117</f>
        <v>-0.1700159196669116</v>
      </c>
      <c r="K130" s="244">
        <f>K128/K117</f>
        <v>-0.16484697079411056</v>
      </c>
      <c r="L130" s="166">
        <f t="shared" ref="L130:P130" si="252">L128/L117</f>
        <v>-0.16384235740922037</v>
      </c>
      <c r="M130" s="166">
        <f t="shared" si="252"/>
        <v>-0.16444623773737141</v>
      </c>
      <c r="N130" s="166">
        <f t="shared" si="252"/>
        <v>-0.16504148274671263</v>
      </c>
      <c r="O130" s="166">
        <f t="shared" si="252"/>
        <v>-0.16262803462584888</v>
      </c>
      <c r="P130" s="166">
        <f t="shared" si="252"/>
        <v>-0.16020583160271551</v>
      </c>
      <c r="Q130" s="200"/>
      <c r="R130" s="199"/>
      <c r="S130" s="199"/>
      <c r="T130" s="199"/>
      <c r="U130" s="199"/>
      <c r="V130" s="199"/>
      <c r="W130" s="199"/>
      <c r="X130" s="199"/>
      <c r="Y130" s="199"/>
      <c r="Z130" s="199"/>
      <c r="AA130" s="199"/>
      <c r="AB130" s="244">
        <f t="shared" ref="AB130:AI130" si="253">AB128/AB117</f>
        <v>-0.14434169356841323</v>
      </c>
      <c r="AC130" s="244">
        <f t="shared" si="253"/>
        <v>-0.15903619909502262</v>
      </c>
      <c r="AD130" s="244">
        <f t="shared" si="253"/>
        <v>-0.15788477568031381</v>
      </c>
      <c r="AE130" s="244">
        <f t="shared" si="253"/>
        <v>-0.15957735455256977</v>
      </c>
      <c r="AF130" s="244">
        <f t="shared" si="253"/>
        <v>-0.1679942473633749</v>
      </c>
      <c r="AG130" s="244">
        <f t="shared" si="253"/>
        <v>-0.17212769153730598</v>
      </c>
      <c r="AH130" s="244">
        <f t="shared" si="253"/>
        <v>-0.16422287047841308</v>
      </c>
      <c r="AI130" s="244">
        <f t="shared" si="253"/>
        <v>-0.16551537115721068</v>
      </c>
      <c r="AJ130" s="166">
        <f t="shared" ref="AJ130:AK130" si="254">AJ128/AJ117</f>
        <v>-0.16324028578461855</v>
      </c>
      <c r="AK130" s="166">
        <f t="shared" si="254"/>
        <v>-0.1644865103898355</v>
      </c>
    </row>
    <row r="131" spans="1:37">
      <c r="B131" s="32" t="s">
        <v>268</v>
      </c>
      <c r="C131" s="199"/>
      <c r="D131" s="199"/>
      <c r="E131" s="199"/>
      <c r="F131" s="199"/>
      <c r="G131" s="199"/>
      <c r="H131" s="244">
        <f>H130-G130</f>
        <v>-6.7929772780183084E-3</v>
      </c>
      <c r="I131" s="244">
        <f>I130-H130</f>
        <v>-7.492799346293294E-3</v>
      </c>
      <c r="J131" s="244">
        <f>J130-I130</f>
        <v>-1.1311167391886312E-2</v>
      </c>
      <c r="K131" s="244">
        <f>K130-J130</f>
        <v>5.1689488728010324E-3</v>
      </c>
      <c r="L131" s="166">
        <f t="shared" ref="L131:P131" si="255">L130-K130</f>
        <v>1.0046133848901906E-3</v>
      </c>
      <c r="M131" s="166">
        <f t="shared" si="255"/>
        <v>-6.0388032815103521E-4</v>
      </c>
      <c r="N131" s="166">
        <f t="shared" si="255"/>
        <v>-5.9524500934121649E-4</v>
      </c>
      <c r="O131" s="166">
        <f t="shared" si="255"/>
        <v>2.4134481208637482E-3</v>
      </c>
      <c r="P131" s="166">
        <f t="shared" si="255"/>
        <v>2.422203023133368E-3</v>
      </c>
      <c r="Q131" s="200"/>
      <c r="R131" s="199"/>
      <c r="S131" s="199"/>
      <c r="T131" s="199"/>
      <c r="U131" s="199"/>
      <c r="V131" s="199"/>
      <c r="W131" s="199"/>
      <c r="X131" s="199"/>
      <c r="Y131" s="199"/>
      <c r="Z131" s="199"/>
      <c r="AA131" s="199"/>
      <c r="AB131" s="199"/>
      <c r="AC131" s="199"/>
      <c r="AD131" s="244">
        <f t="shared" ref="AD131:AI131" si="256">AD130-AB130</f>
        <v>-1.3543082111900584E-2</v>
      </c>
      <c r="AE131" s="244">
        <f t="shared" si="256"/>
        <v>-5.4115545754715444E-4</v>
      </c>
      <c r="AF131" s="244">
        <f t="shared" si="256"/>
        <v>-1.0109471683061089E-2</v>
      </c>
      <c r="AG131" s="244">
        <f t="shared" si="256"/>
        <v>-1.2550336984736205E-2</v>
      </c>
      <c r="AH131" s="244">
        <f t="shared" si="256"/>
        <v>3.771376884961819E-3</v>
      </c>
      <c r="AI131" s="244">
        <f t="shared" si="256"/>
        <v>6.6123203800952934E-3</v>
      </c>
      <c r="AJ131" s="166">
        <f t="shared" ref="AJ131" si="257">AJ130-AH130</f>
        <v>9.8258469379453039E-4</v>
      </c>
      <c r="AK131" s="166">
        <f t="shared" ref="AK131" si="258">AK130-AI130</f>
        <v>1.0288607673751837E-3</v>
      </c>
    </row>
    <row r="132" spans="1:37">
      <c r="B132" s="32"/>
      <c r="C132" s="104"/>
      <c r="D132" s="199"/>
      <c r="E132" s="199"/>
      <c r="F132" s="199"/>
      <c r="G132" s="199"/>
      <c r="H132" s="199"/>
      <c r="I132" s="199"/>
      <c r="J132" s="199"/>
      <c r="K132" s="199"/>
      <c r="L132" s="200"/>
      <c r="M132" s="200"/>
      <c r="N132" s="200"/>
      <c r="O132" s="200"/>
      <c r="P132" s="200"/>
      <c r="Q132" s="200"/>
      <c r="R132" s="199"/>
      <c r="S132" s="199"/>
      <c r="T132" s="199"/>
      <c r="U132" s="199"/>
      <c r="V132" s="199"/>
      <c r="W132" s="199"/>
      <c r="X132" s="199"/>
      <c r="Y132" s="199"/>
      <c r="Z132" s="199"/>
      <c r="AA132" s="199"/>
      <c r="AB132" s="199"/>
      <c r="AC132" s="199"/>
      <c r="AD132" s="199"/>
      <c r="AE132" s="199"/>
      <c r="AF132" s="199"/>
      <c r="AG132" s="199"/>
      <c r="AH132" s="199"/>
      <c r="AI132" s="199"/>
      <c r="AJ132" s="200"/>
      <c r="AK132" s="200"/>
    </row>
    <row r="133" spans="1:37">
      <c r="B133" s="25" t="s">
        <v>44</v>
      </c>
      <c r="C133" s="107"/>
      <c r="D133" s="228"/>
      <c r="E133" s="228"/>
      <c r="F133" s="228"/>
      <c r="G133" s="26">
        <v>633</v>
      </c>
      <c r="H133" s="26">
        <v>611</v>
      </c>
      <c r="I133" s="26">
        <v>572</v>
      </c>
      <c r="J133" s="26">
        <v>449</v>
      </c>
      <c r="K133" s="26">
        <v>515</v>
      </c>
      <c r="L133" s="216">
        <f>L143-L138</f>
        <v>561.47564550000004</v>
      </c>
      <c r="M133" s="216">
        <f t="shared" ref="M133:P133" si="259">M143-M138</f>
        <v>605.58973587000014</v>
      </c>
      <c r="N133" s="216">
        <f t="shared" si="259"/>
        <v>652.37796674681294</v>
      </c>
      <c r="O133" s="216">
        <f t="shared" si="259"/>
        <v>730.68219511816892</v>
      </c>
      <c r="P133" s="216">
        <f t="shared" si="259"/>
        <v>814.27287430562205</v>
      </c>
      <c r="Q133" s="200"/>
      <c r="R133" s="228"/>
      <c r="S133" s="228"/>
      <c r="T133" s="228"/>
      <c r="U133" s="228"/>
      <c r="V133" s="228"/>
      <c r="W133" s="228"/>
      <c r="X133" s="228"/>
      <c r="Y133" s="228"/>
      <c r="Z133" s="228"/>
      <c r="AA133" s="228"/>
      <c r="AB133" s="262">
        <v>353</v>
      </c>
      <c r="AC133" s="263">
        <f>H133-AB133</f>
        <v>258</v>
      </c>
      <c r="AD133" s="262">
        <v>286</v>
      </c>
      <c r="AE133" s="263">
        <f>I133-AD133</f>
        <v>286</v>
      </c>
      <c r="AF133" s="262">
        <v>242</v>
      </c>
      <c r="AG133" s="263">
        <f>J133-AF133</f>
        <v>207</v>
      </c>
      <c r="AH133" s="262">
        <v>269</v>
      </c>
      <c r="AI133" s="263">
        <f>K133-AH133</f>
        <v>246</v>
      </c>
      <c r="AJ133" s="216">
        <f>AJ143-AJ138</f>
        <v>292.85865908602148</v>
      </c>
      <c r="AK133" s="216">
        <f>L133-AJ133</f>
        <v>268.61698641397857</v>
      </c>
    </row>
    <row r="134" spans="1:37">
      <c r="B134" s="32" t="s">
        <v>270</v>
      </c>
      <c r="C134" s="104"/>
      <c r="D134" s="199"/>
      <c r="E134" s="199"/>
      <c r="F134" s="199"/>
      <c r="G134" s="244"/>
      <c r="H134" s="244">
        <f>H133/G133-1</f>
        <v>-3.4755134281200584E-2</v>
      </c>
      <c r="I134" s="244">
        <f>I133/H133-1</f>
        <v>-6.3829787234042534E-2</v>
      </c>
      <c r="J134" s="244">
        <f>J133/I133-1</f>
        <v>-0.215034965034965</v>
      </c>
      <c r="K134" s="279">
        <f>K133/J133-1</f>
        <v>0.14699331848552344</v>
      </c>
      <c r="L134" s="274">
        <f t="shared" ref="L134" si="260">L133/K133-1</f>
        <v>9.0243971844660376E-2</v>
      </c>
      <c r="M134" s="274">
        <f t="shared" ref="M134" si="261">M133/L133-1</f>
        <v>7.8568127974127933E-2</v>
      </c>
      <c r="N134" s="274">
        <f t="shared" ref="N134" si="262">N133/M133-1</f>
        <v>7.7260607479742172E-2</v>
      </c>
      <c r="O134" s="274">
        <f t="shared" ref="O134" si="263">O133/N133-1</f>
        <v>0.12002892857009329</v>
      </c>
      <c r="P134" s="274">
        <f t="shared" ref="P134" si="264">P133/O133-1</f>
        <v>0.11440087050969483</v>
      </c>
      <c r="Q134" s="200"/>
      <c r="R134" s="199"/>
      <c r="S134" s="199"/>
      <c r="T134" s="199"/>
      <c r="U134" s="199"/>
      <c r="V134" s="199"/>
      <c r="W134" s="199"/>
      <c r="X134" s="199"/>
      <c r="Y134" s="199"/>
      <c r="Z134" s="199"/>
      <c r="AA134" s="199"/>
      <c r="AB134" s="244"/>
      <c r="AC134" s="244"/>
      <c r="AD134" s="244">
        <f t="shared" ref="AD134:AI134" si="265">AD133/AB133-1</f>
        <v>-0.1898016997167139</v>
      </c>
      <c r="AE134" s="244">
        <f t="shared" si="265"/>
        <v>0.10852713178294571</v>
      </c>
      <c r="AF134" s="244">
        <f t="shared" si="265"/>
        <v>-0.15384615384615385</v>
      </c>
      <c r="AG134" s="244">
        <f t="shared" si="265"/>
        <v>-0.27622377622377625</v>
      </c>
      <c r="AH134" s="244">
        <f t="shared" si="265"/>
        <v>0.11157024793388426</v>
      </c>
      <c r="AI134" s="244">
        <f t="shared" si="265"/>
        <v>0.18840579710144922</v>
      </c>
      <c r="AJ134" s="166">
        <f t="shared" ref="AJ134" si="266">AJ133/AH133-1</f>
        <v>8.8693899948035115E-2</v>
      </c>
      <c r="AK134" s="166">
        <f t="shared" ref="AK134" si="267">AK133/AI133-1</f>
        <v>9.1938969162514539E-2</v>
      </c>
    </row>
    <row r="135" spans="1:37">
      <c r="B135" s="32" t="s">
        <v>271</v>
      </c>
      <c r="C135" s="104"/>
      <c r="D135" s="199"/>
      <c r="E135" s="199"/>
      <c r="F135" s="199"/>
      <c r="G135" s="256">
        <f>G133/G117</f>
        <v>8.8581024349286316E-2</v>
      </c>
      <c r="H135" s="256">
        <f>H133/H117</f>
        <v>8.0788047071268021E-2</v>
      </c>
      <c r="I135" s="256">
        <f>I133/I117</f>
        <v>7.2295247724974726E-2</v>
      </c>
      <c r="J135" s="256">
        <f>J133/J117</f>
        <v>5.4984080333088416E-2</v>
      </c>
      <c r="K135" s="256">
        <f>K133/K117</f>
        <v>6.215302920588945E-2</v>
      </c>
      <c r="L135" s="257">
        <f t="shared" ref="L135:P135" si="268">L133/L117</f>
        <v>6.6157642590779664E-2</v>
      </c>
      <c r="M135" s="257">
        <f t="shared" si="268"/>
        <v>6.8553762262628617E-2</v>
      </c>
      <c r="N135" s="257">
        <f t="shared" si="268"/>
        <v>7.0958517253287376E-2</v>
      </c>
      <c r="O135" s="257">
        <f t="shared" si="268"/>
        <v>7.6371965374151113E-2</v>
      </c>
      <c r="P135" s="257">
        <f t="shared" si="268"/>
        <v>8.1794168397284511E-2</v>
      </c>
      <c r="Q135" s="200"/>
      <c r="R135" s="199"/>
      <c r="S135" s="199"/>
      <c r="T135" s="199"/>
      <c r="U135" s="199"/>
      <c r="V135" s="199"/>
      <c r="W135" s="199"/>
      <c r="X135" s="199"/>
      <c r="Y135" s="199"/>
      <c r="Z135" s="199"/>
      <c r="AA135" s="199"/>
      <c r="AB135" s="256">
        <f t="shared" ref="AB135:AK135" si="269">AB133/AB117</f>
        <v>8.7658306431586785E-2</v>
      </c>
      <c r="AC135" s="256">
        <f t="shared" si="269"/>
        <v>7.296380090497738E-2</v>
      </c>
      <c r="AD135" s="256">
        <f t="shared" si="269"/>
        <v>7.0115224319686198E-2</v>
      </c>
      <c r="AE135" s="256">
        <f t="shared" si="269"/>
        <v>7.4615183929037307E-2</v>
      </c>
      <c r="AF135" s="256">
        <f t="shared" si="269"/>
        <v>5.8005752636625121E-2</v>
      </c>
      <c r="AG135" s="256">
        <f t="shared" si="269"/>
        <v>5.1827741612418626E-2</v>
      </c>
      <c r="AH135" s="256">
        <f t="shared" si="269"/>
        <v>6.2777129521586927E-2</v>
      </c>
      <c r="AI135" s="256">
        <f t="shared" si="269"/>
        <v>6.1484628842789303E-2</v>
      </c>
      <c r="AJ135" s="257">
        <f t="shared" si="269"/>
        <v>6.675971421538146E-2</v>
      </c>
      <c r="AK135" s="257">
        <f t="shared" si="269"/>
        <v>6.5513489610164566E-2</v>
      </c>
    </row>
    <row r="136" spans="1:37">
      <c r="B136" s="32" t="s">
        <v>268</v>
      </c>
      <c r="C136" s="104"/>
      <c r="D136" s="199"/>
      <c r="E136" s="199"/>
      <c r="F136" s="199"/>
      <c r="G136" s="244"/>
      <c r="H136" s="244">
        <f>H135-G135</f>
        <v>-7.7929772780182954E-3</v>
      </c>
      <c r="I136" s="244">
        <f>I135-H135</f>
        <v>-8.4927993462932949E-3</v>
      </c>
      <c r="J136" s="244">
        <f>J135-I135</f>
        <v>-1.731116739188631E-2</v>
      </c>
      <c r="K136" s="244">
        <f>K135-J135</f>
        <v>7.1689488728010342E-3</v>
      </c>
      <c r="L136" s="166">
        <f t="shared" ref="L136" si="270">L135-K135</f>
        <v>4.0046133848902141E-3</v>
      </c>
      <c r="M136" s="166">
        <f t="shared" ref="M136" si="271">M135-L135</f>
        <v>2.3961196718489536E-3</v>
      </c>
      <c r="N136" s="166">
        <f t="shared" ref="N136" si="272">N135-M135</f>
        <v>2.4047549906587584E-3</v>
      </c>
      <c r="O136" s="166">
        <f t="shared" ref="O136" si="273">O135-N135</f>
        <v>5.4134481208637369E-3</v>
      </c>
      <c r="P136" s="166">
        <f t="shared" ref="P136" si="274">P135-O135</f>
        <v>5.4222030231333984E-3</v>
      </c>
      <c r="Q136" s="200"/>
      <c r="R136" s="199"/>
      <c r="S136" s="199"/>
      <c r="T136" s="199"/>
      <c r="U136" s="199"/>
      <c r="V136" s="199"/>
      <c r="W136" s="199"/>
      <c r="X136" s="199"/>
      <c r="Y136" s="199"/>
      <c r="Z136" s="199"/>
      <c r="AA136" s="199"/>
      <c r="AB136" s="244"/>
      <c r="AC136" s="244"/>
      <c r="AD136" s="244">
        <f t="shared" ref="AD136:AI136" si="275">AD135-AB135</f>
        <v>-1.7543082111900588E-2</v>
      </c>
      <c r="AE136" s="244">
        <f t="shared" si="275"/>
        <v>1.651383024059927E-3</v>
      </c>
      <c r="AF136" s="244">
        <f t="shared" si="275"/>
        <v>-1.2109471683061077E-2</v>
      </c>
      <c r="AG136" s="244">
        <f t="shared" si="275"/>
        <v>-2.2787442316618681E-2</v>
      </c>
      <c r="AH136" s="244">
        <f t="shared" si="275"/>
        <v>4.771376884961806E-3</v>
      </c>
      <c r="AI136" s="244">
        <f t="shared" si="275"/>
        <v>9.6568872303706768E-3</v>
      </c>
      <c r="AJ136" s="166">
        <f t="shared" ref="AJ136" si="276">AJ135-AH135</f>
        <v>3.9825846937945331E-3</v>
      </c>
      <c r="AK136" s="166">
        <f t="shared" ref="AK136" si="277">AK135-AI135</f>
        <v>4.0288607673752627E-3</v>
      </c>
    </row>
    <row r="137" spans="1:37">
      <c r="B137" s="32"/>
      <c r="C137" s="104"/>
      <c r="D137" s="199"/>
      <c r="E137" s="199"/>
      <c r="F137" s="199"/>
      <c r="G137" s="199"/>
      <c r="H137" s="199"/>
      <c r="I137" s="199"/>
      <c r="J137" s="199"/>
      <c r="K137" s="199"/>
      <c r="L137" s="200"/>
      <c r="M137" s="200"/>
      <c r="N137" s="200"/>
      <c r="O137" s="200"/>
      <c r="P137" s="200"/>
      <c r="Q137" s="200"/>
      <c r="R137" s="199"/>
      <c r="S137" s="199"/>
      <c r="T137" s="199"/>
      <c r="U137" s="199"/>
      <c r="V137" s="199"/>
      <c r="W137" s="199"/>
      <c r="X137" s="199"/>
      <c r="Y137" s="199"/>
      <c r="Z137" s="199"/>
      <c r="AA137" s="199"/>
      <c r="AB137" s="199"/>
      <c r="AC137" s="199"/>
      <c r="AD137" s="199"/>
      <c r="AE137" s="199"/>
      <c r="AF137" s="199"/>
      <c r="AG137" s="199"/>
      <c r="AH137" s="199"/>
      <c r="AI137" s="199"/>
      <c r="AJ137" s="200"/>
      <c r="AK137" s="200"/>
    </row>
    <row r="138" spans="1:37" s="7" customFormat="1">
      <c r="A138" s="6"/>
      <c r="B138" s="25" t="s">
        <v>45</v>
      </c>
      <c r="C138" s="107"/>
      <c r="D138" s="228"/>
      <c r="E138" s="228"/>
      <c r="F138" s="228"/>
      <c r="G138" s="26">
        <v>-272</v>
      </c>
      <c r="H138" s="26">
        <v>-295</v>
      </c>
      <c r="I138" s="26">
        <v>-323</v>
      </c>
      <c r="J138" s="26">
        <v>-341</v>
      </c>
      <c r="K138" s="26">
        <v>-365</v>
      </c>
      <c r="L138" s="216">
        <f>K138*(1+L139)</f>
        <v>-383.25</v>
      </c>
      <c r="M138" s="216">
        <f t="shared" ref="M138" si="278">L138*(1+M139)</f>
        <v>-402.41250000000002</v>
      </c>
      <c r="N138" s="216">
        <f t="shared" ref="N138" si="279">M138*(1+N139)</f>
        <v>-422.53312500000004</v>
      </c>
      <c r="O138" s="216">
        <f t="shared" ref="O138" si="280">N138*(1+O139)</f>
        <v>-443.65978125000004</v>
      </c>
      <c r="P138" s="216">
        <f t="shared" ref="P138" si="281">O138*(1+P139)</f>
        <v>-465.84277031250008</v>
      </c>
      <c r="Q138" s="229"/>
      <c r="R138" s="228"/>
      <c r="S138" s="228"/>
      <c r="T138" s="228"/>
      <c r="U138" s="228"/>
      <c r="V138" s="228"/>
      <c r="W138" s="228"/>
      <c r="X138" s="228"/>
      <c r="Y138" s="228"/>
      <c r="Z138" s="228"/>
      <c r="AA138" s="228"/>
      <c r="AB138" s="26">
        <v>-153</v>
      </c>
      <c r="AC138" s="59">
        <f>H138-AB138</f>
        <v>-142</v>
      </c>
      <c r="AD138" s="26">
        <v>-164</v>
      </c>
      <c r="AE138" s="59">
        <f>I138-AD138</f>
        <v>-159</v>
      </c>
      <c r="AF138" s="26">
        <v>-171</v>
      </c>
      <c r="AG138" s="59">
        <f>J138-AF138</f>
        <v>-170</v>
      </c>
      <c r="AH138" s="26">
        <v>-187</v>
      </c>
      <c r="AI138" s="59">
        <f>K138-AH138</f>
        <v>-178</v>
      </c>
      <c r="AJ138" s="216">
        <f>AH138*(1+AJ139)</f>
        <v>-196.35</v>
      </c>
      <c r="AK138" s="216">
        <f>L138-AJ138</f>
        <v>-186.9</v>
      </c>
    </row>
    <row r="139" spans="1:37">
      <c r="B139" s="32" t="s">
        <v>265</v>
      </c>
      <c r="C139" s="104"/>
      <c r="D139" s="199"/>
      <c r="E139" s="199"/>
      <c r="F139" s="199"/>
      <c r="G139" s="244"/>
      <c r="H139" s="244">
        <f>H138/G138-1</f>
        <v>8.4558823529411686E-2</v>
      </c>
      <c r="I139" s="244">
        <f>I138/H138-1</f>
        <v>9.4915254237288194E-2</v>
      </c>
      <c r="J139" s="244">
        <f>J138/I138-1</f>
        <v>5.5727554179566541E-2</v>
      </c>
      <c r="K139" s="279">
        <f>K138/J138-1</f>
        <v>7.038123167155419E-2</v>
      </c>
      <c r="L139" s="160">
        <v>0.05</v>
      </c>
      <c r="M139" s="160">
        <v>0.05</v>
      </c>
      <c r="N139" s="160">
        <v>0.05</v>
      </c>
      <c r="O139" s="160">
        <v>0.05</v>
      </c>
      <c r="P139" s="160">
        <v>0.05</v>
      </c>
      <c r="Q139" s="200"/>
      <c r="R139" s="199"/>
      <c r="S139" s="199"/>
      <c r="T139" s="199"/>
      <c r="U139" s="199"/>
      <c r="V139" s="199"/>
      <c r="W139" s="199"/>
      <c r="X139" s="199"/>
      <c r="Y139" s="199"/>
      <c r="Z139" s="199"/>
      <c r="AA139" s="199"/>
      <c r="AB139" s="244"/>
      <c r="AC139" s="244"/>
      <c r="AD139" s="244">
        <f t="shared" ref="AD139:AI139" si="282">AD138/AB138-1</f>
        <v>7.1895424836601274E-2</v>
      </c>
      <c r="AE139" s="244">
        <f t="shared" si="282"/>
        <v>0.11971830985915499</v>
      </c>
      <c r="AF139" s="244">
        <f t="shared" si="282"/>
        <v>4.2682926829268331E-2</v>
      </c>
      <c r="AG139" s="244">
        <f t="shared" si="282"/>
        <v>6.9182389937106903E-2</v>
      </c>
      <c r="AH139" s="244">
        <f t="shared" si="282"/>
        <v>9.3567251461988299E-2</v>
      </c>
      <c r="AI139" s="244">
        <f t="shared" si="282"/>
        <v>4.705882352941182E-2</v>
      </c>
      <c r="AJ139" s="160">
        <v>0.05</v>
      </c>
      <c r="AK139" s="166">
        <f>AK138/AI138-1</f>
        <v>5.0000000000000044E-2</v>
      </c>
    </row>
    <row r="140" spans="1:37">
      <c r="B140" s="32" t="s">
        <v>269</v>
      </c>
      <c r="C140" s="199"/>
      <c r="D140" s="199"/>
      <c r="E140" s="199"/>
      <c r="F140" s="199"/>
      <c r="G140" s="244">
        <f>G138/G117</f>
        <v>-3.8063252169045617E-2</v>
      </c>
      <c r="H140" s="244">
        <f>H138/H117</f>
        <v>-3.9005685574507468E-2</v>
      </c>
      <c r="I140" s="244">
        <f>I138/I117</f>
        <v>-4.082406471183013E-2</v>
      </c>
      <c r="J140" s="244">
        <f>J138/J117</f>
        <v>-4.1758510898848883E-2</v>
      </c>
      <c r="K140" s="244">
        <f>K138/K117</f>
        <v>-4.4050205165339126E-2</v>
      </c>
      <c r="L140" s="166">
        <f t="shared" ref="L140:P140" si="283">L138/L117</f>
        <v>-4.5157642590779666E-2</v>
      </c>
      <c r="M140" s="166">
        <f t="shared" si="283"/>
        <v>-4.5553762262628611E-2</v>
      </c>
      <c r="N140" s="166">
        <f t="shared" si="283"/>
        <v>-4.5958517253287361E-2</v>
      </c>
      <c r="O140" s="166">
        <f t="shared" si="283"/>
        <v>-4.6371965374151114E-2</v>
      </c>
      <c r="P140" s="166">
        <f t="shared" si="283"/>
        <v>-4.6794168397284515E-2</v>
      </c>
      <c r="Q140" s="166"/>
      <c r="R140" s="199"/>
      <c r="S140" s="199"/>
      <c r="T140" s="199"/>
      <c r="U140" s="199"/>
      <c r="V140" s="199"/>
      <c r="W140" s="199"/>
      <c r="X140" s="199"/>
      <c r="Y140" s="199"/>
      <c r="Z140" s="199"/>
      <c r="AA140" s="199"/>
      <c r="AB140" s="244">
        <f t="shared" ref="AB140:AK140" si="284">AB138/AB117</f>
        <v>-3.7993543580829403E-2</v>
      </c>
      <c r="AC140" s="244">
        <f t="shared" si="284"/>
        <v>-4.0158371040723985E-2</v>
      </c>
      <c r="AD140" s="244">
        <f t="shared" si="284"/>
        <v>-4.0205932826673202E-2</v>
      </c>
      <c r="AE140" s="244">
        <f t="shared" si="284"/>
        <v>-4.1481867988520743E-2</v>
      </c>
      <c r="AF140" s="244">
        <f t="shared" si="284"/>
        <v>-4.0987535953978908E-2</v>
      </c>
      <c r="AG140" s="244">
        <f t="shared" si="284"/>
        <v>-4.2563845768652978E-2</v>
      </c>
      <c r="AH140" s="244">
        <f t="shared" si="284"/>
        <v>-4.3640606767794632E-2</v>
      </c>
      <c r="AI140" s="244">
        <f t="shared" si="284"/>
        <v>-4.448887778055486E-2</v>
      </c>
      <c r="AJ140" s="166">
        <f t="shared" si="284"/>
        <v>-4.4759714215381462E-2</v>
      </c>
      <c r="AK140" s="166">
        <f t="shared" si="284"/>
        <v>-4.5583383879041865E-2</v>
      </c>
    </row>
    <row r="141" spans="1:37">
      <c r="B141" s="32" t="s">
        <v>268</v>
      </c>
      <c r="C141" s="199"/>
      <c r="D141" s="199"/>
      <c r="E141" s="199"/>
      <c r="F141" s="199"/>
      <c r="G141" s="244"/>
      <c r="H141" s="244">
        <f>H140-G140</f>
        <v>-9.4243340546185106E-4</v>
      </c>
      <c r="I141" s="244">
        <f>I140-H140</f>
        <v>-1.8183791373226621E-3</v>
      </c>
      <c r="J141" s="244">
        <f>J140-I140</f>
        <v>-9.3444618701875315E-4</v>
      </c>
      <c r="K141" s="244">
        <f>K140-J140</f>
        <v>-2.2916942664902434E-3</v>
      </c>
      <c r="L141" s="166">
        <f t="shared" ref="L141" si="285">L140-K140</f>
        <v>-1.1074374254405397E-3</v>
      </c>
      <c r="M141" s="166">
        <f t="shared" ref="M141" si="286">M140-L140</f>
        <v>-3.9611967184894487E-4</v>
      </c>
      <c r="N141" s="166">
        <f t="shared" ref="N141" si="287">N140-M140</f>
        <v>-4.047549906587497E-4</v>
      </c>
      <c r="O141" s="166">
        <f t="shared" ref="O141" si="288">O140-N140</f>
        <v>-4.1344812086375332E-4</v>
      </c>
      <c r="P141" s="166">
        <f t="shared" ref="P141" si="289">P140-O140</f>
        <v>-4.2220302313340091E-4</v>
      </c>
      <c r="Q141" s="200"/>
      <c r="R141" s="199"/>
      <c r="S141" s="199"/>
      <c r="T141" s="199"/>
      <c r="U141" s="199"/>
      <c r="V141" s="199"/>
      <c r="W141" s="199"/>
      <c r="X141" s="199"/>
      <c r="Y141" s="199"/>
      <c r="Z141" s="199"/>
      <c r="AA141" s="199"/>
      <c r="AB141" s="244"/>
      <c r="AC141" s="244"/>
      <c r="AD141" s="244">
        <f t="shared" ref="AD141:AI141" si="290">AD140-AB140</f>
        <v>-2.2123892458437988E-3</v>
      </c>
      <c r="AE141" s="244">
        <f t="shared" si="290"/>
        <v>-1.3234969477967581E-3</v>
      </c>
      <c r="AF141" s="244">
        <f t="shared" si="290"/>
        <v>-7.8160312730570641E-4</v>
      </c>
      <c r="AG141" s="244">
        <f t="shared" si="290"/>
        <v>-1.0819777801322344E-3</v>
      </c>
      <c r="AH141" s="244">
        <f t="shared" si="290"/>
        <v>-2.6530708138157236E-3</v>
      </c>
      <c r="AI141" s="244">
        <f t="shared" si="290"/>
        <v>-1.9250320119018824E-3</v>
      </c>
      <c r="AJ141" s="166">
        <f t="shared" ref="AJ141" si="291">AJ140-AH140</f>
        <v>-1.1191074475868298E-3</v>
      </c>
      <c r="AK141" s="166">
        <f t="shared" ref="AK141" si="292">AK140-AI140</f>
        <v>-1.0945060984870053E-3</v>
      </c>
    </row>
    <row r="142" spans="1:37">
      <c r="B142" s="32"/>
      <c r="C142" s="199"/>
      <c r="D142" s="199"/>
      <c r="E142" s="199"/>
      <c r="F142" s="199"/>
      <c r="G142" s="199"/>
      <c r="H142" s="199"/>
      <c r="I142" s="199"/>
      <c r="J142" s="199"/>
      <c r="K142" s="199"/>
      <c r="L142" s="200"/>
      <c r="M142" s="200"/>
      <c r="N142" s="200"/>
      <c r="O142" s="200"/>
      <c r="P142" s="200"/>
      <c r="Q142" s="200"/>
      <c r="R142" s="199"/>
      <c r="S142" s="199"/>
      <c r="T142" s="199"/>
      <c r="U142" s="199"/>
      <c r="V142" s="199"/>
      <c r="W142" s="199"/>
      <c r="X142" s="199"/>
      <c r="Y142" s="199"/>
      <c r="Z142" s="199"/>
      <c r="AA142" s="199"/>
      <c r="AB142" s="199"/>
      <c r="AC142" s="199"/>
      <c r="AD142" s="199"/>
      <c r="AE142" s="199"/>
      <c r="AF142" s="199"/>
      <c r="AG142" s="199"/>
      <c r="AH142" s="199"/>
      <c r="AI142" s="199"/>
      <c r="AJ142" s="200"/>
      <c r="AK142" s="200"/>
    </row>
    <row r="143" spans="1:37">
      <c r="B143" s="25" t="s">
        <v>39</v>
      </c>
      <c r="C143" s="26">
        <v>309</v>
      </c>
      <c r="D143" s="40">
        <v>284</v>
      </c>
      <c r="E143" s="40">
        <v>296</v>
      </c>
      <c r="F143" s="40">
        <v>378</v>
      </c>
      <c r="G143" s="40">
        <v>361</v>
      </c>
      <c r="H143" s="40">
        <v>316</v>
      </c>
      <c r="I143" s="40">
        <v>249</v>
      </c>
      <c r="J143" s="40">
        <v>108</v>
      </c>
      <c r="K143" s="40">
        <v>150</v>
      </c>
      <c r="L143" s="216">
        <f>L145*L117</f>
        <v>178.22564550000004</v>
      </c>
      <c r="M143" s="216">
        <f t="shared" ref="M143:P143" si="293">M145*M117</f>
        <v>203.17723587000006</v>
      </c>
      <c r="N143" s="216">
        <f t="shared" si="293"/>
        <v>229.84484174681285</v>
      </c>
      <c r="O143" s="216">
        <f t="shared" si="293"/>
        <v>287.02241386816894</v>
      </c>
      <c r="P143" s="216">
        <f t="shared" si="293"/>
        <v>348.43010399312197</v>
      </c>
      <c r="Q143" s="200"/>
      <c r="R143" s="26">
        <v>163</v>
      </c>
      <c r="S143" s="59">
        <f>C143-R143</f>
        <v>146</v>
      </c>
      <c r="T143" s="26">
        <v>151</v>
      </c>
      <c r="U143" s="59">
        <f>D143-T143</f>
        <v>133</v>
      </c>
      <c r="V143" s="40">
        <v>148</v>
      </c>
      <c r="W143" s="59">
        <f>E143-V143</f>
        <v>148</v>
      </c>
      <c r="X143" s="40">
        <v>186</v>
      </c>
      <c r="Y143" s="59">
        <f>F143-X143</f>
        <v>192</v>
      </c>
      <c r="Z143" s="40">
        <v>194</v>
      </c>
      <c r="AA143" s="59">
        <f>G143-Z143</f>
        <v>167</v>
      </c>
      <c r="AB143" s="40">
        <v>200</v>
      </c>
      <c r="AC143" s="59">
        <f>H143-AB143</f>
        <v>116</v>
      </c>
      <c r="AD143" s="40">
        <v>122</v>
      </c>
      <c r="AE143" s="59">
        <f>I143-AD143</f>
        <v>127</v>
      </c>
      <c r="AF143" s="26">
        <v>71</v>
      </c>
      <c r="AG143" s="59">
        <f>J143-AF143</f>
        <v>37</v>
      </c>
      <c r="AH143" s="26">
        <v>82</v>
      </c>
      <c r="AI143" s="59">
        <f>K143-AH143</f>
        <v>68</v>
      </c>
      <c r="AJ143" s="216">
        <f>AJ145*AJ117</f>
        <v>96.508659086021495</v>
      </c>
      <c r="AK143" s="216">
        <f>L143-AJ143</f>
        <v>81.716986413978546</v>
      </c>
    </row>
    <row r="144" spans="1:37">
      <c r="B144" s="32" t="s">
        <v>270</v>
      </c>
      <c r="C144" s="199"/>
      <c r="D144" s="244">
        <f t="shared" ref="D144:K144" si="294">D143/C143-1</f>
        <v>-8.0906148867313954E-2</v>
      </c>
      <c r="E144" s="244">
        <f t="shared" si="294"/>
        <v>4.2253521126760507E-2</v>
      </c>
      <c r="F144" s="244">
        <f t="shared" si="294"/>
        <v>0.27702702702702697</v>
      </c>
      <c r="G144" s="244">
        <f t="shared" si="294"/>
        <v>-4.4973544973544999E-2</v>
      </c>
      <c r="H144" s="244">
        <f t="shared" si="294"/>
        <v>-0.1246537396121884</v>
      </c>
      <c r="I144" s="244">
        <f t="shared" si="294"/>
        <v>-0.21202531645569622</v>
      </c>
      <c r="J144" s="244">
        <f t="shared" si="294"/>
        <v>-0.56626506024096379</v>
      </c>
      <c r="K144" s="279">
        <f t="shared" si="294"/>
        <v>0.38888888888888884</v>
      </c>
      <c r="L144" s="274">
        <f t="shared" ref="L144" si="295">L143/K143-1</f>
        <v>0.18817097000000027</v>
      </c>
      <c r="M144" s="274">
        <f t="shared" ref="M144" si="296">M143/L143-1</f>
        <v>0.14000000000000012</v>
      </c>
      <c r="N144" s="274">
        <f t="shared" ref="N144" si="297">N143/M143-1</f>
        <v>0.1312529219261338</v>
      </c>
      <c r="O144" s="274">
        <f t="shared" ref="O144" si="298">O143/N143-1</f>
        <v>0.24876595744680863</v>
      </c>
      <c r="P144" s="274">
        <f t="shared" ref="P144" si="299">P143/O143-1</f>
        <v>0.21394736842105289</v>
      </c>
      <c r="Q144" s="200"/>
      <c r="R144" s="199"/>
      <c r="S144" s="199"/>
      <c r="T144" s="244">
        <f t="shared" ref="T144:AI144" si="300">T143/R143-1</f>
        <v>-7.361963190184051E-2</v>
      </c>
      <c r="U144" s="244">
        <f t="shared" si="300"/>
        <v>-8.9041095890410982E-2</v>
      </c>
      <c r="V144" s="244">
        <f t="shared" si="300"/>
        <v>-1.9867549668874163E-2</v>
      </c>
      <c r="W144" s="244">
        <f t="shared" si="300"/>
        <v>0.11278195488721798</v>
      </c>
      <c r="X144" s="244">
        <f t="shared" si="300"/>
        <v>0.2567567567567568</v>
      </c>
      <c r="Y144" s="244">
        <f t="shared" si="300"/>
        <v>0.29729729729729737</v>
      </c>
      <c r="Z144" s="244">
        <f t="shared" si="300"/>
        <v>4.3010752688172005E-2</v>
      </c>
      <c r="AA144" s="244">
        <f t="shared" si="300"/>
        <v>-0.13020833333333337</v>
      </c>
      <c r="AB144" s="244">
        <f t="shared" si="300"/>
        <v>3.0927835051546282E-2</v>
      </c>
      <c r="AC144" s="244">
        <f t="shared" si="300"/>
        <v>-0.30538922155688619</v>
      </c>
      <c r="AD144" s="244">
        <f t="shared" si="300"/>
        <v>-0.39</v>
      </c>
      <c r="AE144" s="244">
        <f t="shared" si="300"/>
        <v>9.4827586206896575E-2</v>
      </c>
      <c r="AF144" s="244">
        <f t="shared" si="300"/>
        <v>-0.41803278688524592</v>
      </c>
      <c r="AG144" s="244">
        <f t="shared" si="300"/>
        <v>-0.70866141732283472</v>
      </c>
      <c r="AH144" s="244">
        <f t="shared" si="300"/>
        <v>0.15492957746478875</v>
      </c>
      <c r="AI144" s="244">
        <f t="shared" si="300"/>
        <v>0.83783783783783794</v>
      </c>
      <c r="AJ144" s="166">
        <f t="shared" ref="AJ144" si="301">AJ143/AH143-1</f>
        <v>0.1769348669027011</v>
      </c>
      <c r="AK144" s="166">
        <f t="shared" ref="AK144" si="302">AK143/AI143-1</f>
        <v>0.20172038844086093</v>
      </c>
    </row>
    <row r="145" spans="1:38">
      <c r="A145" s="6" t="s">
        <v>434</v>
      </c>
      <c r="B145" s="32" t="s">
        <v>259</v>
      </c>
      <c r="C145" s="256">
        <f t="shared" ref="C145:K145" si="303">C143/C117</f>
        <v>4.9582798459563544E-2</v>
      </c>
      <c r="D145" s="256">
        <f t="shared" si="303"/>
        <v>4.4402751719824891E-2</v>
      </c>
      <c r="E145" s="256">
        <f t="shared" si="303"/>
        <v>4.4100119189511323E-2</v>
      </c>
      <c r="F145" s="256">
        <f t="shared" si="303"/>
        <v>5.2558398220244718E-2</v>
      </c>
      <c r="G145" s="256">
        <f t="shared" si="303"/>
        <v>5.0517772180240693E-2</v>
      </c>
      <c r="H145" s="256">
        <f t="shared" si="303"/>
        <v>4.1782361496760546E-2</v>
      </c>
      <c r="I145" s="256">
        <f t="shared" si="303"/>
        <v>3.1471183013144589E-2</v>
      </c>
      <c r="J145" s="256">
        <f t="shared" si="303"/>
        <v>1.3225569434239529E-2</v>
      </c>
      <c r="K145" s="256">
        <f t="shared" si="303"/>
        <v>1.8102824040550327E-2</v>
      </c>
      <c r="L145" s="264">
        <v>2.1000000000000001E-2</v>
      </c>
      <c r="M145" s="264">
        <v>2.3E-2</v>
      </c>
      <c r="N145" s="264">
        <v>2.5000000000000001E-2</v>
      </c>
      <c r="O145" s="264">
        <v>0.03</v>
      </c>
      <c r="P145" s="264">
        <v>3.5000000000000003E-2</v>
      </c>
      <c r="Q145" s="200"/>
      <c r="R145" s="256">
        <f t="shared" ref="R145:AK145" si="304">R143/R117</f>
        <v>5.0511310814998447E-2</v>
      </c>
      <c r="S145" s="256">
        <f t="shared" si="304"/>
        <v>4.8585690515806988E-2</v>
      </c>
      <c r="T145" s="256">
        <f t="shared" si="304"/>
        <v>4.5250224752771948E-2</v>
      </c>
      <c r="U145" s="256">
        <f t="shared" si="304"/>
        <v>4.3478260869565216E-2</v>
      </c>
      <c r="V145" s="256">
        <f t="shared" si="304"/>
        <v>4.3516612760952658E-2</v>
      </c>
      <c r="W145" s="256">
        <f t="shared" si="304"/>
        <v>4.4699486559951679E-2</v>
      </c>
      <c r="X145" s="256">
        <f t="shared" si="304"/>
        <v>5.2188552188552187E-2</v>
      </c>
      <c r="Y145" s="256">
        <f t="shared" si="304"/>
        <v>5.2921719955898568E-2</v>
      </c>
      <c r="Z145" s="256">
        <f t="shared" si="304"/>
        <v>5.2192628463814908E-2</v>
      </c>
      <c r="AA145" s="256">
        <f t="shared" si="304"/>
        <v>4.8702245552639252E-2</v>
      </c>
      <c r="AB145" s="256">
        <f t="shared" si="304"/>
        <v>4.9664762850757389E-2</v>
      </c>
      <c r="AC145" s="256">
        <f t="shared" si="304"/>
        <v>3.2805429864253395E-2</v>
      </c>
      <c r="AD145" s="256">
        <f t="shared" si="304"/>
        <v>2.9909291493012993E-2</v>
      </c>
      <c r="AE145" s="256">
        <f t="shared" si="304"/>
        <v>3.3133315940516564E-2</v>
      </c>
      <c r="AF145" s="256">
        <f t="shared" si="304"/>
        <v>1.7018216682646213E-2</v>
      </c>
      <c r="AG145" s="256">
        <f t="shared" si="304"/>
        <v>9.2638958437656488E-3</v>
      </c>
      <c r="AH145" s="256">
        <f t="shared" si="304"/>
        <v>1.9136522753792299E-2</v>
      </c>
      <c r="AI145" s="256">
        <f t="shared" si="304"/>
        <v>1.699575106223444E-2</v>
      </c>
      <c r="AJ145" s="264">
        <v>2.1999999999999999E-2</v>
      </c>
      <c r="AK145" s="257">
        <f t="shared" si="304"/>
        <v>1.9930105731122701E-2</v>
      </c>
    </row>
    <row r="146" spans="1:38">
      <c r="B146" s="32" t="s">
        <v>268</v>
      </c>
      <c r="C146" s="199"/>
      <c r="D146" s="244">
        <f t="shared" ref="D146:K146" si="305">D145-C145</f>
        <v>-5.1800467397386529E-3</v>
      </c>
      <c r="E146" s="244">
        <f t="shared" si="305"/>
        <v>-3.0263253031356796E-4</v>
      </c>
      <c r="F146" s="244">
        <f t="shared" si="305"/>
        <v>8.4582790307333941E-3</v>
      </c>
      <c r="G146" s="244">
        <f t="shared" si="305"/>
        <v>-2.0406260400040246E-3</v>
      </c>
      <c r="H146" s="244">
        <f t="shared" si="305"/>
        <v>-8.7354106834801465E-3</v>
      </c>
      <c r="I146" s="244">
        <f t="shared" si="305"/>
        <v>-1.0311178483615957E-2</v>
      </c>
      <c r="J146" s="244">
        <f t="shared" si="305"/>
        <v>-1.824561357890506E-2</v>
      </c>
      <c r="K146" s="244">
        <f t="shared" si="305"/>
        <v>4.8772546063107977E-3</v>
      </c>
      <c r="L146" s="166">
        <f t="shared" ref="L146" si="306">L145-K145</f>
        <v>2.8971759594496743E-3</v>
      </c>
      <c r="M146" s="166">
        <f t="shared" ref="M146" si="307">M145-L145</f>
        <v>1.9999999999999983E-3</v>
      </c>
      <c r="N146" s="166">
        <f t="shared" ref="N146" si="308">N145-M145</f>
        <v>2.0000000000000018E-3</v>
      </c>
      <c r="O146" s="166">
        <f t="shared" ref="O146" si="309">O145-N145</f>
        <v>4.9999999999999975E-3</v>
      </c>
      <c r="P146" s="166">
        <f t="shared" ref="P146" si="310">P145-O145</f>
        <v>5.0000000000000044E-3</v>
      </c>
      <c r="Q146" s="200"/>
      <c r="R146" s="199"/>
      <c r="S146" s="199"/>
      <c r="T146" s="244">
        <f t="shared" ref="T146:AI146" si="311">T145-R145</f>
        <v>-5.2610860622264999E-3</v>
      </c>
      <c r="U146" s="244">
        <f t="shared" si="311"/>
        <v>-5.107429646241772E-3</v>
      </c>
      <c r="V146" s="244">
        <f t="shared" si="311"/>
        <v>-1.7336119918192894E-3</v>
      </c>
      <c r="W146" s="244">
        <f t="shared" si="311"/>
        <v>1.2212256903864627E-3</v>
      </c>
      <c r="X146" s="244">
        <f t="shared" si="311"/>
        <v>8.6719394275995287E-3</v>
      </c>
      <c r="Y146" s="244">
        <f t="shared" si="311"/>
        <v>8.2222333959468888E-3</v>
      </c>
      <c r="Z146" s="244">
        <f t="shared" si="311"/>
        <v>4.0762752627210297E-6</v>
      </c>
      <c r="AA146" s="244">
        <f t="shared" si="311"/>
        <v>-4.2194744032593157E-3</v>
      </c>
      <c r="AB146" s="244">
        <f t="shared" si="311"/>
        <v>-2.5278656130575186E-3</v>
      </c>
      <c r="AC146" s="244">
        <f t="shared" si="311"/>
        <v>-1.5896815688385857E-2</v>
      </c>
      <c r="AD146" s="244">
        <f t="shared" si="311"/>
        <v>-1.9755471357744397E-2</v>
      </c>
      <c r="AE146" s="244">
        <f t="shared" si="311"/>
        <v>3.2788607626316885E-4</v>
      </c>
      <c r="AF146" s="244">
        <f t="shared" si="311"/>
        <v>-1.289107481036678E-2</v>
      </c>
      <c r="AG146" s="244">
        <f t="shared" si="311"/>
        <v>-2.3869420096750915E-2</v>
      </c>
      <c r="AH146" s="244">
        <f t="shared" si="311"/>
        <v>2.1183060711460859E-3</v>
      </c>
      <c r="AI146" s="244">
        <f t="shared" si="311"/>
        <v>7.731855218468791E-3</v>
      </c>
      <c r="AJ146" s="257">
        <f t="shared" ref="AJ146" si="312">AJ145-AH145</f>
        <v>2.8634772462076998E-3</v>
      </c>
      <c r="AK146" s="166">
        <f t="shared" ref="AK146" si="313">AK145-AI145</f>
        <v>2.9343546688882609E-3</v>
      </c>
    </row>
    <row r="147" spans="1:38">
      <c r="B147" s="32"/>
      <c r="C147" s="199"/>
      <c r="D147" s="199"/>
      <c r="E147" s="199"/>
      <c r="F147" s="199"/>
      <c r="G147" s="199"/>
      <c r="H147" s="199"/>
      <c r="I147" s="199"/>
      <c r="J147" s="199"/>
      <c r="K147" s="199"/>
      <c r="L147" s="200"/>
      <c r="M147" s="200"/>
      <c r="N147" s="200"/>
      <c r="O147" s="200"/>
      <c r="P147" s="200"/>
      <c r="Q147" s="200"/>
      <c r="R147" s="199"/>
      <c r="S147" s="199"/>
      <c r="T147" s="199"/>
      <c r="U147" s="199"/>
      <c r="V147" s="199"/>
      <c r="W147" s="199"/>
      <c r="X147" s="199"/>
      <c r="Y147" s="199"/>
      <c r="Z147" s="199"/>
      <c r="AA147" s="199"/>
      <c r="AB147" s="199"/>
      <c r="AC147" s="199"/>
      <c r="AD147" s="199"/>
      <c r="AE147" s="199"/>
      <c r="AF147" s="199"/>
      <c r="AG147" s="199"/>
      <c r="AH147" s="199"/>
      <c r="AI147" s="199"/>
      <c r="AJ147" s="200"/>
      <c r="AK147" s="200"/>
    </row>
    <row r="148" spans="1:38">
      <c r="B148" s="25" t="s">
        <v>47</v>
      </c>
      <c r="C148" s="215"/>
      <c r="D148" s="215"/>
      <c r="E148" s="215"/>
      <c r="F148" s="215">
        <f>F151-F143</f>
        <v>-69</v>
      </c>
      <c r="G148" s="258">
        <f>F148*(1+G120+3%)</f>
        <v>-71.828241758241759</v>
      </c>
      <c r="H148" s="258">
        <f t="shared" ref="H148:P148" si="314">G148*(1+H120+3%)</f>
        <v>-76.325314285714285</v>
      </c>
      <c r="I148" s="258">
        <f t="shared" si="314"/>
        <v>-79.016785894736842</v>
      </c>
      <c r="J148" s="258">
        <f t="shared" si="314"/>
        <v>-80.146188122446958</v>
      </c>
      <c r="K148" s="258">
        <f t="shared" si="314"/>
        <v>-80.845335720961913</v>
      </c>
      <c r="L148" s="154">
        <f t="shared" si="314"/>
        <v>-83.270695792590772</v>
      </c>
      <c r="M148" s="154">
        <f t="shared" si="314"/>
        <v>-86.673932924983617</v>
      </c>
      <c r="N148" s="154">
        <f t="shared" si="314"/>
        <v>-90.206128686120053</v>
      </c>
      <c r="O148" s="154">
        <f t="shared" si="314"/>
        <v>-93.871952213577288</v>
      </c>
      <c r="P148" s="154">
        <f t="shared" si="314"/>
        <v>-97.676236592759111</v>
      </c>
      <c r="Q148" s="200"/>
      <c r="R148" s="215"/>
      <c r="S148" s="215"/>
      <c r="T148" s="215"/>
      <c r="U148" s="215"/>
      <c r="V148" s="215"/>
      <c r="W148" s="215"/>
      <c r="X148" s="215">
        <f t="shared" ref="X148:Y148" si="315">X151-X143</f>
        <v>-36</v>
      </c>
      <c r="Y148" s="215">
        <f t="shared" si="315"/>
        <v>-33</v>
      </c>
      <c r="Z148" s="258">
        <f>X148*(1+Z165+3%)</f>
        <v>-36.844911677271945</v>
      </c>
      <c r="AA148" s="39">
        <f>G148-Z148</f>
        <v>-34.983330080969814</v>
      </c>
      <c r="AB148" s="258">
        <f>Z148*(1+AB165+3%)</f>
        <v>-38.54251547932828</v>
      </c>
      <c r="AC148" s="39">
        <f>H148-AB148</f>
        <v>-37.782798806386005</v>
      </c>
      <c r="AD148" s="258">
        <f>AB148*(1+AD165+3%)</f>
        <v>-41.11695949502456</v>
      </c>
      <c r="AE148" s="39">
        <f>I148-AD148</f>
        <v>-37.899826399712282</v>
      </c>
      <c r="AF148" s="258">
        <f>AD148*(1+AF165+3%)</f>
        <v>-41.901549341375897</v>
      </c>
      <c r="AG148" s="39">
        <f>J148-AF148</f>
        <v>-38.24463878107106</v>
      </c>
      <c r="AH148" s="258">
        <f>AF148*(1+AH165+3%)</f>
        <v>-42.643054578614048</v>
      </c>
      <c r="AI148" s="39">
        <f>K148-AH148</f>
        <v>-38.202281142347864</v>
      </c>
      <c r="AJ148" s="154">
        <f>AH148*(1+AJ165+3%)</f>
        <v>-43.922346215972468</v>
      </c>
      <c r="AK148" s="216">
        <f>L148-AJ148</f>
        <v>-39.348349576618304</v>
      </c>
      <c r="AL148" s="114"/>
    </row>
    <row r="149" spans="1:38">
      <c r="B149" s="32" t="s">
        <v>506</v>
      </c>
      <c r="C149" s="215"/>
      <c r="D149" s="215"/>
      <c r="E149" s="215"/>
      <c r="F149" s="256">
        <f>-F148/F117</f>
        <v>9.5939933259176855E-3</v>
      </c>
      <c r="G149" s="256">
        <f t="shared" ref="G149:P149" si="316">-G148/G117</f>
        <v>1.0051531172437974E-2</v>
      </c>
      <c r="H149" s="256">
        <f t="shared" si="316"/>
        <v>1.0091936306454354E-2</v>
      </c>
      <c r="I149" s="256">
        <f t="shared" si="316"/>
        <v>9.9869547389707831E-3</v>
      </c>
      <c r="J149" s="256">
        <f t="shared" si="316"/>
        <v>9.8146201472504233E-3</v>
      </c>
      <c r="K149" s="256">
        <f t="shared" si="316"/>
        <v>9.756859247038608E-3</v>
      </c>
      <c r="L149" s="257">
        <f t="shared" si="316"/>
        <v>9.8116329259944016E-3</v>
      </c>
      <c r="M149" s="257">
        <f t="shared" si="316"/>
        <v>9.8116329259944016E-3</v>
      </c>
      <c r="N149" s="257">
        <f t="shared" si="316"/>
        <v>9.8116329259944016E-3</v>
      </c>
      <c r="O149" s="257">
        <f t="shared" si="316"/>
        <v>9.8116329259944016E-3</v>
      </c>
      <c r="P149" s="257">
        <f t="shared" si="316"/>
        <v>9.8116329259944016E-3</v>
      </c>
      <c r="Q149" s="200"/>
      <c r="R149" s="215"/>
      <c r="S149" s="215"/>
      <c r="T149" s="215"/>
      <c r="U149" s="215"/>
      <c r="V149" s="215"/>
      <c r="W149" s="215"/>
      <c r="X149" s="256">
        <f t="shared" ref="X149" si="317">-X148/X117</f>
        <v>1.0101010101010102E-2</v>
      </c>
      <c r="Y149" s="256">
        <f t="shared" ref="Y149" si="318">-Y148/Y117</f>
        <v>9.0959206174200669E-3</v>
      </c>
      <c r="Z149" s="256">
        <f t="shared" ref="Z149" si="319">-Z148/Z117</f>
        <v>9.9125401337831435E-3</v>
      </c>
      <c r="AA149" s="256">
        <f t="shared" ref="AA149" si="320">-AA148/AA117</f>
        <v>1.0202195999116306E-2</v>
      </c>
      <c r="AB149" s="256">
        <f t="shared" ref="AB149" si="321">-AB148/AB117</f>
        <v>9.5710244547624231E-3</v>
      </c>
      <c r="AC149" s="256">
        <f t="shared" ref="AC149" si="322">-AC148/AC117</f>
        <v>1.0685180657914593E-2</v>
      </c>
      <c r="AD149" s="256">
        <f t="shared" ref="AD149" si="323">-AD148/AD117</f>
        <v>1.0080156777402441E-2</v>
      </c>
      <c r="AE149" s="256">
        <f t="shared" ref="AE149" si="324">-AE148/AE117</f>
        <v>9.8877710408850194E-3</v>
      </c>
      <c r="AF149" s="256">
        <f t="shared" ref="AF149" si="325">-AF148/AF117</f>
        <v>1.0043516141269391E-2</v>
      </c>
      <c r="AG149" s="256">
        <f t="shared" ref="AG149" si="326">-AG148/AG117</f>
        <v>9.5755229797373706E-3</v>
      </c>
      <c r="AH149" s="256">
        <f t="shared" ref="AH149" si="327">-AH148/AH117</f>
        <v>9.9517046857909106E-3</v>
      </c>
      <c r="AI149" s="256">
        <f t="shared" ref="AI149" si="328">-AI148/AI117</f>
        <v>9.5481832397770212E-3</v>
      </c>
      <c r="AJ149" s="257">
        <f t="shared" ref="AJ149" si="329">-AJ148/AJ117</f>
        <v>1.0012486194530018E-2</v>
      </c>
      <c r="AK149" s="257">
        <f t="shared" ref="AK149" si="330">-AK148/AK117</f>
        <v>9.5967411651028695E-3</v>
      </c>
      <c r="AL149" s="114"/>
    </row>
    <row r="150" spans="1:38">
      <c r="B150" s="32"/>
      <c r="C150" s="199"/>
      <c r="D150" s="199"/>
      <c r="E150" s="199"/>
      <c r="F150" s="199"/>
      <c r="G150" s="199"/>
      <c r="H150" s="199"/>
      <c r="I150" s="199"/>
      <c r="J150" s="199"/>
      <c r="K150" s="199"/>
      <c r="L150" s="200"/>
      <c r="M150" s="200"/>
      <c r="N150" s="200"/>
      <c r="O150" s="200"/>
      <c r="P150" s="200"/>
      <c r="Q150" s="200"/>
      <c r="R150" s="199"/>
      <c r="S150" s="199"/>
      <c r="T150" s="199"/>
      <c r="U150" s="199"/>
      <c r="V150" s="199"/>
      <c r="W150" s="199"/>
      <c r="X150" s="199"/>
      <c r="Y150" s="199"/>
      <c r="Z150" s="199"/>
      <c r="AA150" s="199"/>
      <c r="AB150" s="199"/>
      <c r="AC150" s="199"/>
      <c r="AD150" s="199"/>
      <c r="AE150" s="199"/>
      <c r="AF150" s="199"/>
      <c r="AG150" s="199"/>
      <c r="AH150" s="199"/>
      <c r="AI150" s="199"/>
      <c r="AJ150" s="200"/>
      <c r="AK150" s="200"/>
    </row>
    <row r="151" spans="1:38">
      <c r="B151" s="25" t="s">
        <v>48</v>
      </c>
      <c r="C151" s="228">
        <f>C143</f>
        <v>309</v>
      </c>
      <c r="D151" s="228">
        <f>D143</f>
        <v>284</v>
      </c>
      <c r="E151" s="228">
        <f>E143</f>
        <v>296</v>
      </c>
      <c r="F151" s="107">
        <v>309</v>
      </c>
      <c r="G151" s="215">
        <f>G148+G143</f>
        <v>289.17175824175825</v>
      </c>
      <c r="H151" s="215">
        <f>H148+H143</f>
        <v>239.67468571428572</v>
      </c>
      <c r="I151" s="215">
        <f>I148+I143</f>
        <v>169.98321410526316</v>
      </c>
      <c r="J151" s="215">
        <f>J148+J143</f>
        <v>27.853811877553042</v>
      </c>
      <c r="K151" s="215">
        <f>K148+K143</f>
        <v>69.154664279038087</v>
      </c>
      <c r="L151" s="216">
        <f t="shared" ref="L151:P151" si="331">L148+L143</f>
        <v>94.95494970740927</v>
      </c>
      <c r="M151" s="216">
        <f t="shared" si="331"/>
        <v>116.50330294501644</v>
      </c>
      <c r="N151" s="216">
        <f t="shared" si="331"/>
        <v>139.63871306069279</v>
      </c>
      <c r="O151" s="216">
        <f t="shared" si="331"/>
        <v>193.15046165459165</v>
      </c>
      <c r="P151" s="216">
        <f t="shared" si="331"/>
        <v>250.75386740036288</v>
      </c>
      <c r="Q151" s="200"/>
      <c r="R151" s="215">
        <f>R143</f>
        <v>163</v>
      </c>
      <c r="S151" s="228">
        <f t="shared" ref="S151:W151" si="332">S143</f>
        <v>146</v>
      </c>
      <c r="T151" s="228">
        <f t="shared" si="332"/>
        <v>151</v>
      </c>
      <c r="U151" s="228">
        <f t="shared" si="332"/>
        <v>133</v>
      </c>
      <c r="V151" s="228">
        <f t="shared" si="332"/>
        <v>148</v>
      </c>
      <c r="W151" s="228">
        <f t="shared" si="332"/>
        <v>148</v>
      </c>
      <c r="X151" s="107">
        <v>150</v>
      </c>
      <c r="Y151" s="228">
        <f>F151-X151</f>
        <v>159</v>
      </c>
      <c r="Z151" s="215">
        <f>Z148+Z143</f>
        <v>157.15508832272806</v>
      </c>
      <c r="AA151" s="215">
        <f t="shared" ref="AA151:AK151" si="333">AA148+AA143</f>
        <v>132.01666991903019</v>
      </c>
      <c r="AB151" s="215">
        <f t="shared" si="333"/>
        <v>161.45748452067173</v>
      </c>
      <c r="AC151" s="215">
        <f t="shared" si="333"/>
        <v>78.217201193613988</v>
      </c>
      <c r="AD151" s="215">
        <f t="shared" si="333"/>
        <v>80.88304050497544</v>
      </c>
      <c r="AE151" s="215">
        <f t="shared" si="333"/>
        <v>89.100173600287718</v>
      </c>
      <c r="AF151" s="215">
        <f t="shared" si="333"/>
        <v>29.098450658624103</v>
      </c>
      <c r="AG151" s="215">
        <f t="shared" si="333"/>
        <v>-1.2446387810710604</v>
      </c>
      <c r="AH151" s="215">
        <f t="shared" si="333"/>
        <v>39.356945421385952</v>
      </c>
      <c r="AI151" s="215">
        <f t="shared" si="333"/>
        <v>29.797718857652136</v>
      </c>
      <c r="AJ151" s="216">
        <f t="shared" si="333"/>
        <v>52.586312870049028</v>
      </c>
      <c r="AK151" s="216">
        <f t="shared" si="333"/>
        <v>42.368636837360242</v>
      </c>
    </row>
    <row r="152" spans="1:38">
      <c r="B152" s="32" t="s">
        <v>265</v>
      </c>
      <c r="C152" s="199"/>
      <c r="D152" s="244">
        <f t="shared" ref="D152:K152" si="334">D151/C151-1</f>
        <v>-8.0906148867313954E-2</v>
      </c>
      <c r="E152" s="244">
        <f t="shared" si="334"/>
        <v>4.2253521126760507E-2</v>
      </c>
      <c r="F152" s="244">
        <f t="shared" si="334"/>
        <v>4.3918918918918859E-2</v>
      </c>
      <c r="G152" s="244">
        <f t="shared" si="334"/>
        <v>-6.4169067178775907E-2</v>
      </c>
      <c r="H152" s="244">
        <f t="shared" si="334"/>
        <v>-0.17116841848051834</v>
      </c>
      <c r="I152" s="244">
        <f t="shared" si="334"/>
        <v>-0.29077527066042008</v>
      </c>
      <c r="J152" s="244">
        <f t="shared" si="334"/>
        <v>-0.83613786794086387</v>
      </c>
      <c r="K152" s="244">
        <f t="shared" si="334"/>
        <v>1.4827720020170299</v>
      </c>
      <c r="L152" s="166">
        <f t="shared" ref="L152" si="335">L151/K151-1</f>
        <v>0.37308091503802832</v>
      </c>
      <c r="M152" s="166">
        <f t="shared" ref="M152" si="336">M151/L151-1</f>
        <v>0.22693238534700377</v>
      </c>
      <c r="N152" s="166">
        <f t="shared" ref="N152" si="337">N151/M151-1</f>
        <v>0.19858158121572811</v>
      </c>
      <c r="O152" s="166">
        <f t="shared" ref="O152" si="338">O151/N151-1</f>
        <v>0.38321571017802514</v>
      </c>
      <c r="P152" s="166">
        <f t="shared" ref="P152" si="339">P151/O151-1</f>
        <v>0.29823074328852828</v>
      </c>
      <c r="Q152" s="200"/>
      <c r="R152" s="199"/>
      <c r="S152" s="199"/>
      <c r="T152" s="244">
        <f t="shared" ref="T152:AI152" si="340">T151/R151-1</f>
        <v>-7.361963190184051E-2</v>
      </c>
      <c r="U152" s="244">
        <f t="shared" si="340"/>
        <v>-8.9041095890410982E-2</v>
      </c>
      <c r="V152" s="244">
        <f t="shared" si="340"/>
        <v>-1.9867549668874163E-2</v>
      </c>
      <c r="W152" s="244">
        <f t="shared" si="340"/>
        <v>0.11278195488721798</v>
      </c>
      <c r="X152" s="244">
        <f t="shared" si="340"/>
        <v>1.3513513513513598E-2</v>
      </c>
      <c r="Y152" s="244">
        <f t="shared" si="340"/>
        <v>7.4324324324324342E-2</v>
      </c>
      <c r="Z152" s="244">
        <f t="shared" si="340"/>
        <v>4.7700588818187173E-2</v>
      </c>
      <c r="AA152" s="244">
        <f t="shared" si="340"/>
        <v>-0.16970647849666542</v>
      </c>
      <c r="AB152" s="244">
        <f t="shared" si="340"/>
        <v>2.7376754032350625E-2</v>
      </c>
      <c r="AC152" s="244">
        <f t="shared" si="340"/>
        <v>-0.40752026814805309</v>
      </c>
      <c r="AD152" s="244">
        <f t="shared" si="340"/>
        <v>-0.49904434133172793</v>
      </c>
      <c r="AE152" s="244">
        <f t="shared" si="340"/>
        <v>0.13913783976666072</v>
      </c>
      <c r="AF152" s="244">
        <f t="shared" si="340"/>
        <v>-0.64024039555196821</v>
      </c>
      <c r="AG152" s="244">
        <f t="shared" si="340"/>
        <v>-1.0139689826717357</v>
      </c>
      <c r="AH152" s="244">
        <f t="shared" si="340"/>
        <v>0.35254436337906769</v>
      </c>
      <c r="AI152" s="244">
        <f t="shared" si="340"/>
        <v>-24.940856825953979</v>
      </c>
      <c r="AJ152" s="166">
        <f t="shared" ref="AJ152" si="341">AJ151/AH151-1</f>
        <v>0.3361380642481071</v>
      </c>
      <c r="AK152" s="166">
        <f t="shared" ref="AK152" si="342">AK151/AI151-1</f>
        <v>0.42187517909545824</v>
      </c>
    </row>
    <row r="153" spans="1:38">
      <c r="A153" s="6" t="s">
        <v>567</v>
      </c>
      <c r="B153" s="32" t="s">
        <v>344</v>
      </c>
      <c r="C153" s="256">
        <f t="shared" ref="C153:L153" si="343">C151/C117</f>
        <v>4.9582798459563544E-2</v>
      </c>
      <c r="D153" s="256">
        <f t="shared" si="343"/>
        <v>4.4402751719824891E-2</v>
      </c>
      <c r="E153" s="256">
        <f t="shared" si="343"/>
        <v>4.4100119189511323E-2</v>
      </c>
      <c r="F153" s="256">
        <f t="shared" si="343"/>
        <v>4.2964404894327027E-2</v>
      </c>
      <c r="G153" s="256">
        <f t="shared" si="343"/>
        <v>4.0466241007802724E-2</v>
      </c>
      <c r="H153" s="256">
        <f t="shared" si="343"/>
        <v>3.1690425190306189E-2</v>
      </c>
      <c r="I153" s="256">
        <f t="shared" si="343"/>
        <v>2.1484228274173806E-2</v>
      </c>
      <c r="J153" s="256">
        <f t="shared" si="343"/>
        <v>3.4109492869891064E-3</v>
      </c>
      <c r="K153" s="256">
        <f t="shared" si="343"/>
        <v>8.3459647935117173E-3</v>
      </c>
      <c r="L153" s="257">
        <f t="shared" si="343"/>
        <v>1.11883670740056E-2</v>
      </c>
      <c r="M153" s="257">
        <f t="shared" ref="M153:P153" si="344">M151/M117</f>
        <v>1.31883670740056E-2</v>
      </c>
      <c r="N153" s="257">
        <f t="shared" si="344"/>
        <v>1.51883670740056E-2</v>
      </c>
      <c r="O153" s="257">
        <f t="shared" si="344"/>
        <v>2.0188367074005599E-2</v>
      </c>
      <c r="P153" s="257">
        <f t="shared" si="344"/>
        <v>2.5188367074005603E-2</v>
      </c>
      <c r="Q153" s="200"/>
      <c r="R153" s="256">
        <f t="shared" ref="R153:AK153" si="345">R151/R117</f>
        <v>5.0511310814998447E-2</v>
      </c>
      <c r="S153" s="256">
        <f t="shared" si="345"/>
        <v>4.8585690515806988E-2</v>
      </c>
      <c r="T153" s="256">
        <f t="shared" si="345"/>
        <v>4.5250224752771948E-2</v>
      </c>
      <c r="U153" s="256">
        <f t="shared" si="345"/>
        <v>4.3478260869565216E-2</v>
      </c>
      <c r="V153" s="256">
        <f t="shared" si="345"/>
        <v>4.3516612760952658E-2</v>
      </c>
      <c r="W153" s="256">
        <f t="shared" si="345"/>
        <v>4.4699486559951679E-2</v>
      </c>
      <c r="X153" s="256">
        <f t="shared" si="345"/>
        <v>4.208754208754209E-2</v>
      </c>
      <c r="Y153" s="256">
        <f t="shared" si="345"/>
        <v>4.3825799338478501E-2</v>
      </c>
      <c r="Z153" s="256">
        <f t="shared" si="345"/>
        <v>4.2280088330031766E-2</v>
      </c>
      <c r="AA153" s="256">
        <f t="shared" si="345"/>
        <v>3.8500049553522951E-2</v>
      </c>
      <c r="AB153" s="256">
        <f t="shared" si="345"/>
        <v>4.0093738395994963E-2</v>
      </c>
      <c r="AC153" s="256">
        <f t="shared" si="345"/>
        <v>2.2120249206338798E-2</v>
      </c>
      <c r="AD153" s="256">
        <f t="shared" si="345"/>
        <v>1.9829134715610552E-2</v>
      </c>
      <c r="AE153" s="256">
        <f t="shared" si="345"/>
        <v>2.3245544899631546E-2</v>
      </c>
      <c r="AF153" s="256">
        <f t="shared" si="345"/>
        <v>6.9747005413768222E-3</v>
      </c>
      <c r="AG153" s="256">
        <f t="shared" si="345"/>
        <v>-3.1162713597172268E-4</v>
      </c>
      <c r="AH153" s="256">
        <f t="shared" si="345"/>
        <v>9.1848180680013883E-3</v>
      </c>
      <c r="AI153" s="256">
        <f t="shared" si="345"/>
        <v>7.4475678224574194E-3</v>
      </c>
      <c r="AJ153" s="257">
        <f t="shared" si="345"/>
        <v>1.1987513805469981E-2</v>
      </c>
      <c r="AK153" s="257">
        <f t="shared" si="345"/>
        <v>1.0333364566019829E-2</v>
      </c>
    </row>
    <row r="154" spans="1:38">
      <c r="B154" s="32" t="s">
        <v>268</v>
      </c>
      <c r="C154" s="199"/>
      <c r="D154" s="244">
        <f t="shared" ref="D154:K154" si="346">D153-C153</f>
        <v>-5.1800467397386529E-3</v>
      </c>
      <c r="E154" s="244">
        <f t="shared" si="346"/>
        <v>-3.0263253031356796E-4</v>
      </c>
      <c r="F154" s="244">
        <f t="shared" si="346"/>
        <v>-1.1357142951842966E-3</v>
      </c>
      <c r="G154" s="244">
        <f t="shared" si="346"/>
        <v>-2.498163886524303E-3</v>
      </c>
      <c r="H154" s="244">
        <f t="shared" si="346"/>
        <v>-8.7758158174965351E-3</v>
      </c>
      <c r="I154" s="244">
        <f t="shared" si="346"/>
        <v>-1.0206196916132382E-2</v>
      </c>
      <c r="J154" s="244">
        <f t="shared" si="346"/>
        <v>-1.80732789871847E-2</v>
      </c>
      <c r="K154" s="244">
        <f t="shared" si="346"/>
        <v>4.9350155065226112E-3</v>
      </c>
      <c r="L154" s="166">
        <f t="shared" ref="L154" si="347">L153-K153</f>
        <v>2.8424022804938824E-3</v>
      </c>
      <c r="M154" s="166">
        <f t="shared" ref="M154" si="348">M153-L153</f>
        <v>2E-3</v>
      </c>
      <c r="N154" s="166">
        <f t="shared" ref="N154" si="349">N153-M153</f>
        <v>2E-3</v>
      </c>
      <c r="O154" s="166">
        <f t="shared" ref="O154" si="350">O153-N153</f>
        <v>4.9999999999999992E-3</v>
      </c>
      <c r="P154" s="166">
        <f t="shared" ref="P154" si="351">P153-O153</f>
        <v>5.0000000000000044E-3</v>
      </c>
      <c r="Q154" s="200"/>
      <c r="R154" s="199"/>
      <c r="S154" s="199"/>
      <c r="T154" s="244">
        <f t="shared" ref="T154:AI154" si="352">T153-R153</f>
        <v>-5.2610860622264999E-3</v>
      </c>
      <c r="U154" s="244">
        <f t="shared" si="352"/>
        <v>-5.107429646241772E-3</v>
      </c>
      <c r="V154" s="244">
        <f t="shared" si="352"/>
        <v>-1.7336119918192894E-3</v>
      </c>
      <c r="W154" s="244">
        <f t="shared" si="352"/>
        <v>1.2212256903864627E-3</v>
      </c>
      <c r="X154" s="244">
        <f t="shared" si="352"/>
        <v>-1.4290706734105679E-3</v>
      </c>
      <c r="Y154" s="244">
        <f t="shared" si="352"/>
        <v>-8.7368722147317807E-4</v>
      </c>
      <c r="Z154" s="244">
        <f t="shared" si="352"/>
        <v>1.9254624248967595E-4</v>
      </c>
      <c r="AA154" s="244">
        <f t="shared" si="352"/>
        <v>-5.3257497849555496E-3</v>
      </c>
      <c r="AB154" s="244">
        <f t="shared" si="352"/>
        <v>-2.1863499340368034E-3</v>
      </c>
      <c r="AC154" s="244">
        <f t="shared" si="352"/>
        <v>-1.6379800347184153E-2</v>
      </c>
      <c r="AD154" s="244">
        <f t="shared" si="352"/>
        <v>-2.0264603680384411E-2</v>
      </c>
      <c r="AE154" s="244">
        <f t="shared" si="352"/>
        <v>1.125295693292748E-3</v>
      </c>
      <c r="AF154" s="244">
        <f t="shared" si="352"/>
        <v>-1.285443417423373E-2</v>
      </c>
      <c r="AG154" s="244">
        <f t="shared" si="352"/>
        <v>-2.3557172035603268E-2</v>
      </c>
      <c r="AH154" s="244">
        <f t="shared" si="352"/>
        <v>2.2101175266245662E-3</v>
      </c>
      <c r="AI154" s="244">
        <f t="shared" si="352"/>
        <v>7.7591949584291421E-3</v>
      </c>
      <c r="AJ154" s="166">
        <f t="shared" ref="AJ154" si="353">AJ153-AH153</f>
        <v>2.8026957374685923E-3</v>
      </c>
      <c r="AK154" s="166">
        <f t="shared" ref="AK154" si="354">AK153-AI153</f>
        <v>2.8857967435624099E-3</v>
      </c>
      <c r="AL154" s="114"/>
    </row>
    <row r="155" spans="1:38">
      <c r="B155" s="32"/>
      <c r="C155" s="199"/>
      <c r="D155" s="199"/>
      <c r="E155" s="199"/>
      <c r="F155" s="199"/>
      <c r="G155" s="199"/>
      <c r="H155" s="199"/>
      <c r="I155" s="199"/>
      <c r="J155" s="199"/>
      <c r="K155" s="199"/>
      <c r="L155" s="200"/>
      <c r="M155" s="200"/>
      <c r="N155" s="200"/>
      <c r="O155" s="200"/>
      <c r="P155" s="200"/>
      <c r="Q155" s="200"/>
      <c r="R155" s="199"/>
      <c r="S155" s="199"/>
      <c r="T155" s="199"/>
      <c r="U155" s="199"/>
      <c r="V155" s="199"/>
      <c r="W155" s="199"/>
      <c r="X155" s="199"/>
      <c r="Y155" s="199"/>
      <c r="Z155" s="199"/>
      <c r="AA155" s="199"/>
      <c r="AB155" s="199"/>
      <c r="AC155" s="199"/>
      <c r="AD155" s="199"/>
      <c r="AE155" s="199"/>
      <c r="AF155" s="199"/>
      <c r="AG155" s="199"/>
      <c r="AH155" s="199"/>
      <c r="AI155" s="199"/>
      <c r="AJ155" s="200"/>
      <c r="AK155" s="200"/>
    </row>
    <row r="156" spans="1:38">
      <c r="B156" s="41" t="s">
        <v>273</v>
      </c>
      <c r="C156" s="104"/>
      <c r="D156" s="60"/>
      <c r="E156" s="60"/>
      <c r="F156" s="22">
        <v>4190</v>
      </c>
      <c r="G156" s="22">
        <v>4329</v>
      </c>
      <c r="H156" s="22">
        <v>4635</v>
      </c>
      <c r="I156" s="22">
        <v>4745</v>
      </c>
      <c r="J156" s="22">
        <v>3415</v>
      </c>
      <c r="K156" s="22">
        <v>3065</v>
      </c>
      <c r="L156" s="200"/>
      <c r="M156" s="200"/>
      <c r="N156" s="200"/>
      <c r="O156" s="200"/>
      <c r="P156" s="200"/>
      <c r="Q156" s="200"/>
      <c r="R156" s="60"/>
      <c r="S156" s="60"/>
      <c r="T156" s="60"/>
      <c r="U156" s="60"/>
      <c r="V156" s="60"/>
      <c r="W156" s="60"/>
      <c r="X156" s="60"/>
      <c r="Y156" s="60"/>
      <c r="Z156" s="22"/>
      <c r="AA156" s="22"/>
      <c r="AB156" s="22"/>
      <c r="AC156" s="22"/>
      <c r="AD156" s="22"/>
      <c r="AE156" s="22"/>
      <c r="AF156" s="22"/>
      <c r="AG156" s="21"/>
      <c r="AH156" s="22"/>
      <c r="AI156" s="21"/>
      <c r="AJ156" s="200"/>
      <c r="AK156" s="200"/>
    </row>
    <row r="157" spans="1:38">
      <c r="B157" s="41" t="s">
        <v>272</v>
      </c>
      <c r="C157" s="101"/>
      <c r="D157" s="60"/>
      <c r="E157" s="60"/>
      <c r="F157" s="106">
        <v>8.7999999999999995E-2</v>
      </c>
      <c r="G157" s="106">
        <v>8.4000000000000005E-2</v>
      </c>
      <c r="H157" s="106">
        <v>7.0000000000000007E-2</v>
      </c>
      <c r="I157" s="106">
        <v>5.1999999999999998E-2</v>
      </c>
      <c r="J157" s="106">
        <v>2.8000000000000001E-2</v>
      </c>
      <c r="K157" s="106">
        <v>4.5999999999999999E-2</v>
      </c>
      <c r="L157" s="200"/>
      <c r="M157" s="200"/>
      <c r="N157" s="200"/>
      <c r="O157" s="200"/>
      <c r="P157" s="200"/>
      <c r="Q157" s="200"/>
      <c r="R157" s="60"/>
      <c r="S157" s="60"/>
      <c r="T157" s="60"/>
      <c r="U157" s="60"/>
      <c r="V157" s="60"/>
      <c r="W157" s="60"/>
      <c r="X157" s="60"/>
      <c r="Y157" s="60"/>
      <c r="Z157" s="106"/>
      <c r="AA157" s="106"/>
      <c r="AB157" s="106"/>
      <c r="AC157" s="106"/>
      <c r="AD157" s="106"/>
      <c r="AE157" s="106"/>
      <c r="AF157" s="106"/>
      <c r="AG157" s="95"/>
      <c r="AH157" s="104"/>
      <c r="AI157" s="95"/>
      <c r="AJ157" s="200"/>
      <c r="AK157" s="200"/>
    </row>
    <row r="158" spans="1:38">
      <c r="B158" s="32"/>
      <c r="C158" s="199"/>
      <c r="D158" s="199"/>
      <c r="E158" s="199"/>
      <c r="F158" s="199"/>
      <c r="G158" s="199"/>
      <c r="H158" s="199"/>
      <c r="I158" s="199"/>
      <c r="J158" s="199"/>
      <c r="K158" s="199"/>
      <c r="L158" s="200"/>
      <c r="M158" s="200"/>
      <c r="N158" s="200"/>
      <c r="O158" s="200"/>
      <c r="P158" s="200"/>
      <c r="Q158" s="200"/>
      <c r="R158" s="199"/>
      <c r="S158" s="199"/>
      <c r="T158" s="199"/>
      <c r="U158" s="199"/>
      <c r="V158" s="199"/>
      <c r="W158" s="199"/>
      <c r="X158" s="199"/>
      <c r="Y158" s="199"/>
      <c r="Z158" s="199"/>
      <c r="AA158" s="199"/>
      <c r="AB158" s="199"/>
      <c r="AC158" s="199"/>
      <c r="AD158" s="199"/>
      <c r="AE158" s="199"/>
      <c r="AF158" s="199"/>
      <c r="AG158" s="199"/>
      <c r="AH158" s="199"/>
      <c r="AI158" s="199"/>
      <c r="AJ158" s="200"/>
      <c r="AK158" s="200"/>
    </row>
    <row r="159" spans="1:38">
      <c r="B159" s="52" t="s">
        <v>49</v>
      </c>
      <c r="C159" s="199"/>
      <c r="D159" s="199"/>
      <c r="E159" s="199"/>
      <c r="F159" s="199"/>
      <c r="G159" s="199"/>
      <c r="H159" s="199"/>
      <c r="I159" s="199"/>
      <c r="J159" s="199"/>
      <c r="K159" s="199"/>
      <c r="L159" s="200"/>
      <c r="M159" s="200"/>
      <c r="N159" s="200"/>
      <c r="O159" s="200"/>
      <c r="P159" s="200"/>
      <c r="Q159" s="200"/>
      <c r="R159" s="199"/>
      <c r="S159" s="199"/>
      <c r="T159" s="199"/>
      <c r="U159" s="199"/>
      <c r="V159" s="199"/>
      <c r="W159" s="199"/>
      <c r="X159" s="199"/>
      <c r="Y159" s="199"/>
      <c r="Z159" s="199"/>
      <c r="AA159" s="199"/>
      <c r="AB159" s="199"/>
      <c r="AC159" s="199"/>
      <c r="AD159" s="199"/>
      <c r="AE159" s="199"/>
      <c r="AF159" s="199"/>
      <c r="AG159" s="199"/>
      <c r="AH159" s="199"/>
      <c r="AI159" s="199"/>
      <c r="AJ159" s="200"/>
      <c r="AK159" s="200"/>
    </row>
    <row r="160" spans="1:38">
      <c r="B160" s="87" t="s">
        <v>261</v>
      </c>
      <c r="C160" s="199"/>
      <c r="D160" s="199"/>
      <c r="E160" s="199"/>
      <c r="F160" s="199"/>
      <c r="G160" s="199"/>
      <c r="H160" s="199"/>
      <c r="I160" s="199"/>
      <c r="J160" s="199"/>
      <c r="K160" s="199"/>
      <c r="L160" s="200"/>
      <c r="M160" s="200"/>
      <c r="N160" s="200"/>
      <c r="O160" s="200"/>
      <c r="P160" s="200"/>
      <c r="Q160" s="200"/>
      <c r="R160" s="199"/>
      <c r="S160" s="199"/>
      <c r="T160" s="199"/>
      <c r="U160" s="199"/>
      <c r="V160" s="199"/>
      <c r="W160" s="199"/>
      <c r="X160" s="199"/>
      <c r="Y160" s="199"/>
      <c r="Z160" s="199"/>
      <c r="AA160" s="199"/>
      <c r="AB160" s="199"/>
      <c r="AC160" s="199"/>
      <c r="AD160" s="199"/>
      <c r="AE160" s="199"/>
      <c r="AF160" s="199"/>
      <c r="AG160" s="199"/>
      <c r="AH160" s="199"/>
      <c r="AI160" s="199"/>
      <c r="AJ160" s="200"/>
      <c r="AK160" s="200"/>
    </row>
    <row r="161" spans="1:37">
      <c r="B161" s="86" t="s">
        <v>3</v>
      </c>
      <c r="C161" s="104">
        <v>0</v>
      </c>
      <c r="D161" s="104">
        <v>-3</v>
      </c>
      <c r="E161" s="104">
        <v>-1</v>
      </c>
      <c r="F161" s="104">
        <v>2</v>
      </c>
      <c r="G161" s="104">
        <v>2</v>
      </c>
      <c r="H161" s="104">
        <v>6</v>
      </c>
      <c r="I161" s="104">
        <v>1</v>
      </c>
      <c r="J161" s="104">
        <v>-3</v>
      </c>
      <c r="K161" s="104">
        <v>-4</v>
      </c>
      <c r="L161" s="234">
        <v>0</v>
      </c>
      <c r="M161" s="234">
        <v>2</v>
      </c>
      <c r="N161" s="234">
        <v>2</v>
      </c>
      <c r="O161" s="234">
        <v>2</v>
      </c>
      <c r="P161" s="234">
        <v>2</v>
      </c>
      <c r="Q161" s="200"/>
      <c r="R161" s="104">
        <v>-1</v>
      </c>
      <c r="S161" s="199">
        <f>C161-R161</f>
        <v>1</v>
      </c>
      <c r="T161" s="104">
        <v>0</v>
      </c>
      <c r="U161" s="199">
        <f>D161-T161</f>
        <v>-3</v>
      </c>
      <c r="V161" s="104">
        <v>-1</v>
      </c>
      <c r="W161" s="199">
        <f>E161-V161</f>
        <v>0</v>
      </c>
      <c r="X161" s="104">
        <v>2</v>
      </c>
      <c r="Y161" s="199">
        <f>F161-X161</f>
        <v>0</v>
      </c>
      <c r="Z161" s="104">
        <v>0</v>
      </c>
      <c r="AA161" s="199">
        <f>G161-Z161</f>
        <v>2</v>
      </c>
      <c r="AB161" s="104">
        <v>1</v>
      </c>
      <c r="AC161" s="60">
        <f>H161-AB161</f>
        <v>5</v>
      </c>
      <c r="AD161" s="104">
        <v>3</v>
      </c>
      <c r="AE161" s="199">
        <f>I161-AD161</f>
        <v>-2</v>
      </c>
      <c r="AF161" s="104">
        <v>-2</v>
      </c>
      <c r="AG161" s="60">
        <f>J161-AF161</f>
        <v>-1</v>
      </c>
      <c r="AH161" s="104">
        <v>-2</v>
      </c>
      <c r="AI161" s="60">
        <f>K161-AH161</f>
        <v>-2</v>
      </c>
      <c r="AJ161" s="234">
        <v>0</v>
      </c>
      <c r="AK161" s="200">
        <f>L161-AJ161</f>
        <v>0</v>
      </c>
    </row>
    <row r="162" spans="1:37">
      <c r="B162" s="32" t="s">
        <v>62</v>
      </c>
      <c r="C162" s="54">
        <v>184</v>
      </c>
      <c r="D162" s="265">
        <v>181</v>
      </c>
      <c r="E162" s="265">
        <v>180</v>
      </c>
      <c r="F162" s="265">
        <v>182</v>
      </c>
      <c r="G162" s="265">
        <v>184</v>
      </c>
      <c r="H162" s="265">
        <v>190</v>
      </c>
      <c r="I162" s="265">
        <v>191</v>
      </c>
      <c r="J162" s="265">
        <v>188</v>
      </c>
      <c r="K162" s="265">
        <v>184</v>
      </c>
      <c r="L162" s="200">
        <f>K162+L161</f>
        <v>184</v>
      </c>
      <c r="M162" s="200">
        <f t="shared" ref="M162:P162" si="355">L162+M161</f>
        <v>186</v>
      </c>
      <c r="N162" s="200">
        <f t="shared" si="355"/>
        <v>188</v>
      </c>
      <c r="O162" s="200">
        <f t="shared" si="355"/>
        <v>190</v>
      </c>
      <c r="P162" s="200">
        <f t="shared" si="355"/>
        <v>192</v>
      </c>
      <c r="Q162" s="200"/>
      <c r="R162" s="54">
        <v>183</v>
      </c>
      <c r="S162" s="91">
        <f>R162+S161</f>
        <v>184</v>
      </c>
      <c r="T162" s="54">
        <v>184</v>
      </c>
      <c r="U162" s="91">
        <f>T162+U161</f>
        <v>181</v>
      </c>
      <c r="V162" s="265">
        <v>180</v>
      </c>
      <c r="W162" s="91">
        <f>V162+W161</f>
        <v>180</v>
      </c>
      <c r="X162" s="265">
        <v>182</v>
      </c>
      <c r="Y162" s="91">
        <f>X162+Y161</f>
        <v>182</v>
      </c>
      <c r="Z162" s="265">
        <v>181</v>
      </c>
      <c r="AA162" s="91">
        <f>Z162+AA161</f>
        <v>183</v>
      </c>
      <c r="AB162" s="265">
        <v>185</v>
      </c>
      <c r="AC162" s="91">
        <f>AB162+AC161</f>
        <v>190</v>
      </c>
      <c r="AD162" s="265">
        <v>193</v>
      </c>
      <c r="AE162" s="91">
        <f>AD162+AE161</f>
        <v>191</v>
      </c>
      <c r="AF162" s="265">
        <v>189</v>
      </c>
      <c r="AG162" s="91">
        <f>AF162+AG161</f>
        <v>188</v>
      </c>
      <c r="AH162" s="265">
        <v>186</v>
      </c>
      <c r="AI162" s="91">
        <f>AH162+AI161</f>
        <v>184</v>
      </c>
      <c r="AJ162" s="204">
        <f>AI162+AJ161</f>
        <v>184</v>
      </c>
      <c r="AK162" s="204">
        <f>AJ162+AK161</f>
        <v>184</v>
      </c>
    </row>
    <row r="163" spans="1:37">
      <c r="B163" s="32"/>
      <c r="C163" s="199"/>
      <c r="D163" s="199"/>
      <c r="E163" s="199"/>
      <c r="F163" s="199"/>
      <c r="G163" s="199"/>
      <c r="H163" s="199"/>
      <c r="I163" s="199"/>
      <c r="J163" s="199"/>
      <c r="K163" s="199"/>
      <c r="L163" s="200"/>
      <c r="M163" s="200"/>
      <c r="N163" s="200"/>
      <c r="O163" s="200"/>
      <c r="P163" s="200"/>
      <c r="Q163" s="200"/>
      <c r="R163" s="199"/>
      <c r="S163" s="199"/>
      <c r="T163" s="199"/>
      <c r="U163" s="199"/>
      <c r="V163" s="199"/>
      <c r="W163" s="199"/>
      <c r="X163" s="199"/>
      <c r="Y163" s="199"/>
      <c r="Z163" s="199"/>
      <c r="AA163" s="199"/>
      <c r="AB163" s="199"/>
      <c r="AC163" s="199"/>
      <c r="AD163" s="199"/>
      <c r="AE163" s="199"/>
      <c r="AF163" s="199"/>
      <c r="AG163" s="199"/>
      <c r="AH163" s="199"/>
      <c r="AI163" s="199"/>
      <c r="AJ163" s="200"/>
      <c r="AK163" s="200"/>
    </row>
    <row r="164" spans="1:37" s="7" customFormat="1">
      <c r="A164" s="6"/>
      <c r="B164" s="23" t="s">
        <v>50</v>
      </c>
      <c r="C164" s="49">
        <v>415.97</v>
      </c>
      <c r="D164" s="48">
        <v>405.274</v>
      </c>
      <c r="E164" s="48">
        <v>404.03199999999998</v>
      </c>
      <c r="F164" s="48">
        <v>405.42500000000001</v>
      </c>
      <c r="G164" s="48">
        <v>410.22899999999998</v>
      </c>
      <c r="H164" s="48">
        <v>421.142</v>
      </c>
      <c r="I164" s="48">
        <v>422.81799999999998</v>
      </c>
      <c r="J164" s="48">
        <v>418.75</v>
      </c>
      <c r="K164" s="48">
        <v>413.86700000000002</v>
      </c>
      <c r="L164" s="229"/>
      <c r="M164" s="229"/>
      <c r="N164" s="229"/>
      <c r="O164" s="229"/>
      <c r="P164" s="229"/>
      <c r="Q164" s="229"/>
      <c r="R164" s="49">
        <v>411.79500000000002</v>
      </c>
      <c r="S164" s="50">
        <f>AVERAGE(R164,C164)</f>
        <v>413.88250000000005</v>
      </c>
      <c r="T164" s="49">
        <v>414.37299999999999</v>
      </c>
      <c r="U164" s="50">
        <f>AVERAGE(T164,D164)</f>
        <v>409.82349999999997</v>
      </c>
      <c r="V164" s="48">
        <v>402.78699999999998</v>
      </c>
      <c r="W164" s="50">
        <f>AVERAGE(V164,E164)</f>
        <v>403.40949999999998</v>
      </c>
      <c r="X164" s="48">
        <v>407.03</v>
      </c>
      <c r="Y164" s="50">
        <f>AVERAGE(X164,F164)</f>
        <v>406.22749999999996</v>
      </c>
      <c r="Z164" s="48">
        <v>404.37200000000001</v>
      </c>
      <c r="AA164" s="50">
        <f>AVERAGE(Z164,G164)</f>
        <v>407.3005</v>
      </c>
      <c r="AB164" s="48">
        <v>410.87200000000001</v>
      </c>
      <c r="AC164" s="50">
        <f>AVERAGE(AB164,H164)</f>
        <v>416.00700000000001</v>
      </c>
      <c r="AD164" s="48">
        <v>425.99</v>
      </c>
      <c r="AE164" s="50">
        <f>AVERAGE(AD164,I164)</f>
        <v>424.404</v>
      </c>
      <c r="AF164" s="48">
        <v>421.339</v>
      </c>
      <c r="AG164" s="50">
        <f>AVERAGE(AF164,J164)</f>
        <v>420.04449999999997</v>
      </c>
      <c r="AH164" s="48">
        <v>416.15499999999997</v>
      </c>
      <c r="AI164" s="50">
        <f>AVERAGE(AH164,K164)</f>
        <v>415.01099999999997</v>
      </c>
      <c r="AJ164" s="229"/>
      <c r="AK164" s="229"/>
    </row>
    <row r="165" spans="1:37">
      <c r="B165" s="32" t="s">
        <v>265</v>
      </c>
      <c r="C165" s="199"/>
      <c r="D165" s="244">
        <f t="shared" ref="D165" si="356">D164/C164-1</f>
        <v>-2.5713392792749534E-2</v>
      </c>
      <c r="E165" s="244">
        <f t="shared" ref="E165" si="357">E164/D164-1</f>
        <v>-3.0645933368536049E-3</v>
      </c>
      <c r="F165" s="244">
        <f t="shared" ref="F165" si="358">F164/E164-1</f>
        <v>3.4477467131317496E-3</v>
      </c>
      <c r="G165" s="244">
        <f t="shared" ref="G165" si="359">G164/F164-1</f>
        <v>1.1849293950792372E-2</v>
      </c>
      <c r="H165" s="244">
        <f t="shared" ref="H165" si="360">H164/G164-1</f>
        <v>2.6602214860480311E-2</v>
      </c>
      <c r="I165" s="244">
        <f t="shared" ref="I165" si="361">I164/H164-1</f>
        <v>3.9796553181585814E-3</v>
      </c>
      <c r="J165" s="244">
        <f t="shared" ref="J165" si="362">J164/I164-1</f>
        <v>-9.6211608777299062E-3</v>
      </c>
      <c r="K165" s="279">
        <f t="shared" ref="K165" si="363">K164/J164-1</f>
        <v>-1.1660895522388026E-2</v>
      </c>
      <c r="L165" s="200"/>
      <c r="M165" s="200"/>
      <c r="N165" s="200"/>
      <c r="O165" s="200"/>
      <c r="P165" s="200"/>
      <c r="Q165" s="200"/>
      <c r="R165" s="199"/>
      <c r="S165" s="199"/>
      <c r="T165" s="244">
        <f t="shared" ref="T165" si="364">T164/R164-1</f>
        <v>6.260396556539094E-3</v>
      </c>
      <c r="U165" s="244">
        <f t="shared" ref="U165" si="365">U164/S164-1</f>
        <v>-9.8071312510195074E-3</v>
      </c>
      <c r="V165" s="244">
        <f t="shared" ref="V165" si="366">V164/T164-1</f>
        <v>-2.7960315947226366E-2</v>
      </c>
      <c r="W165" s="244">
        <f t="shared" ref="W165" si="367">W164/U164-1</f>
        <v>-1.5650639848617698E-2</v>
      </c>
      <c r="X165" s="244">
        <f t="shared" ref="X165" si="368">X164/V164-1</f>
        <v>1.0534103632937386E-2</v>
      </c>
      <c r="Y165" s="244">
        <f t="shared" ref="Y165" si="369">Y164/W164-1</f>
        <v>6.9854577048880095E-3</v>
      </c>
      <c r="Z165" s="244">
        <f t="shared" ref="Z165" si="370">Z164/X164-1</f>
        <v>-6.530231186890334E-3</v>
      </c>
      <c r="AA165" s="244">
        <f t="shared" ref="AA165" si="371">AA164/Y164-1</f>
        <v>2.6413770608835208E-3</v>
      </c>
      <c r="AB165" s="244">
        <f t="shared" ref="AB165" si="372">AB164/Z164-1</f>
        <v>1.6074307815575839E-2</v>
      </c>
      <c r="AC165" s="244">
        <f t="shared" ref="AC165" si="373">AC164/AA164-1</f>
        <v>2.1376109285404787E-2</v>
      </c>
      <c r="AD165" s="244">
        <f t="shared" ref="AD165" si="374">AD164/AB164-1</f>
        <v>3.6794914231196074E-2</v>
      </c>
      <c r="AE165" s="244">
        <f t="shared" ref="AE165" si="375">AE164/AC164-1</f>
        <v>2.0184756506500978E-2</v>
      </c>
      <c r="AF165" s="244">
        <f t="shared" ref="AF165" si="376">AF164/AD164-1</f>
        <v>-1.091809666893595E-2</v>
      </c>
      <c r="AG165" s="244">
        <f t="shared" ref="AG165" si="377">AG164/AE164-1</f>
        <v>-1.0272052101299778E-2</v>
      </c>
      <c r="AH165" s="244">
        <f t="shared" ref="AH165" si="378">AH164/AF164-1</f>
        <v>-1.2303631992291342E-2</v>
      </c>
      <c r="AI165" s="244">
        <f t="shared" ref="AI165" si="379">AI164/AG164-1</f>
        <v>-1.1983254155214507E-2</v>
      </c>
      <c r="AJ165" s="200"/>
      <c r="AK165" s="200"/>
    </row>
    <row r="166" spans="1:37">
      <c r="B166" s="17"/>
      <c r="C166" s="199"/>
      <c r="D166" s="199"/>
      <c r="E166" s="199"/>
      <c r="F166" s="199"/>
      <c r="G166" s="199"/>
      <c r="H166" s="199"/>
      <c r="I166" s="199"/>
      <c r="J166" s="199"/>
      <c r="K166" s="199"/>
      <c r="L166" s="200"/>
      <c r="M166" s="200"/>
      <c r="N166" s="200"/>
      <c r="O166" s="200"/>
      <c r="P166" s="200"/>
      <c r="Q166" s="200"/>
      <c r="R166" s="199"/>
      <c r="S166" s="199"/>
      <c r="T166" s="199"/>
      <c r="U166" s="199"/>
      <c r="V166" s="199"/>
      <c r="W166" s="199"/>
      <c r="X166" s="199"/>
      <c r="Y166" s="199"/>
      <c r="Z166" s="199"/>
      <c r="AA166" s="199"/>
      <c r="AB166" s="199"/>
      <c r="AC166" s="199"/>
      <c r="AD166" s="199"/>
      <c r="AE166" s="199"/>
      <c r="AF166" s="199"/>
      <c r="AG166" s="199"/>
      <c r="AH166" s="199"/>
      <c r="AI166" s="199"/>
      <c r="AJ166" s="200"/>
      <c r="AK166" s="200"/>
    </row>
    <row r="167" spans="1:37" s="7" customFormat="1">
      <c r="A167" s="6"/>
      <c r="B167" s="51" t="s">
        <v>67</v>
      </c>
      <c r="C167" s="237">
        <f t="shared" ref="C167:K167" si="380">C117/C164</f>
        <v>14.981849652619179</v>
      </c>
      <c r="D167" s="237">
        <f t="shared" si="380"/>
        <v>15.781915444859527</v>
      </c>
      <c r="E167" s="237">
        <f t="shared" si="380"/>
        <v>16.612545540947252</v>
      </c>
      <c r="F167" s="237">
        <f t="shared" si="380"/>
        <v>17.739409261885676</v>
      </c>
      <c r="G167" s="237">
        <f t="shared" si="380"/>
        <v>17.419538842938945</v>
      </c>
      <c r="H167" s="237">
        <f t="shared" si="380"/>
        <v>17.95831334799189</v>
      </c>
      <c r="I167" s="237">
        <f t="shared" si="380"/>
        <v>18.712542985397974</v>
      </c>
      <c r="J167" s="237">
        <f t="shared" si="380"/>
        <v>19.50089552238806</v>
      </c>
      <c r="K167" s="237">
        <f t="shared" si="380"/>
        <v>20.020924596549133</v>
      </c>
      <c r="L167" s="229"/>
      <c r="M167" s="229"/>
      <c r="N167" s="229"/>
      <c r="O167" s="229"/>
      <c r="P167" s="229"/>
      <c r="Q167" s="229"/>
      <c r="R167" s="237">
        <f t="shared" ref="R167:AI167" si="381">R117/R164</f>
        <v>7.8364234631309264</v>
      </c>
      <c r="S167" s="237">
        <f t="shared" si="381"/>
        <v>7.2605147596238053</v>
      </c>
      <c r="T167" s="237">
        <f t="shared" si="381"/>
        <v>8.0531308748398178</v>
      </c>
      <c r="U167" s="237">
        <f t="shared" si="381"/>
        <v>7.4641888520302038</v>
      </c>
      <c r="V167" s="237">
        <f t="shared" si="381"/>
        <v>8.4436687380675153</v>
      </c>
      <c r="W167" s="237">
        <f t="shared" si="381"/>
        <v>8.2075409726345079</v>
      </c>
      <c r="X167" s="237">
        <f t="shared" si="381"/>
        <v>8.7561113431442408</v>
      </c>
      <c r="Y167" s="237">
        <f t="shared" si="381"/>
        <v>8.9309561760343659</v>
      </c>
      <c r="Z167" s="237">
        <f t="shared" si="381"/>
        <v>9.1920311000761679</v>
      </c>
      <c r="AA167" s="237">
        <f t="shared" si="381"/>
        <v>8.4188455452423945</v>
      </c>
      <c r="AB167" s="237">
        <f t="shared" si="381"/>
        <v>9.8011059405362246</v>
      </c>
      <c r="AC167" s="237">
        <f t="shared" si="381"/>
        <v>8.4998569735605418</v>
      </c>
      <c r="AD167" s="237">
        <f t="shared" si="381"/>
        <v>9.5753421441817874</v>
      </c>
      <c r="AE167" s="237">
        <f t="shared" si="381"/>
        <v>9.0314888643839364</v>
      </c>
      <c r="AF167" s="237">
        <f t="shared" si="381"/>
        <v>9.901765561697351</v>
      </c>
      <c r="AG167" s="237">
        <f t="shared" si="381"/>
        <v>9.5085163595761877</v>
      </c>
      <c r="AH167" s="237">
        <f t="shared" si="381"/>
        <v>10.296644279174828</v>
      </c>
      <c r="AI167" s="237">
        <f t="shared" si="381"/>
        <v>9.6407083185746885</v>
      </c>
      <c r="AJ167" s="229"/>
      <c r="AK167" s="229"/>
    </row>
    <row r="168" spans="1:37">
      <c r="B168" s="32" t="s">
        <v>265</v>
      </c>
      <c r="C168" s="199"/>
      <c r="D168" s="244">
        <f t="shared" ref="D168" si="382">D167/C167-1</f>
        <v>5.340233754785273E-2</v>
      </c>
      <c r="E168" s="244">
        <f t="shared" ref="E168" si="383">E167/D167-1</f>
        <v>5.2631766973398442E-2</v>
      </c>
      <c r="F168" s="244">
        <f t="shared" ref="F168" si="384">F167/E167-1</f>
        <v>6.7832092207716466E-2</v>
      </c>
      <c r="G168" s="244">
        <f t="shared" ref="G168" si="385">G167/F167-1</f>
        <v>-1.8031627447369081E-2</v>
      </c>
      <c r="H168" s="244">
        <f t="shared" ref="H168" si="386">H167/G167-1</f>
        <v>3.0929320799519378E-2</v>
      </c>
      <c r="I168" s="244">
        <f t="shared" ref="I168" si="387">I167/H167-1</f>
        <v>4.1998912859509741E-2</v>
      </c>
      <c r="J168" s="244">
        <f t="shared" ref="J168" si="388">J167/I167-1</f>
        <v>4.2129631317628258E-2</v>
      </c>
      <c r="K168" s="279">
        <f t="shared" ref="K168" si="389">K167/J167-1</f>
        <v>2.6666932991054271E-2</v>
      </c>
      <c r="L168" s="200"/>
      <c r="M168" s="200"/>
      <c r="N168" s="200"/>
      <c r="O168" s="200"/>
      <c r="P168" s="200"/>
      <c r="Q168" s="200"/>
      <c r="R168" s="199"/>
      <c r="S168" s="199"/>
      <c r="T168" s="244">
        <f t="shared" ref="T168" si="390">T167/R167-1</f>
        <v>2.7653866936679039E-2</v>
      </c>
      <c r="U168" s="244">
        <f t="shared" ref="U168" si="391">U167/S167-1</f>
        <v>2.8052293693973773E-2</v>
      </c>
      <c r="V168" s="244">
        <f t="shared" ref="V168" si="392">V167/T167-1</f>
        <v>4.8495159124738008E-2</v>
      </c>
      <c r="W168" s="244">
        <f t="shared" ref="W168" si="393">W167/U167-1</f>
        <v>9.9589136253180222E-2</v>
      </c>
      <c r="X168" s="244">
        <f t="shared" ref="X168" si="394">X167/V167-1</f>
        <v>3.700318129110225E-2</v>
      </c>
      <c r="Y168" s="244">
        <f t="shared" ref="Y168" si="395">Y167/W167-1</f>
        <v>8.8140309723930832E-2</v>
      </c>
      <c r="Z168" s="244">
        <f t="shared" ref="Z168" si="396">Z167/X167-1</f>
        <v>4.9784629254770563E-2</v>
      </c>
      <c r="AA168" s="244">
        <f t="shared" ref="AA168" si="397">AA167/Y167-1</f>
        <v>-5.734107532250432E-2</v>
      </c>
      <c r="AB168" s="244">
        <f t="shared" ref="AB168" si="398">AB167/Z167-1</f>
        <v>6.6261181433014293E-2</v>
      </c>
      <c r="AC168" s="244">
        <f t="shared" ref="AC168" si="399">AC167/AA167-1</f>
        <v>9.6226291221042093E-3</v>
      </c>
      <c r="AD168" s="244">
        <f t="shared" ref="AD168" si="400">AD167/AB167-1</f>
        <v>-2.3034522606342311E-2</v>
      </c>
      <c r="AE168" s="244">
        <f t="shared" ref="AE168" si="401">AE167/AC167-1</f>
        <v>6.2545980770861931E-2</v>
      </c>
      <c r="AF168" s="244">
        <f t="shared" ref="AF168" si="402">AF167/AD167-1</f>
        <v>3.4090000398983911E-2</v>
      </c>
      <c r="AG168" s="244">
        <f t="shared" ref="AG168" si="403">AG167/AE167-1</f>
        <v>5.2818256475233971E-2</v>
      </c>
      <c r="AH168" s="244">
        <f t="shared" ref="AH168" si="404">AH167/AF167-1</f>
        <v>3.9879627023787778E-2</v>
      </c>
      <c r="AI168" s="244">
        <f t="shared" ref="AI168" si="405">AI167/AG167-1</f>
        <v>1.3902480050462129E-2</v>
      </c>
      <c r="AJ168" s="200"/>
      <c r="AK168" s="200"/>
    </row>
    <row r="169" spans="1:37">
      <c r="B169" s="17"/>
      <c r="C169" s="199"/>
      <c r="D169" s="199"/>
      <c r="E169" s="199"/>
      <c r="F169" s="199"/>
      <c r="G169" s="199"/>
      <c r="H169" s="199"/>
      <c r="I169" s="199"/>
      <c r="J169" s="199"/>
      <c r="K169" s="199"/>
      <c r="L169" s="200"/>
      <c r="M169" s="200"/>
      <c r="N169" s="200"/>
      <c r="O169" s="200"/>
      <c r="P169" s="200"/>
      <c r="Q169" s="200"/>
      <c r="R169" s="199"/>
      <c r="S169" s="199"/>
      <c r="T169" s="199"/>
      <c r="U169" s="199"/>
      <c r="V169" s="199"/>
      <c r="W169" s="199"/>
      <c r="X169" s="199"/>
      <c r="Y169" s="199"/>
      <c r="Z169" s="199"/>
      <c r="AA169" s="199"/>
      <c r="AB169" s="199"/>
      <c r="AC169" s="199"/>
      <c r="AD169" s="199"/>
      <c r="AE169" s="199"/>
      <c r="AF169" s="199"/>
      <c r="AG169" s="199"/>
      <c r="AH169" s="199"/>
      <c r="AI169" s="199"/>
      <c r="AJ169" s="200"/>
      <c r="AK169" s="200"/>
    </row>
    <row r="170" spans="1:37">
      <c r="B170" s="23" t="s">
        <v>65</v>
      </c>
      <c r="C170" s="215">
        <f t="shared" ref="C170:K170" si="406">(C164*1000)/C162</f>
        <v>2260.7065217391305</v>
      </c>
      <c r="D170" s="215">
        <f t="shared" si="406"/>
        <v>2239.0828729281766</v>
      </c>
      <c r="E170" s="215">
        <f t="shared" si="406"/>
        <v>2244.6222222222223</v>
      </c>
      <c r="F170" s="215">
        <f t="shared" si="406"/>
        <v>2227.6098901098903</v>
      </c>
      <c r="G170" s="215">
        <f t="shared" si="406"/>
        <v>2229.5054347826085</v>
      </c>
      <c r="H170" s="215">
        <f t="shared" si="406"/>
        <v>2216.5368421052631</v>
      </c>
      <c r="I170" s="215">
        <f t="shared" si="406"/>
        <v>2213.7068062827225</v>
      </c>
      <c r="J170" s="215">
        <f t="shared" si="406"/>
        <v>2227.3936170212764</v>
      </c>
      <c r="K170" s="215">
        <f t="shared" si="406"/>
        <v>2249.2771739130435</v>
      </c>
      <c r="L170" s="200"/>
      <c r="M170" s="200"/>
      <c r="N170" s="200"/>
      <c r="O170" s="200"/>
      <c r="P170" s="200"/>
      <c r="Q170" s="200"/>
      <c r="R170" s="215">
        <f t="shared" ref="R170:AI170" si="407">(R164*1000)/R162</f>
        <v>2250.2459016393441</v>
      </c>
      <c r="S170" s="215">
        <f t="shared" si="407"/>
        <v>2249.3614130434785</v>
      </c>
      <c r="T170" s="215">
        <f t="shared" si="407"/>
        <v>2252.0271739130435</v>
      </c>
      <c r="U170" s="215">
        <f t="shared" si="407"/>
        <v>2264.2182320441984</v>
      </c>
      <c r="V170" s="215">
        <f t="shared" si="407"/>
        <v>2237.7055555555557</v>
      </c>
      <c r="W170" s="215">
        <f t="shared" si="407"/>
        <v>2241.1638888888888</v>
      </c>
      <c r="X170" s="215">
        <f t="shared" si="407"/>
        <v>2236.4285714285716</v>
      </c>
      <c r="Y170" s="215">
        <f t="shared" si="407"/>
        <v>2232.0192307692305</v>
      </c>
      <c r="Z170" s="215">
        <f t="shared" si="407"/>
        <v>2234.0994475138123</v>
      </c>
      <c r="AA170" s="215">
        <f t="shared" si="407"/>
        <v>2225.6857923497269</v>
      </c>
      <c r="AB170" s="215">
        <f t="shared" si="407"/>
        <v>2220.9297297297298</v>
      </c>
      <c r="AC170" s="215">
        <f t="shared" si="407"/>
        <v>2189.5105263157893</v>
      </c>
      <c r="AD170" s="215">
        <f t="shared" si="407"/>
        <v>2207.2020725388602</v>
      </c>
      <c r="AE170" s="215">
        <f t="shared" si="407"/>
        <v>2222.0104712041884</v>
      </c>
      <c r="AF170" s="215">
        <f t="shared" si="407"/>
        <v>2229.3068783068784</v>
      </c>
      <c r="AG170" s="215">
        <f t="shared" si="407"/>
        <v>2234.2792553191489</v>
      </c>
      <c r="AH170" s="215">
        <f t="shared" si="407"/>
        <v>2237.3924731182797</v>
      </c>
      <c r="AI170" s="215">
        <f t="shared" si="407"/>
        <v>2255.494565217391</v>
      </c>
      <c r="AJ170" s="200"/>
      <c r="AK170" s="200"/>
    </row>
    <row r="171" spans="1:37">
      <c r="B171" s="32" t="s">
        <v>265</v>
      </c>
      <c r="C171" s="199"/>
      <c r="D171" s="244">
        <f t="shared" ref="D171" si="408">D170/C170-1</f>
        <v>-9.5649959882094793E-3</v>
      </c>
      <c r="E171" s="244">
        <f t="shared" ref="E171" si="409">E170/D170-1</f>
        <v>2.4739367001640478E-3</v>
      </c>
      <c r="F171" s="244">
        <f t="shared" ref="F171" si="410">F170/E170-1</f>
        <v>-7.5791516023971939E-3</v>
      </c>
      <c r="G171" s="244">
        <f t="shared" ref="G171" si="411">G170/F170-1</f>
        <v>8.5093206002273547E-4</v>
      </c>
      <c r="H171" s="244">
        <f t="shared" ref="H171" si="412">H170/G170-1</f>
        <v>-5.8168024509032135E-3</v>
      </c>
      <c r="I171" s="244">
        <f t="shared" ref="I171" si="413">I170/H170-1</f>
        <v>-1.2767826678001803E-3</v>
      </c>
      <c r="J171" s="244">
        <f t="shared" ref="J171" si="414">J170/I170-1</f>
        <v>6.1827567678380824E-3</v>
      </c>
      <c r="K171" s="279">
        <f t="shared" ref="K171" si="415">K170/J170-1</f>
        <v>9.8247371836470698E-3</v>
      </c>
      <c r="L171" s="200"/>
      <c r="M171" s="200"/>
      <c r="N171" s="200"/>
      <c r="O171" s="200"/>
      <c r="P171" s="200"/>
      <c r="Q171" s="200"/>
      <c r="R171" s="199"/>
      <c r="S171" s="199"/>
      <c r="T171" s="244">
        <f t="shared" ref="T171" si="416">T170/R170-1</f>
        <v>7.9159005351447931E-4</v>
      </c>
      <c r="U171" s="244">
        <f t="shared" ref="U171" si="417">U170/S170-1</f>
        <v>6.6049052475822823E-3</v>
      </c>
      <c r="V171" s="244">
        <f t="shared" ref="V171" si="418">V170/T170-1</f>
        <v>-6.3594340793867721E-3</v>
      </c>
      <c r="W171" s="244">
        <f t="shared" ref="W171" si="419">W170/U170-1</f>
        <v>-1.0182032292221033E-2</v>
      </c>
      <c r="X171" s="244">
        <f t="shared" ref="X171" si="420">X170/V170-1</f>
        <v>-5.7066673665528977E-4</v>
      </c>
      <c r="Y171" s="244">
        <f t="shared" ref="Y171" si="421">Y170/W170-1</f>
        <v>-4.0803165556053678E-3</v>
      </c>
      <c r="Z171" s="244">
        <f t="shared" ref="Z171" si="422">Z170/X170-1</f>
        <v>-1.0414479337793603E-3</v>
      </c>
      <c r="AA171" s="244">
        <f t="shared" ref="AA171" si="423">AA170/Y170-1</f>
        <v>-2.8375375678644232E-3</v>
      </c>
      <c r="AB171" s="244">
        <f t="shared" ref="AB171" si="424">AB170/Z170-1</f>
        <v>-5.894866407463728E-3</v>
      </c>
      <c r="AC171" s="244">
        <f t="shared" ref="AC171" si="425">AC170/AA170-1</f>
        <v>-1.625353684616293E-2</v>
      </c>
      <c r="AD171" s="244">
        <f t="shared" ref="AD171" si="426">AD170/AB170-1</f>
        <v>-6.181040762843093E-3</v>
      </c>
      <c r="AE171" s="244">
        <f t="shared" ref="AE171" si="427">AE170/AC170-1</f>
        <v>1.4843475058823108E-2</v>
      </c>
      <c r="AF171" s="244">
        <f t="shared" ref="AF171" si="428">AF170/AD170-1</f>
        <v>1.0014853666113099E-2</v>
      </c>
      <c r="AG171" s="244">
        <f t="shared" ref="AG171" si="429">AG170/AE170-1</f>
        <v>5.5214789821902421E-3</v>
      </c>
      <c r="AH171" s="244">
        <f t="shared" ref="AH171" si="430">AH170/AF170-1</f>
        <v>3.6269545884781706E-3</v>
      </c>
      <c r="AI171" s="244">
        <f t="shared" ref="AI171" si="431">AI170/AG170-1</f>
        <v>9.4953707544547239E-3</v>
      </c>
      <c r="AJ171" s="200"/>
      <c r="AK171" s="200"/>
    </row>
    <row r="172" spans="1:37">
      <c r="B172" s="32"/>
      <c r="C172" s="199"/>
      <c r="D172" s="199"/>
      <c r="E172" s="199"/>
      <c r="F172" s="199"/>
      <c r="G172" s="199"/>
      <c r="H172" s="199"/>
      <c r="I172" s="199"/>
      <c r="J172" s="199"/>
      <c r="K172" s="199"/>
      <c r="L172" s="200"/>
      <c r="M172" s="200"/>
      <c r="N172" s="200"/>
      <c r="O172" s="200"/>
      <c r="P172" s="200"/>
      <c r="Q172" s="200"/>
      <c r="R172" s="199"/>
      <c r="S172" s="199"/>
      <c r="T172" s="199"/>
      <c r="U172" s="199"/>
      <c r="V172" s="199"/>
      <c r="W172" s="199"/>
      <c r="X172" s="199"/>
      <c r="Y172" s="199"/>
      <c r="Z172" s="199"/>
      <c r="AA172" s="199"/>
      <c r="AB172" s="199"/>
      <c r="AC172" s="199"/>
      <c r="AD172" s="199"/>
      <c r="AE172" s="199"/>
      <c r="AF172" s="199"/>
      <c r="AG172" s="199"/>
      <c r="AH172" s="199"/>
      <c r="AI172" s="199"/>
      <c r="AJ172" s="200"/>
      <c r="AK172" s="200"/>
    </row>
    <row r="173" spans="1:37">
      <c r="B173" s="23" t="s">
        <v>59</v>
      </c>
      <c r="C173" s="228"/>
      <c r="D173" s="228"/>
      <c r="E173" s="228"/>
      <c r="F173" s="57">
        <v>3</v>
      </c>
      <c r="G173" s="28">
        <v>10</v>
      </c>
      <c r="H173" s="28">
        <v>3</v>
      </c>
      <c r="I173" s="28">
        <v>12</v>
      </c>
      <c r="J173" s="28">
        <v>8</v>
      </c>
      <c r="K173" s="28">
        <v>3</v>
      </c>
      <c r="L173" s="200"/>
      <c r="M173" s="200"/>
      <c r="N173" s="200"/>
      <c r="O173" s="200"/>
      <c r="P173" s="200"/>
      <c r="Q173" s="200"/>
      <c r="R173" s="107">
        <v>2</v>
      </c>
      <c r="S173" s="228"/>
      <c r="T173" s="107">
        <v>4</v>
      </c>
      <c r="U173" s="228"/>
      <c r="V173" s="107">
        <v>10</v>
      </c>
      <c r="W173" s="228"/>
      <c r="X173" s="107">
        <v>2</v>
      </c>
      <c r="Y173" s="228"/>
      <c r="Z173" s="57">
        <v>10</v>
      </c>
      <c r="AA173" s="57"/>
      <c r="AB173" s="57">
        <v>1</v>
      </c>
      <c r="AC173" s="57"/>
      <c r="AD173" s="28">
        <v>9</v>
      </c>
      <c r="AE173" s="57"/>
      <c r="AF173" s="28">
        <v>5</v>
      </c>
      <c r="AG173" s="57"/>
      <c r="AH173" s="28">
        <v>11</v>
      </c>
      <c r="AI173" s="57"/>
      <c r="AJ173" s="200"/>
      <c r="AK173" s="200"/>
    </row>
    <row r="174" spans="1:37">
      <c r="B174" s="32"/>
      <c r="C174" s="199"/>
      <c r="D174" s="199"/>
      <c r="E174" s="199"/>
      <c r="F174" s="199"/>
      <c r="G174" s="199"/>
      <c r="H174" s="199"/>
      <c r="I174" s="199"/>
      <c r="J174" s="199"/>
      <c r="K174" s="199"/>
      <c r="L174" s="200"/>
      <c r="M174" s="200"/>
      <c r="N174" s="200"/>
      <c r="O174" s="200"/>
      <c r="P174" s="200"/>
      <c r="Q174" s="200"/>
      <c r="R174" s="199"/>
      <c r="S174" s="199"/>
      <c r="T174" s="199"/>
      <c r="U174" s="199"/>
      <c r="V174" s="199"/>
      <c r="W174" s="199"/>
      <c r="X174" s="199"/>
      <c r="Y174" s="199"/>
      <c r="Z174" s="199"/>
      <c r="AA174" s="199"/>
      <c r="AB174" s="199"/>
      <c r="AC174" s="199"/>
      <c r="AD174" s="199"/>
      <c r="AE174" s="199"/>
      <c r="AF174" s="199"/>
      <c r="AG174" s="199"/>
      <c r="AH174" s="199"/>
      <c r="AI174" s="199"/>
      <c r="AJ174" s="200"/>
      <c r="AK174" s="200"/>
    </row>
    <row r="175" spans="1:37" s="7" customFormat="1">
      <c r="A175" s="6"/>
      <c r="B175" s="52" t="s">
        <v>64</v>
      </c>
      <c r="C175" s="228"/>
      <c r="D175" s="228"/>
      <c r="E175" s="228"/>
      <c r="F175" s="228"/>
      <c r="G175" s="228"/>
      <c r="H175" s="40">
        <v>1031</v>
      </c>
      <c r="I175" s="40">
        <f>H175*(1-2.8%)</f>
        <v>1002.1319999999999</v>
      </c>
      <c r="J175" s="40">
        <v>1075</v>
      </c>
      <c r="K175" s="40">
        <v>1232</v>
      </c>
      <c r="L175" s="216">
        <f>K175*(1+L176)</f>
        <v>1293.6000000000001</v>
      </c>
      <c r="M175" s="216">
        <f t="shared" ref="M175" si="432">L175*(1+M176)</f>
        <v>1358.2800000000002</v>
      </c>
      <c r="N175" s="216">
        <f t="shared" ref="N175" si="433">M175*(1+N176)</f>
        <v>1426.1940000000002</v>
      </c>
      <c r="O175" s="216">
        <f t="shared" ref="O175" si="434">N175*(1+O176)</f>
        <v>1497.5037000000002</v>
      </c>
      <c r="P175" s="216">
        <f t="shared" ref="P175" si="435">O175*(1+P176)</f>
        <v>1572.3788850000003</v>
      </c>
      <c r="Q175" s="229"/>
      <c r="R175" s="228"/>
      <c r="S175" s="228"/>
      <c r="T175" s="228"/>
      <c r="U175" s="228"/>
      <c r="V175" s="228"/>
      <c r="W175" s="228"/>
      <c r="X175" s="228"/>
      <c r="Y175" s="228"/>
      <c r="Z175" s="228"/>
      <c r="AA175" s="228"/>
      <c r="AB175" s="228"/>
      <c r="AC175" s="228"/>
      <c r="AD175" s="40">
        <v>540</v>
      </c>
      <c r="AE175" s="59">
        <f>I175-AD175</f>
        <v>462.13199999999995</v>
      </c>
      <c r="AF175" s="40">
        <v>540</v>
      </c>
      <c r="AG175" s="59">
        <f>J175-AF175</f>
        <v>535</v>
      </c>
      <c r="AH175" s="40">
        <v>619</v>
      </c>
      <c r="AI175" s="59">
        <f>K175-AH175</f>
        <v>613</v>
      </c>
      <c r="AJ175" s="216">
        <f>AH175*(1+AJ176)</f>
        <v>649.95000000000005</v>
      </c>
      <c r="AK175" s="216">
        <f>L175-AJ175</f>
        <v>643.65000000000009</v>
      </c>
    </row>
    <row r="176" spans="1:37">
      <c r="B176" s="32" t="s">
        <v>265</v>
      </c>
      <c r="C176" s="199"/>
      <c r="D176" s="199"/>
      <c r="E176" s="199"/>
      <c r="F176" s="199"/>
      <c r="G176" s="199"/>
      <c r="H176" s="199"/>
      <c r="I176" s="244">
        <f>I175/H175-1</f>
        <v>-2.8000000000000025E-2</v>
      </c>
      <c r="J176" s="244">
        <f>J175/I175-1</f>
        <v>7.2712975935306012E-2</v>
      </c>
      <c r="K176" s="279">
        <f>K175/J175-1</f>
        <v>0.14604651162790705</v>
      </c>
      <c r="L176" s="160">
        <v>0.05</v>
      </c>
      <c r="M176" s="160">
        <v>0.05</v>
      </c>
      <c r="N176" s="160">
        <v>0.05</v>
      </c>
      <c r="O176" s="160">
        <v>0.05</v>
      </c>
      <c r="P176" s="160">
        <v>0.05</v>
      </c>
      <c r="Q176" s="200"/>
      <c r="R176" s="199"/>
      <c r="S176" s="199"/>
      <c r="T176" s="199"/>
      <c r="U176" s="199"/>
      <c r="V176" s="199"/>
      <c r="W176" s="199"/>
      <c r="X176" s="199"/>
      <c r="Y176" s="199"/>
      <c r="Z176" s="199"/>
      <c r="AA176" s="199"/>
      <c r="AB176" s="199"/>
      <c r="AC176" s="199"/>
      <c r="AD176" s="199"/>
      <c r="AE176" s="199"/>
      <c r="AF176" s="244">
        <f>AF175/AD175-1</f>
        <v>0</v>
      </c>
      <c r="AG176" s="244">
        <f>AG175/AE175-1</f>
        <v>0.15767789289640199</v>
      </c>
      <c r="AH176" s="244">
        <f>AH175/AF175-1</f>
        <v>0.14629629629629637</v>
      </c>
      <c r="AI176" s="244">
        <f>AI175/AG175-1</f>
        <v>0.14579439252336446</v>
      </c>
      <c r="AJ176" s="160">
        <v>0.05</v>
      </c>
      <c r="AK176" s="166">
        <f>AK175/AI175-1</f>
        <v>5.0000000000000044E-2</v>
      </c>
    </row>
    <row r="177" spans="1:40">
      <c r="B177" s="32" t="s">
        <v>203</v>
      </c>
      <c r="C177" s="199"/>
      <c r="D177" s="199"/>
      <c r="E177" s="199"/>
      <c r="F177" s="199"/>
      <c r="G177" s="199"/>
      <c r="H177" s="244">
        <f t="shared" ref="H177:P177" si="436">H175/H117</f>
        <v>0.13632156551632951</v>
      </c>
      <c r="I177" s="244">
        <f t="shared" si="436"/>
        <v>0.126659757330637</v>
      </c>
      <c r="J177" s="244">
        <f t="shared" si="436"/>
        <v>0.1316433994611805</v>
      </c>
      <c r="K177" s="244">
        <f t="shared" si="436"/>
        <v>0.14868452811972002</v>
      </c>
      <c r="L177" s="166">
        <f t="shared" si="436"/>
        <v>0.15242250868997412</v>
      </c>
      <c r="M177" s="166">
        <f t="shared" si="436"/>
        <v>0.15375954823988616</v>
      </c>
      <c r="N177" s="166">
        <f t="shared" si="436"/>
        <v>0.15512573494808227</v>
      </c>
      <c r="O177" s="166">
        <f t="shared" si="436"/>
        <v>0.15652126394781968</v>
      </c>
      <c r="P177" s="166">
        <f t="shared" si="436"/>
        <v>0.1579463437409713</v>
      </c>
      <c r="Q177" s="166"/>
      <c r="R177" s="199"/>
      <c r="S177" s="199"/>
      <c r="T177" s="199"/>
      <c r="U177" s="199"/>
      <c r="V177" s="199"/>
      <c r="W177" s="199"/>
      <c r="X177" s="199"/>
      <c r="Y177" s="199"/>
      <c r="Z177" s="199"/>
      <c r="AA177" s="199"/>
      <c r="AB177" s="199"/>
      <c r="AC177" s="199"/>
      <c r="AD177" s="244">
        <f t="shared" ref="AD177:AK177" si="437">AD175/AD117</f>
        <v>0.13238538857563129</v>
      </c>
      <c r="AE177" s="244">
        <f t="shared" si="437"/>
        <v>0.12056665797025827</v>
      </c>
      <c r="AF177" s="244">
        <f t="shared" si="437"/>
        <v>0.12943432406519656</v>
      </c>
      <c r="AG177" s="244">
        <f t="shared" si="437"/>
        <v>0.13395092638958436</v>
      </c>
      <c r="AH177" s="244">
        <f t="shared" si="437"/>
        <v>0.14445740956826136</v>
      </c>
      <c r="AI177" s="244">
        <f t="shared" si="437"/>
        <v>0.15321169707573107</v>
      </c>
      <c r="AJ177" s="166">
        <f t="shared" si="437"/>
        <v>0.14816183475572797</v>
      </c>
      <c r="AK177" s="166">
        <f t="shared" si="437"/>
        <v>0.15698097931377902</v>
      </c>
    </row>
    <row r="178" spans="1:40">
      <c r="B178" s="32" t="s">
        <v>268</v>
      </c>
      <c r="C178" s="199"/>
      <c r="D178" s="199"/>
      <c r="E178" s="199"/>
      <c r="F178" s="199"/>
      <c r="G178" s="199"/>
      <c r="H178" s="199"/>
      <c r="I178" s="244" t="str">
        <f>TEXT((H177-I177)*10000,"0")&amp;" bp"</f>
        <v>97 bp</v>
      </c>
      <c r="J178" s="244" t="str">
        <f>TEXT((I177-J177)*10000,"0")&amp;" bp"</f>
        <v>-50 bp</v>
      </c>
      <c r="K178" s="244" t="str">
        <f>TEXT((J177-K177)*10000,"0")&amp;" bp"</f>
        <v>-170 bp</v>
      </c>
      <c r="L178" s="166">
        <f t="shared" ref="L178" si="438">L177-K177</f>
        <v>3.7379805702540958E-3</v>
      </c>
      <c r="M178" s="166">
        <f t="shared" ref="M178" si="439">M177-L177</f>
        <v>1.3370395499120447E-3</v>
      </c>
      <c r="N178" s="166">
        <f t="shared" ref="N178" si="440">N177-M177</f>
        <v>1.3661867081961043E-3</v>
      </c>
      <c r="O178" s="166">
        <f t="shared" ref="O178" si="441">O177-N177</f>
        <v>1.395528999737411E-3</v>
      </c>
      <c r="P178" s="166">
        <f t="shared" ref="P178" si="442">P177-O177</f>
        <v>1.4250797931516235E-3</v>
      </c>
      <c r="Q178" s="200"/>
      <c r="R178" s="199"/>
      <c r="S178" s="199"/>
      <c r="T178" s="199"/>
      <c r="U178" s="199"/>
      <c r="V178" s="199"/>
      <c r="W178" s="199"/>
      <c r="X178" s="199"/>
      <c r="Y178" s="199"/>
      <c r="Z178" s="199"/>
      <c r="AA178" s="199"/>
      <c r="AB178" s="199"/>
      <c r="AC178" s="199"/>
      <c r="AD178" s="199"/>
      <c r="AE178" s="199"/>
      <c r="AF178" s="244" t="str">
        <f>TEXT((AD177-AF177)*10000,"0")&amp;" bp"</f>
        <v>30 bp</v>
      </c>
      <c r="AG178" s="244" t="str">
        <f>TEXT((AE177-AG177)*10000,"0")&amp;" bp"</f>
        <v>-134 bp</v>
      </c>
      <c r="AH178" s="244" t="str">
        <f>TEXT((AF177-AH177)*10000,"0")&amp;" bp"</f>
        <v>-150 bp</v>
      </c>
      <c r="AI178" s="244" t="str">
        <f>TEXT((AG177-AI177)*10000,"0")&amp;" bp"</f>
        <v>-193 bp</v>
      </c>
      <c r="AJ178" s="166">
        <f t="shared" ref="AJ178" si="443">AJ177-AH177</f>
        <v>3.704425187466609E-3</v>
      </c>
      <c r="AK178" s="166">
        <f t="shared" ref="AK178" si="444">AK177-AI177</f>
        <v>3.7692822380479551E-3</v>
      </c>
    </row>
    <row r="179" spans="1:40">
      <c r="B179" s="32"/>
      <c r="C179" s="199"/>
      <c r="D179" s="199"/>
      <c r="E179" s="199"/>
      <c r="F179" s="199"/>
      <c r="G179" s="199"/>
      <c r="H179" s="199"/>
      <c r="I179" s="199"/>
      <c r="J179" s="199"/>
      <c r="K179" s="199"/>
      <c r="L179" s="200"/>
      <c r="M179" s="200"/>
      <c r="N179" s="200"/>
      <c r="O179" s="200"/>
      <c r="P179" s="200"/>
      <c r="Q179" s="200"/>
      <c r="R179" s="199"/>
      <c r="S179" s="199"/>
      <c r="T179" s="199"/>
      <c r="U179" s="199"/>
      <c r="V179" s="199"/>
      <c r="W179" s="199"/>
      <c r="X179" s="199"/>
      <c r="Y179" s="199"/>
      <c r="Z179" s="199"/>
      <c r="AA179" s="199"/>
      <c r="AB179" s="199"/>
      <c r="AC179" s="199"/>
      <c r="AD179" s="199"/>
      <c r="AE179" s="199"/>
      <c r="AF179" s="199"/>
      <c r="AG179" s="199"/>
      <c r="AH179" s="199"/>
      <c r="AI179" s="199"/>
      <c r="AJ179" s="200"/>
      <c r="AK179" s="200"/>
    </row>
    <row r="180" spans="1:40">
      <c r="B180" s="4" t="s">
        <v>66</v>
      </c>
      <c r="C180" s="167"/>
      <c r="D180" s="167"/>
      <c r="E180" s="167"/>
      <c r="F180" s="167"/>
      <c r="G180" s="167"/>
      <c r="H180" s="167"/>
      <c r="I180" s="167"/>
      <c r="J180" s="167"/>
      <c r="K180" s="167"/>
      <c r="L180" s="167"/>
      <c r="M180" s="167"/>
      <c r="N180" s="167"/>
      <c r="O180" s="167"/>
      <c r="P180" s="167"/>
      <c r="Q180" s="167"/>
      <c r="R180" s="167"/>
      <c r="S180" s="167"/>
      <c r="T180" s="167"/>
      <c r="U180" s="167"/>
      <c r="V180" s="167"/>
      <c r="W180" s="167"/>
      <c r="X180" s="167"/>
      <c r="Y180" s="167"/>
      <c r="Z180" s="167"/>
      <c r="AA180" s="167"/>
      <c r="AB180" s="167"/>
      <c r="AC180" s="167"/>
      <c r="AD180" s="167"/>
      <c r="AE180" s="167"/>
      <c r="AF180" s="167"/>
      <c r="AG180" s="167"/>
      <c r="AH180" s="167"/>
      <c r="AI180" s="167"/>
      <c r="AJ180" s="167"/>
      <c r="AK180" s="167"/>
    </row>
    <row r="181" spans="1:40">
      <c r="A181" s="6" t="s">
        <v>193</v>
      </c>
      <c r="B181" s="32" t="s">
        <v>193</v>
      </c>
      <c r="C181" s="266">
        <f t="shared" ref="C181:K181" si="445">C117/C183</f>
        <v>1.0665753893547836</v>
      </c>
      <c r="D181" s="266">
        <f t="shared" si="445"/>
        <v>1.0844354018311293</v>
      </c>
      <c r="E181" s="266">
        <f t="shared" si="445"/>
        <v>1.0669209982514705</v>
      </c>
      <c r="F181" s="266">
        <f t="shared" si="445"/>
        <v>1.0540817822072401</v>
      </c>
      <c r="G181" s="266">
        <f t="shared" si="445"/>
        <v>1.0742633794347565</v>
      </c>
      <c r="H181" s="266">
        <f t="shared" si="445"/>
        <v>1.0664128595600677</v>
      </c>
      <c r="I181" s="266">
        <f t="shared" si="445"/>
        <v>1.0928176795580111</v>
      </c>
      <c r="J181" s="266">
        <f t="shared" si="445"/>
        <v>1.0814461660707191</v>
      </c>
      <c r="K181" s="266">
        <f t="shared" si="445"/>
        <v>1.0964668519253673</v>
      </c>
      <c r="L181" s="234">
        <v>1.1299999999999999</v>
      </c>
      <c r="M181" s="234">
        <v>1.1399999999999999</v>
      </c>
      <c r="N181" s="234">
        <f>M181</f>
        <v>1.1399999999999999</v>
      </c>
      <c r="O181" s="234">
        <f t="shared" ref="O181:P181" si="446">N181</f>
        <v>1.1399999999999999</v>
      </c>
      <c r="P181" s="234">
        <f t="shared" si="446"/>
        <v>1.1399999999999999</v>
      </c>
      <c r="Q181" s="200"/>
      <c r="R181" s="266">
        <f t="shared" ref="R181:AI181" si="447">R117/R183</f>
        <v>1.0515168301345759</v>
      </c>
      <c r="S181" s="266">
        <f t="shared" si="447"/>
        <v>1.0832342020835586</v>
      </c>
      <c r="T181" s="266">
        <f t="shared" si="447"/>
        <v>1.0905228758169934</v>
      </c>
      <c r="U181" s="266">
        <f t="shared" si="447"/>
        <v>1.0778717406624383</v>
      </c>
      <c r="V181" s="266">
        <f t="shared" si="447"/>
        <v>1.0820871778555521</v>
      </c>
      <c r="W181" s="266">
        <f t="shared" si="447"/>
        <v>1.0517789072426937</v>
      </c>
      <c r="X181" s="266">
        <f t="shared" si="447"/>
        <v>1.0585090585090584</v>
      </c>
      <c r="Y181" s="266">
        <f t="shared" si="447"/>
        <v>1.0497685185185186</v>
      </c>
      <c r="Z181" s="266">
        <f t="shared" si="447"/>
        <v>1.0727272727272728</v>
      </c>
      <c r="AA181" s="266">
        <f t="shared" si="447"/>
        <v>1.0759334797615312</v>
      </c>
      <c r="AB181" s="266">
        <f t="shared" si="447"/>
        <v>1.0492443981240229</v>
      </c>
      <c r="AC181" s="266">
        <f t="shared" si="447"/>
        <v>1.0866625691456668</v>
      </c>
      <c r="AD181" s="266">
        <f t="shared" si="447"/>
        <v>1.1015392924655685</v>
      </c>
      <c r="AE181" s="266">
        <f t="shared" si="447"/>
        <v>1.0836867401752899</v>
      </c>
      <c r="AF181" s="266">
        <f t="shared" si="447"/>
        <v>1.0813893208916536</v>
      </c>
      <c r="AG181" s="266">
        <f t="shared" si="447"/>
        <v>1.0815055510425129</v>
      </c>
      <c r="AH181" s="266">
        <f t="shared" si="447"/>
        <v>1.1001283697047497</v>
      </c>
      <c r="AI181" s="266">
        <f t="shared" si="447"/>
        <v>1.0925723648279628</v>
      </c>
      <c r="AJ181" s="234">
        <v>1.1200000000000001</v>
      </c>
      <c r="AK181" s="267">
        <f>AK117/AK183</f>
        <v>1.1408985790274255</v>
      </c>
    </row>
    <row r="182" spans="1:40">
      <c r="B182" s="32"/>
      <c r="C182" s="199"/>
      <c r="D182" s="199"/>
      <c r="E182" s="199"/>
      <c r="F182" s="199"/>
      <c r="G182" s="199"/>
      <c r="H182" s="199"/>
      <c r="I182" s="199"/>
      <c r="J182" s="199"/>
      <c r="K182" s="199"/>
      <c r="L182" s="200"/>
      <c r="M182" s="200"/>
      <c r="N182" s="200"/>
      <c r="O182" s="200"/>
      <c r="P182" s="200"/>
      <c r="Q182" s="200"/>
      <c r="R182" s="199"/>
      <c r="S182" s="199"/>
      <c r="T182" s="199"/>
      <c r="U182" s="199"/>
      <c r="V182" s="199"/>
      <c r="W182" s="199"/>
      <c r="X182" s="199"/>
      <c r="Y182" s="199"/>
      <c r="Z182" s="199"/>
      <c r="AA182" s="199"/>
      <c r="AB182" s="199"/>
      <c r="AC182" s="199"/>
      <c r="AD182" s="199"/>
      <c r="AE182" s="199"/>
      <c r="AF182" s="199"/>
      <c r="AG182" s="199"/>
      <c r="AH182" s="199"/>
      <c r="AI182" s="199"/>
      <c r="AJ182" s="166">
        <f>(1/AJ181)/(1/AH181)-1</f>
        <v>-1.7742527049330659E-2</v>
      </c>
      <c r="AK182" s="166">
        <f>(1/AK181)/(1/AI181)-1</f>
        <v>-4.2358028213742793E-2</v>
      </c>
    </row>
    <row r="183" spans="1:40">
      <c r="B183" s="25" t="s">
        <v>0</v>
      </c>
      <c r="C183" s="80">
        <v>5843</v>
      </c>
      <c r="D183" s="40">
        <v>5898</v>
      </c>
      <c r="E183" s="40">
        <v>6291</v>
      </c>
      <c r="F183" s="40">
        <v>6823</v>
      </c>
      <c r="G183" s="40">
        <v>6652</v>
      </c>
      <c r="H183" s="40">
        <v>7092</v>
      </c>
      <c r="I183" s="40">
        <v>7240</v>
      </c>
      <c r="J183" s="40">
        <v>7551</v>
      </c>
      <c r="K183" s="40">
        <v>7557</v>
      </c>
      <c r="L183" s="216">
        <f>L117/L181</f>
        <v>7510.5623893805332</v>
      </c>
      <c r="M183" s="216">
        <f>M117/M181</f>
        <v>7748.9411086956552</v>
      </c>
      <c r="N183" s="216">
        <f>N117/N181</f>
        <v>8064.7312893618546</v>
      </c>
      <c r="O183" s="216">
        <f>O117/O181</f>
        <v>8392.4682417593267</v>
      </c>
      <c r="P183" s="216">
        <f>P117/P181</f>
        <v>8732.5840599779949</v>
      </c>
      <c r="Q183" s="200"/>
      <c r="R183" s="259">
        <v>3068.9</v>
      </c>
      <c r="S183" s="268">
        <f>C183-R183</f>
        <v>2774.1</v>
      </c>
      <c r="T183" s="259">
        <v>3060</v>
      </c>
      <c r="U183" s="268">
        <f>D183-T183</f>
        <v>2838</v>
      </c>
      <c r="V183" s="40">
        <v>3143</v>
      </c>
      <c r="W183" s="268">
        <f>E183-V183</f>
        <v>3148</v>
      </c>
      <c r="X183" s="40">
        <v>3367</v>
      </c>
      <c r="Y183" s="268">
        <f>F183-X183</f>
        <v>3456</v>
      </c>
      <c r="Z183" s="40">
        <v>3465</v>
      </c>
      <c r="AA183" s="268">
        <f>G183-Z183</f>
        <v>3187</v>
      </c>
      <c r="AB183" s="40">
        <v>3838</v>
      </c>
      <c r="AC183" s="39">
        <f>H183-AB183</f>
        <v>3254</v>
      </c>
      <c r="AD183" s="40">
        <v>3703</v>
      </c>
      <c r="AE183" s="39">
        <f>I183-AD183</f>
        <v>3537</v>
      </c>
      <c r="AF183" s="40">
        <v>3858</v>
      </c>
      <c r="AG183" s="39">
        <f>J183-AF183</f>
        <v>3693</v>
      </c>
      <c r="AH183" s="40">
        <v>3895</v>
      </c>
      <c r="AI183" s="39">
        <f>K183-AH183</f>
        <v>3662</v>
      </c>
      <c r="AJ183" s="216">
        <f>AJ117/AJ181</f>
        <v>3916.747527841781</v>
      </c>
      <c r="AK183" s="216">
        <f>L183-AJ183</f>
        <v>3593.8148615387522</v>
      </c>
      <c r="AL183" s="146"/>
      <c r="AM183" s="146"/>
      <c r="AN183" s="146"/>
    </row>
    <row r="184" spans="1:40">
      <c r="B184" s="32" t="s">
        <v>265</v>
      </c>
      <c r="C184" s="279"/>
      <c r="D184" s="279">
        <f t="shared" ref="D184:K184" si="448">D183/C183-1</f>
        <v>9.4129727879515013E-3</v>
      </c>
      <c r="E184" s="279">
        <f t="shared" si="448"/>
        <v>6.6632756866734422E-2</v>
      </c>
      <c r="F184" s="279">
        <f t="shared" si="448"/>
        <v>8.4565251947226194E-2</v>
      </c>
      <c r="G184" s="279">
        <f t="shared" si="448"/>
        <v>-2.5062289315550323E-2</v>
      </c>
      <c r="H184" s="279">
        <f t="shared" si="448"/>
        <v>6.6145520144317516E-2</v>
      </c>
      <c r="I184" s="279">
        <f t="shared" si="448"/>
        <v>2.0868584320360872E-2</v>
      </c>
      <c r="J184" s="279">
        <f t="shared" si="448"/>
        <v>4.2955801104972435E-2</v>
      </c>
      <c r="K184" s="279">
        <f t="shared" si="448"/>
        <v>7.9459674215343057E-4</v>
      </c>
      <c r="L184" s="274">
        <f t="shared" ref="L184:P184" si="449">L183/K183-1</f>
        <v>-6.1449795711878696E-3</v>
      </c>
      <c r="M184" s="274">
        <f t="shared" si="449"/>
        <v>3.1739130434782714E-2</v>
      </c>
      <c r="N184" s="274">
        <f t="shared" si="449"/>
        <v>4.0752688172043028E-2</v>
      </c>
      <c r="O184" s="274">
        <f t="shared" si="449"/>
        <v>4.0638297872340523E-2</v>
      </c>
      <c r="P184" s="274">
        <f t="shared" si="449"/>
        <v>4.0526315789473744E-2</v>
      </c>
      <c r="Q184" s="200"/>
      <c r="R184" s="279"/>
      <c r="S184" s="279"/>
      <c r="T184" s="279">
        <f t="shared" ref="T184:AI184" si="450">T183/R183-1</f>
        <v>-2.9000619114341042E-3</v>
      </c>
      <c r="U184" s="279">
        <f t="shared" si="450"/>
        <v>2.3034497674921717E-2</v>
      </c>
      <c r="V184" s="279">
        <f t="shared" si="450"/>
        <v>2.7124183006535851E-2</v>
      </c>
      <c r="W184" s="279">
        <f t="shared" si="450"/>
        <v>0.10923185341789998</v>
      </c>
      <c r="X184" s="279">
        <f t="shared" si="450"/>
        <v>7.1269487750556859E-2</v>
      </c>
      <c r="Y184" s="279">
        <f t="shared" si="450"/>
        <v>9.783989834815765E-2</v>
      </c>
      <c r="Z184" s="279">
        <f t="shared" si="450"/>
        <v>2.9106029106028997E-2</v>
      </c>
      <c r="AA184" s="279">
        <f t="shared" si="450"/>
        <v>-7.783564814814814E-2</v>
      </c>
      <c r="AB184" s="279">
        <f t="shared" si="450"/>
        <v>0.10764790764790755</v>
      </c>
      <c r="AC184" s="279">
        <f t="shared" si="450"/>
        <v>2.1022905553812254E-2</v>
      </c>
      <c r="AD184" s="279">
        <f t="shared" si="450"/>
        <v>-3.517457008858782E-2</v>
      </c>
      <c r="AE184" s="279">
        <f t="shared" si="450"/>
        <v>8.6969883220651578E-2</v>
      </c>
      <c r="AF184" s="279">
        <f t="shared" si="450"/>
        <v>4.1857953011072091E-2</v>
      </c>
      <c r="AG184" s="279">
        <f t="shared" si="450"/>
        <v>4.4105173876166193E-2</v>
      </c>
      <c r="AH184" s="279">
        <f t="shared" si="450"/>
        <v>9.5904613789528081E-3</v>
      </c>
      <c r="AI184" s="279">
        <f t="shared" si="450"/>
        <v>-8.3942594096939604E-3</v>
      </c>
      <c r="AJ184" s="274">
        <f t="shared" ref="AJ184:AK184" si="451">AJ183/AH183-1</f>
        <v>5.5834474561697878E-3</v>
      </c>
      <c r="AK184" s="274">
        <f t="shared" si="451"/>
        <v>-1.8619644582536288E-2</v>
      </c>
    </row>
    <row r="185" spans="1:40">
      <c r="B185" s="32"/>
      <c r="C185" s="199"/>
      <c r="D185" s="199"/>
      <c r="E185" s="199"/>
      <c r="F185" s="199"/>
      <c r="G185" s="199"/>
      <c r="H185" s="199"/>
      <c r="I185" s="199"/>
      <c r="J185" s="199"/>
      <c r="K185" s="199"/>
      <c r="L185" s="200"/>
      <c r="M185" s="200"/>
      <c r="N185" s="200"/>
      <c r="O185" s="200"/>
      <c r="P185" s="200"/>
      <c r="Q185" s="200"/>
      <c r="R185" s="199"/>
      <c r="S185" s="199"/>
      <c r="T185" s="199"/>
      <c r="U185" s="199"/>
      <c r="V185" s="199"/>
      <c r="W185" s="199"/>
      <c r="X185" s="199"/>
      <c r="Y185" s="199"/>
      <c r="Z185" s="199"/>
      <c r="AA185" s="199"/>
      <c r="AB185" s="199"/>
      <c r="AC185" s="199"/>
      <c r="AD185" s="199"/>
      <c r="AE185" s="199"/>
      <c r="AF185" s="199"/>
      <c r="AG185" s="199"/>
      <c r="AH185" s="199"/>
      <c r="AI185" s="199"/>
      <c r="AJ185" s="200"/>
      <c r="AK185" s="200"/>
    </row>
    <row r="186" spans="1:40">
      <c r="B186" s="25" t="s">
        <v>44</v>
      </c>
      <c r="C186" s="237">
        <f t="shared" ref="C186:P186" si="452">C133/C181</f>
        <v>0</v>
      </c>
      <c r="D186" s="237">
        <f t="shared" si="452"/>
        <v>0</v>
      </c>
      <c r="E186" s="237">
        <f t="shared" si="452"/>
        <v>0</v>
      </c>
      <c r="F186" s="237">
        <f t="shared" si="452"/>
        <v>0</v>
      </c>
      <c r="G186" s="237">
        <f t="shared" si="452"/>
        <v>589.2409739714526</v>
      </c>
      <c r="H186" s="237">
        <f t="shared" si="452"/>
        <v>572.94882982943273</v>
      </c>
      <c r="I186" s="237">
        <f t="shared" si="452"/>
        <v>523.41759352881695</v>
      </c>
      <c r="J186" s="237">
        <f t="shared" si="452"/>
        <v>415.18479059515062</v>
      </c>
      <c r="K186" s="237">
        <f t="shared" si="452"/>
        <v>469.69044170890658</v>
      </c>
      <c r="L186" s="216">
        <f t="shared" si="452"/>
        <v>496.88110221238946</v>
      </c>
      <c r="M186" s="216">
        <f t="shared" si="452"/>
        <v>531.21906655263172</v>
      </c>
      <c r="N186" s="216">
        <f t="shared" si="452"/>
        <v>572.26137433930967</v>
      </c>
      <c r="O186" s="216">
        <f t="shared" si="452"/>
        <v>640.9492939633061</v>
      </c>
      <c r="P186" s="216">
        <f t="shared" si="452"/>
        <v>714.27445114528257</v>
      </c>
      <c r="Q186" s="200"/>
      <c r="R186" s="199"/>
      <c r="S186" s="199"/>
      <c r="T186" s="237">
        <f t="shared" ref="T186:AJ186" si="453">T133/T181</f>
        <v>0</v>
      </c>
      <c r="U186" s="237">
        <f t="shared" si="453"/>
        <v>0</v>
      </c>
      <c r="V186" s="237">
        <f t="shared" si="453"/>
        <v>0</v>
      </c>
      <c r="W186" s="237">
        <f t="shared" si="453"/>
        <v>0</v>
      </c>
      <c r="X186" s="237">
        <f t="shared" si="453"/>
        <v>0</v>
      </c>
      <c r="Y186" s="237">
        <f t="shared" si="453"/>
        <v>0</v>
      </c>
      <c r="Z186" s="237">
        <f t="shared" si="453"/>
        <v>0</v>
      </c>
      <c r="AA186" s="237">
        <f t="shared" si="453"/>
        <v>0</v>
      </c>
      <c r="AB186" s="237">
        <f t="shared" si="453"/>
        <v>336.43258008443007</v>
      </c>
      <c r="AC186" s="237">
        <f t="shared" si="453"/>
        <v>237.42420814479638</v>
      </c>
      <c r="AD186" s="237">
        <f t="shared" si="453"/>
        <v>259.636675655798</v>
      </c>
      <c r="AE186" s="237">
        <f t="shared" si="453"/>
        <v>263.91390555700491</v>
      </c>
      <c r="AF186" s="237">
        <f t="shared" si="453"/>
        <v>223.78619367209973</v>
      </c>
      <c r="AG186" s="237">
        <f t="shared" si="453"/>
        <v>191.39984977466199</v>
      </c>
      <c r="AH186" s="237">
        <f t="shared" si="453"/>
        <v>244.51691948658109</v>
      </c>
      <c r="AI186" s="237">
        <f t="shared" si="453"/>
        <v>225.15671082229443</v>
      </c>
      <c r="AJ186" s="216">
        <f t="shared" si="453"/>
        <v>261.48094561251912</v>
      </c>
      <c r="AK186" s="216">
        <f>L186-AJ186</f>
        <v>235.40015659987034</v>
      </c>
      <c r="AL186" s="146"/>
      <c r="AM186" s="146"/>
      <c r="AN186" s="146"/>
    </row>
    <row r="187" spans="1:40">
      <c r="B187" s="32"/>
      <c r="C187" s="199"/>
      <c r="D187" s="199"/>
      <c r="E187" s="199"/>
      <c r="F187" s="199"/>
      <c r="G187" s="199"/>
      <c r="H187" s="199"/>
      <c r="I187" s="199"/>
      <c r="J187" s="199"/>
      <c r="K187" s="199"/>
      <c r="L187" s="200"/>
      <c r="M187" s="200"/>
      <c r="N187" s="200"/>
      <c r="O187" s="200"/>
      <c r="P187" s="200"/>
      <c r="Q187" s="200"/>
      <c r="R187" s="199"/>
      <c r="S187" s="199"/>
      <c r="T187" s="199"/>
      <c r="U187" s="199"/>
      <c r="V187" s="199"/>
      <c r="W187" s="199"/>
      <c r="X187" s="199"/>
      <c r="Y187" s="199"/>
      <c r="Z187" s="199"/>
      <c r="AA187" s="199"/>
      <c r="AB187" s="199"/>
      <c r="AC187" s="199"/>
      <c r="AD187" s="199"/>
      <c r="AE187" s="199"/>
      <c r="AF187" s="199"/>
      <c r="AG187" s="199"/>
      <c r="AH187" s="199"/>
      <c r="AI187" s="199"/>
      <c r="AJ187" s="200"/>
      <c r="AK187" s="200"/>
    </row>
    <row r="188" spans="1:40">
      <c r="B188" s="25" t="s">
        <v>45</v>
      </c>
      <c r="C188" s="237">
        <f t="shared" ref="C188:K188" si="454">C138/C181</f>
        <v>0</v>
      </c>
      <c r="D188" s="237">
        <f t="shared" si="454"/>
        <v>0</v>
      </c>
      <c r="E188" s="237">
        <f t="shared" si="454"/>
        <v>0</v>
      </c>
      <c r="F188" s="237">
        <f t="shared" si="454"/>
        <v>0</v>
      </c>
      <c r="G188" s="237">
        <f t="shared" si="454"/>
        <v>-253.19675342849146</v>
      </c>
      <c r="H188" s="237">
        <f t="shared" si="454"/>
        <v>-276.628322094407</v>
      </c>
      <c r="I188" s="237">
        <f t="shared" si="454"/>
        <v>-295.56622851365012</v>
      </c>
      <c r="J188" s="237">
        <f t="shared" si="454"/>
        <v>-315.31851579720797</v>
      </c>
      <c r="K188" s="237">
        <f t="shared" si="454"/>
        <v>-332.88740043446774</v>
      </c>
      <c r="L188" s="216">
        <f>L190-L186</f>
        <v>-339.15929203539827</v>
      </c>
      <c r="M188" s="216">
        <f t="shared" ref="M188:P188" si="455">M190-M186</f>
        <v>-352.99342105263167</v>
      </c>
      <c r="N188" s="216">
        <f t="shared" si="455"/>
        <v>-370.64309210526329</v>
      </c>
      <c r="O188" s="216">
        <f t="shared" si="455"/>
        <v>-389.17524671052632</v>
      </c>
      <c r="P188" s="216">
        <f t="shared" si="455"/>
        <v>-408.63400904605277</v>
      </c>
      <c r="Q188" s="200"/>
      <c r="R188" s="228"/>
      <c r="S188" s="228"/>
      <c r="T188" s="237">
        <f t="shared" ref="T188:AI188" si="456">T138/T181</f>
        <v>0</v>
      </c>
      <c r="U188" s="237">
        <f t="shared" si="456"/>
        <v>0</v>
      </c>
      <c r="V188" s="237">
        <f t="shared" si="456"/>
        <v>0</v>
      </c>
      <c r="W188" s="237">
        <f t="shared" si="456"/>
        <v>0</v>
      </c>
      <c r="X188" s="237">
        <f t="shared" si="456"/>
        <v>0</v>
      </c>
      <c r="Y188" s="237">
        <f t="shared" si="456"/>
        <v>0</v>
      </c>
      <c r="Z188" s="237">
        <f t="shared" si="456"/>
        <v>0</v>
      </c>
      <c r="AA188" s="237">
        <f t="shared" si="456"/>
        <v>0</v>
      </c>
      <c r="AB188" s="237">
        <f t="shared" si="456"/>
        <v>-145.81922026322323</v>
      </c>
      <c r="AC188" s="237">
        <f t="shared" si="456"/>
        <v>-130.67533936651583</v>
      </c>
      <c r="AD188" s="237">
        <f t="shared" si="456"/>
        <v>-148.88256925717087</v>
      </c>
      <c r="AE188" s="237">
        <f t="shared" si="456"/>
        <v>-146.72136707539784</v>
      </c>
      <c r="AF188" s="237">
        <f t="shared" si="456"/>
        <v>-158.12991371045064</v>
      </c>
      <c r="AG188" s="237">
        <f t="shared" si="456"/>
        <v>-157.18828242363546</v>
      </c>
      <c r="AH188" s="237">
        <f t="shared" si="456"/>
        <v>-169.98016336056008</v>
      </c>
      <c r="AI188" s="237">
        <f t="shared" si="456"/>
        <v>-162.91827043239192</v>
      </c>
      <c r="AJ188" s="216">
        <f>AJ190-AJ186</f>
        <v>-175.31249999999994</v>
      </c>
      <c r="AK188" s="216">
        <f>L188-AJ188</f>
        <v>-163.84679203539832</v>
      </c>
      <c r="AL188" s="146"/>
      <c r="AM188" s="146"/>
      <c r="AN188" s="146"/>
    </row>
    <row r="189" spans="1:40">
      <c r="B189" s="32"/>
      <c r="C189" s="199"/>
      <c r="D189" s="199"/>
      <c r="E189" s="199"/>
      <c r="F189" s="199"/>
      <c r="G189" s="199"/>
      <c r="H189" s="199"/>
      <c r="I189" s="199"/>
      <c r="J189" s="199"/>
      <c r="K189" s="199"/>
      <c r="L189" s="200"/>
      <c r="M189" s="200"/>
      <c r="N189" s="200"/>
      <c r="O189" s="200"/>
      <c r="P189" s="200"/>
      <c r="Q189" s="200"/>
      <c r="R189" s="199"/>
      <c r="S189" s="199"/>
      <c r="T189" s="199"/>
      <c r="U189" s="199"/>
      <c r="V189" s="199"/>
      <c r="W189" s="199"/>
      <c r="X189" s="199"/>
      <c r="Y189" s="199"/>
      <c r="Z189" s="199"/>
      <c r="AA189" s="199"/>
      <c r="AB189" s="199"/>
      <c r="AC189" s="199"/>
      <c r="AD189" s="199"/>
      <c r="AE189" s="199"/>
      <c r="AF189" s="199"/>
      <c r="AG189" s="199"/>
      <c r="AH189" s="199"/>
      <c r="AI189" s="199"/>
      <c r="AJ189" s="200"/>
      <c r="AK189" s="200"/>
    </row>
    <row r="190" spans="1:40">
      <c r="B190" s="25" t="s">
        <v>39</v>
      </c>
      <c r="C190" s="269">
        <v>292</v>
      </c>
      <c r="D190" s="269">
        <v>262</v>
      </c>
      <c r="E190" s="269">
        <v>277</v>
      </c>
      <c r="F190" s="269">
        <v>358</v>
      </c>
      <c r="G190" s="269">
        <v>336</v>
      </c>
      <c r="H190" s="269">
        <v>296</v>
      </c>
      <c r="I190" s="269">
        <v>228</v>
      </c>
      <c r="J190" s="269">
        <v>100</v>
      </c>
      <c r="K190" s="269">
        <v>138</v>
      </c>
      <c r="L190" s="216">
        <f>L143/L181</f>
        <v>157.7218101769912</v>
      </c>
      <c r="M190" s="216">
        <f>M143/M181</f>
        <v>178.22564550000007</v>
      </c>
      <c r="N190" s="216">
        <f>N143/N181</f>
        <v>201.61828223404638</v>
      </c>
      <c r="O190" s="216">
        <f>O143/O181</f>
        <v>251.77404725277978</v>
      </c>
      <c r="P190" s="216">
        <f>P143/P181</f>
        <v>305.6404420992298</v>
      </c>
      <c r="Q190" s="200"/>
      <c r="R190" s="269">
        <v>154.9</v>
      </c>
      <c r="S190" s="59">
        <f>C190-R190</f>
        <v>137.1</v>
      </c>
      <c r="T190" s="269">
        <v>139</v>
      </c>
      <c r="U190" s="59">
        <f>D190-T190</f>
        <v>123</v>
      </c>
      <c r="V190" s="269">
        <v>137</v>
      </c>
      <c r="W190" s="59">
        <f>E190-V190</f>
        <v>140</v>
      </c>
      <c r="X190" s="269">
        <v>175</v>
      </c>
      <c r="Y190" s="59">
        <f>F190-X190</f>
        <v>183</v>
      </c>
      <c r="Z190" s="269">
        <v>181</v>
      </c>
      <c r="AA190" s="59">
        <f>G190-Z190</f>
        <v>155</v>
      </c>
      <c r="AB190" s="269">
        <v>191</v>
      </c>
      <c r="AC190" s="59">
        <f>H190-AB190</f>
        <v>105</v>
      </c>
      <c r="AD190" s="269">
        <v>111</v>
      </c>
      <c r="AE190" s="59">
        <f>I190-AD190</f>
        <v>117</v>
      </c>
      <c r="AF190" s="269">
        <v>65</v>
      </c>
      <c r="AG190" s="59">
        <f>J190-AF190</f>
        <v>35</v>
      </c>
      <c r="AH190" s="269">
        <v>73</v>
      </c>
      <c r="AI190" s="59">
        <f>K190-AH190</f>
        <v>65</v>
      </c>
      <c r="AJ190" s="216">
        <f>AJ143/AJ181</f>
        <v>86.168445612519179</v>
      </c>
      <c r="AK190" s="216">
        <f>L190-AJ190</f>
        <v>71.55336456447202</v>
      </c>
      <c r="AL190" s="146"/>
      <c r="AM190" s="146"/>
      <c r="AN190" s="146"/>
    </row>
    <row r="191" spans="1:40">
      <c r="B191" s="32" t="s">
        <v>265</v>
      </c>
      <c r="C191" s="199"/>
      <c r="D191" s="279">
        <f t="shared" ref="D191:K191" si="457">D190/C190-1</f>
        <v>-0.10273972602739723</v>
      </c>
      <c r="E191" s="279">
        <f t="shared" si="457"/>
        <v>5.7251908396946494E-2</v>
      </c>
      <c r="F191" s="279">
        <f t="shared" si="457"/>
        <v>0.29241877256317683</v>
      </c>
      <c r="G191" s="279">
        <f t="shared" si="457"/>
        <v>-6.1452513966480438E-2</v>
      </c>
      <c r="H191" s="279">
        <f t="shared" si="457"/>
        <v>-0.11904761904761907</v>
      </c>
      <c r="I191" s="279">
        <f t="shared" si="457"/>
        <v>-0.22972972972972971</v>
      </c>
      <c r="J191" s="279">
        <f t="shared" si="457"/>
        <v>-0.56140350877192979</v>
      </c>
      <c r="K191" s="279">
        <f t="shared" si="457"/>
        <v>0.37999999999999989</v>
      </c>
      <c r="L191" s="274">
        <f t="shared" ref="L191:P191" si="458">L190/K190-1</f>
        <v>0.14291166794921151</v>
      </c>
      <c r="M191" s="274">
        <f t="shared" si="458"/>
        <v>0.13000000000000012</v>
      </c>
      <c r="N191" s="274">
        <f t="shared" si="458"/>
        <v>0.1312529219261338</v>
      </c>
      <c r="O191" s="274">
        <f t="shared" si="458"/>
        <v>0.24876595744680841</v>
      </c>
      <c r="P191" s="274">
        <f t="shared" si="458"/>
        <v>0.21394736842105266</v>
      </c>
      <c r="Q191" s="200"/>
      <c r="R191" s="199"/>
      <c r="S191" s="199"/>
      <c r="T191" s="279">
        <f t="shared" ref="T191:AI191" si="459">T190/R190-1</f>
        <v>-0.10264686894770825</v>
      </c>
      <c r="U191" s="279">
        <f t="shared" si="459"/>
        <v>-0.10284463894967177</v>
      </c>
      <c r="V191" s="279">
        <f t="shared" si="459"/>
        <v>-1.4388489208633115E-2</v>
      </c>
      <c r="W191" s="279">
        <f t="shared" si="459"/>
        <v>0.13821138211382111</v>
      </c>
      <c r="X191" s="279">
        <f t="shared" si="459"/>
        <v>0.27737226277372273</v>
      </c>
      <c r="Y191" s="279">
        <f t="shared" si="459"/>
        <v>0.30714285714285716</v>
      </c>
      <c r="Z191" s="279">
        <f t="shared" si="459"/>
        <v>3.4285714285714253E-2</v>
      </c>
      <c r="AA191" s="279">
        <f t="shared" si="459"/>
        <v>-0.15300546448087426</v>
      </c>
      <c r="AB191" s="279">
        <f t="shared" si="459"/>
        <v>5.5248618784530468E-2</v>
      </c>
      <c r="AC191" s="279">
        <f t="shared" si="459"/>
        <v>-0.32258064516129037</v>
      </c>
      <c r="AD191" s="279">
        <f t="shared" si="459"/>
        <v>-0.41884816753926701</v>
      </c>
      <c r="AE191" s="279">
        <f t="shared" si="459"/>
        <v>0.11428571428571432</v>
      </c>
      <c r="AF191" s="279">
        <f t="shared" si="459"/>
        <v>-0.4144144144144144</v>
      </c>
      <c r="AG191" s="279">
        <f t="shared" si="459"/>
        <v>-0.70085470085470081</v>
      </c>
      <c r="AH191" s="279">
        <f t="shared" si="459"/>
        <v>0.12307692307692308</v>
      </c>
      <c r="AI191" s="279">
        <f t="shared" si="459"/>
        <v>0.85714285714285721</v>
      </c>
      <c r="AJ191" s="274">
        <f t="shared" ref="AJ191:AK191" si="460">AJ190/AH190-1</f>
        <v>0.18038966592492023</v>
      </c>
      <c r="AK191" s="274">
        <f t="shared" si="460"/>
        <v>0.10082099329956962</v>
      </c>
    </row>
    <row r="192" spans="1:40">
      <c r="B192" s="32"/>
      <c r="C192" s="266">
        <f>C143/C190</f>
        <v>1.0582191780821917</v>
      </c>
      <c r="D192" s="266">
        <f t="shared" ref="D192:K192" si="461">D143/D190</f>
        <v>1.083969465648855</v>
      </c>
      <c r="E192" s="266">
        <f t="shared" si="461"/>
        <v>1.0685920577617329</v>
      </c>
      <c r="F192" s="266">
        <f t="shared" si="461"/>
        <v>1.0558659217877095</v>
      </c>
      <c r="G192" s="266">
        <f t="shared" si="461"/>
        <v>1.0744047619047619</v>
      </c>
      <c r="H192" s="266">
        <f t="shared" si="461"/>
        <v>1.0675675675675675</v>
      </c>
      <c r="I192" s="266">
        <f t="shared" si="461"/>
        <v>1.0921052631578947</v>
      </c>
      <c r="J192" s="266">
        <f t="shared" si="461"/>
        <v>1.08</v>
      </c>
      <c r="K192" s="266">
        <f t="shared" si="461"/>
        <v>1.0869565217391304</v>
      </c>
      <c r="L192" s="200"/>
      <c r="M192" s="200"/>
      <c r="N192" s="200"/>
      <c r="O192" s="200"/>
      <c r="P192" s="200"/>
      <c r="Q192" s="200"/>
      <c r="R192" s="199"/>
      <c r="S192" s="199"/>
      <c r="T192" s="199"/>
      <c r="U192" s="199"/>
      <c r="V192" s="199"/>
      <c r="W192" s="199"/>
      <c r="X192" s="199"/>
      <c r="Y192" s="199"/>
      <c r="Z192" s="199"/>
      <c r="AA192" s="199"/>
      <c r="AB192" s="199"/>
      <c r="AC192" s="199"/>
      <c r="AD192" s="199"/>
      <c r="AE192" s="199"/>
      <c r="AF192" s="199"/>
      <c r="AG192" s="199"/>
      <c r="AH192" s="199"/>
      <c r="AI192" s="199"/>
      <c r="AJ192" s="200"/>
      <c r="AK192" s="200"/>
    </row>
    <row r="193" spans="1:37">
      <c r="B193" s="3" t="s">
        <v>41</v>
      </c>
      <c r="C193" s="167"/>
      <c r="D193" s="167"/>
      <c r="E193" s="167"/>
      <c r="F193" s="167"/>
      <c r="G193" s="167"/>
      <c r="H193" s="167"/>
      <c r="I193" s="167"/>
      <c r="J193" s="167"/>
      <c r="K193" s="167"/>
      <c r="L193" s="167"/>
      <c r="M193" s="167"/>
      <c r="N193" s="167"/>
      <c r="O193" s="167"/>
      <c r="P193" s="167"/>
      <c r="Q193" s="167"/>
      <c r="R193" s="167"/>
      <c r="S193" s="167"/>
      <c r="T193" s="167"/>
      <c r="U193" s="167"/>
      <c r="V193" s="167"/>
      <c r="W193" s="167"/>
      <c r="X193" s="167"/>
      <c r="Y193" s="167"/>
      <c r="Z193" s="167"/>
      <c r="AA193" s="167"/>
      <c r="AB193" s="167"/>
      <c r="AC193" s="167"/>
      <c r="AD193" s="167"/>
      <c r="AE193" s="167"/>
      <c r="AF193" s="167"/>
      <c r="AG193" s="167"/>
      <c r="AH193" s="167"/>
      <c r="AI193" s="167"/>
      <c r="AJ193" s="167"/>
      <c r="AK193" s="167"/>
    </row>
    <row r="194" spans="1:37">
      <c r="B194" s="61" t="s">
        <v>0</v>
      </c>
      <c r="C194" s="201"/>
      <c r="D194" s="201"/>
      <c r="E194" s="201"/>
      <c r="F194" s="201"/>
      <c r="G194" s="201"/>
      <c r="H194" s="201"/>
      <c r="I194" s="201"/>
      <c r="J194" s="39">
        <f>SUM(J197:J199)</f>
        <v>5220</v>
      </c>
      <c r="K194" s="40">
        <f>1346+1715+1210+1326</f>
        <v>5597</v>
      </c>
      <c r="L194" s="155">
        <f t="shared" ref="L194:P194" si="462">SUM(L197:L199)</f>
        <v>5630.8057872340414</v>
      </c>
      <c r="M194" s="155">
        <f t="shared" si="462"/>
        <v>5785.0024902127652</v>
      </c>
      <c r="N194" s="155">
        <f t="shared" si="462"/>
        <v>5957.6171005951019</v>
      </c>
      <c r="O194" s="155">
        <f t="shared" si="462"/>
        <v>6134.7613145103132</v>
      </c>
      <c r="P194" s="155">
        <f t="shared" si="462"/>
        <v>6316.5492753569079</v>
      </c>
      <c r="Q194" s="200"/>
      <c r="R194" s="201"/>
      <c r="S194" s="201"/>
      <c r="T194" s="201"/>
      <c r="U194" s="201"/>
      <c r="V194" s="201"/>
      <c r="W194" s="201"/>
      <c r="X194" s="201"/>
      <c r="Y194" s="201"/>
      <c r="Z194" s="201"/>
      <c r="AA194" s="201"/>
      <c r="AB194" s="201"/>
      <c r="AC194" s="201"/>
      <c r="AD194" s="201"/>
      <c r="AE194" s="201"/>
      <c r="AF194" s="39">
        <f>SUM(AF197:AF199)</f>
        <v>2656</v>
      </c>
      <c r="AG194" s="39">
        <f t="shared" ref="AG194:AK194" si="463">SUM(AG197:AG199)</f>
        <v>2564</v>
      </c>
      <c r="AH194" s="40">
        <f>1346+1715</f>
        <v>3061</v>
      </c>
      <c r="AI194" s="258">
        <f>K194-AH194</f>
        <v>2536</v>
      </c>
      <c r="AJ194" s="155">
        <f t="shared" si="463"/>
        <v>3088.3720000000003</v>
      </c>
      <c r="AK194" s="155">
        <f t="shared" si="463"/>
        <v>2542.433787234042</v>
      </c>
    </row>
    <row r="195" spans="1:37">
      <c r="A195" s="6" t="s">
        <v>367</v>
      </c>
      <c r="B195" s="62" t="s">
        <v>265</v>
      </c>
      <c r="C195" s="201"/>
      <c r="D195" s="201"/>
      <c r="E195" s="201"/>
      <c r="F195" s="201"/>
      <c r="G195" s="201"/>
      <c r="H195" s="201"/>
      <c r="I195" s="201"/>
      <c r="J195" s="40"/>
      <c r="K195" s="279">
        <f>K194/J194-1</f>
        <v>7.2222222222222188E-2</v>
      </c>
      <c r="L195" s="274">
        <f t="shared" ref="L195:P195" si="464">L194/K194-1</f>
        <v>6.0399834257711671E-3</v>
      </c>
      <c r="M195" s="274">
        <f t="shared" si="464"/>
        <v>2.7384482577664571E-2</v>
      </c>
      <c r="N195" s="274">
        <f t="shared" si="464"/>
        <v>2.983829491419776E-2</v>
      </c>
      <c r="O195" s="274">
        <f t="shared" si="464"/>
        <v>2.9734071680691976E-2</v>
      </c>
      <c r="P195" s="274">
        <f t="shared" si="464"/>
        <v>2.9632442327726549E-2</v>
      </c>
      <c r="Q195" s="200"/>
      <c r="R195" s="201"/>
      <c r="S195" s="201"/>
      <c r="T195" s="201"/>
      <c r="U195" s="201"/>
      <c r="V195" s="201"/>
      <c r="W195" s="201"/>
      <c r="X195" s="201"/>
      <c r="Y195" s="201"/>
      <c r="Z195" s="201"/>
      <c r="AA195" s="201"/>
      <c r="AB195" s="201"/>
      <c r="AC195" s="201"/>
      <c r="AD195" s="201"/>
      <c r="AE195" s="201"/>
      <c r="AF195" s="201"/>
      <c r="AG195" s="201"/>
      <c r="AH195" s="40"/>
      <c r="AI195" s="244"/>
      <c r="AJ195" s="274">
        <f t="shared" ref="AJ195" si="465">AJ194/AH194-1</f>
        <v>8.9421757595558038E-3</v>
      </c>
      <c r="AK195" s="274">
        <f t="shared" ref="AK195" si="466">AK194/AI194-1</f>
        <v>2.5369823478083031E-3</v>
      </c>
    </row>
    <row r="196" spans="1:37">
      <c r="B196" s="62"/>
      <c r="C196" s="201"/>
      <c r="D196" s="201"/>
      <c r="E196" s="201"/>
      <c r="F196" s="201"/>
      <c r="G196" s="201"/>
      <c r="H196" s="201"/>
      <c r="I196" s="201"/>
      <c r="J196" s="40"/>
      <c r="K196" s="279"/>
      <c r="L196" s="200"/>
      <c r="M196" s="200"/>
      <c r="N196" s="200"/>
      <c r="O196" s="200"/>
      <c r="P196" s="200"/>
      <c r="Q196" s="200"/>
      <c r="R196" s="201"/>
      <c r="S196" s="201"/>
      <c r="T196" s="201"/>
      <c r="U196" s="201"/>
      <c r="V196" s="201"/>
      <c r="W196" s="201"/>
      <c r="X196" s="201"/>
      <c r="Y196" s="201"/>
      <c r="Z196" s="201"/>
      <c r="AA196" s="201"/>
      <c r="AB196" s="201"/>
      <c r="AC196" s="201"/>
      <c r="AD196" s="201"/>
      <c r="AE196" s="201"/>
      <c r="AF196" s="201"/>
      <c r="AG196" s="201"/>
      <c r="AH196" s="40"/>
      <c r="AI196" s="244"/>
      <c r="AJ196" s="200"/>
      <c r="AK196" s="200"/>
    </row>
    <row r="197" spans="1:37">
      <c r="B197" s="62" t="s">
        <v>68</v>
      </c>
      <c r="C197" s="201">
        <f t="shared" ref="C197:K197" si="467">C207</f>
        <v>3542</v>
      </c>
      <c r="D197" s="201">
        <f t="shared" si="467"/>
        <v>3566</v>
      </c>
      <c r="E197" s="201">
        <f t="shared" si="467"/>
        <v>3797</v>
      </c>
      <c r="F197" s="201">
        <f t="shared" si="467"/>
        <v>4106</v>
      </c>
      <c r="G197" s="201">
        <f t="shared" si="467"/>
        <v>4583</v>
      </c>
      <c r="H197" s="201">
        <f t="shared" si="467"/>
        <v>4431</v>
      </c>
      <c r="I197" s="201">
        <f t="shared" si="467"/>
        <v>4785</v>
      </c>
      <c r="J197" s="201">
        <f t="shared" si="467"/>
        <v>4680</v>
      </c>
      <c r="K197" s="201">
        <f t="shared" si="467"/>
        <v>4644</v>
      </c>
      <c r="L197" s="204">
        <f t="shared" ref="L197:P197" si="468">L207</f>
        <v>4685.7959999999994</v>
      </c>
      <c r="M197" s="204">
        <f t="shared" si="468"/>
        <v>4779.511919999999</v>
      </c>
      <c r="N197" s="204">
        <f t="shared" si="468"/>
        <v>4875.1021583999991</v>
      </c>
      <c r="O197" s="204">
        <f t="shared" si="468"/>
        <v>4972.6042015679996</v>
      </c>
      <c r="P197" s="204">
        <f t="shared" si="468"/>
        <v>5072.0562855993594</v>
      </c>
      <c r="Q197" s="200"/>
      <c r="R197" s="201">
        <f>R207</f>
        <v>2050.3000000000002</v>
      </c>
      <c r="S197" s="201">
        <f t="shared" ref="S197:AI197" si="469">S207</f>
        <v>1547.6999999999998</v>
      </c>
      <c r="T197" s="201">
        <f t="shared" si="469"/>
        <v>2037</v>
      </c>
      <c r="U197" s="201">
        <f t="shared" si="469"/>
        <v>1529</v>
      </c>
      <c r="V197" s="201">
        <f t="shared" si="469"/>
        <v>2091</v>
      </c>
      <c r="W197" s="201">
        <f t="shared" si="469"/>
        <v>1706</v>
      </c>
      <c r="X197" s="201">
        <f t="shared" si="469"/>
        <v>2149</v>
      </c>
      <c r="Y197" s="201">
        <f t="shared" si="469"/>
        <v>1957</v>
      </c>
      <c r="Z197" s="201">
        <f t="shared" si="469"/>
        <v>2581</v>
      </c>
      <c r="AA197" s="201">
        <f t="shared" si="469"/>
        <v>2002</v>
      </c>
      <c r="AB197" s="201">
        <f t="shared" si="469"/>
        <v>2348</v>
      </c>
      <c r="AC197" s="201">
        <f t="shared" si="469"/>
        <v>2083</v>
      </c>
      <c r="AD197" s="201">
        <f t="shared" si="469"/>
        <v>2708</v>
      </c>
      <c r="AE197" s="201">
        <f t="shared" si="469"/>
        <v>2077</v>
      </c>
      <c r="AF197" s="201">
        <f t="shared" ref="AF197:AG197" si="470">AF207</f>
        <v>2595</v>
      </c>
      <c r="AG197" s="201">
        <f t="shared" si="470"/>
        <v>2085</v>
      </c>
      <c r="AH197" s="201">
        <f t="shared" si="469"/>
        <v>2584</v>
      </c>
      <c r="AI197" s="201">
        <f t="shared" si="469"/>
        <v>2060</v>
      </c>
      <c r="AJ197" s="204">
        <f t="shared" ref="AJ197:AK197" si="471">AJ207</f>
        <v>2604.672</v>
      </c>
      <c r="AK197" s="204">
        <f t="shared" si="471"/>
        <v>2081.1239999999993</v>
      </c>
    </row>
    <row r="198" spans="1:37">
      <c r="B198" s="62" t="s">
        <v>69</v>
      </c>
      <c r="C198" s="201"/>
      <c r="D198" s="201"/>
      <c r="E198" s="201"/>
      <c r="F198" s="201"/>
      <c r="G198" s="201"/>
      <c r="H198" s="201">
        <f>H273</f>
        <v>0</v>
      </c>
      <c r="I198" s="201">
        <f>I273</f>
        <v>0</v>
      </c>
      <c r="J198" s="201">
        <f>J273</f>
        <v>426</v>
      </c>
      <c r="K198" s="201">
        <f>K273</f>
        <v>859</v>
      </c>
      <c r="L198" s="204">
        <f t="shared" ref="L198:P198" si="472">L273</f>
        <v>931.00978723404251</v>
      </c>
      <c r="M198" s="204">
        <f t="shared" si="472"/>
        <v>1005.490570212766</v>
      </c>
      <c r="N198" s="204">
        <f t="shared" si="472"/>
        <v>1082.5149421951023</v>
      </c>
      <c r="O198" s="204">
        <f t="shared" si="472"/>
        <v>1162.1571129423135</v>
      </c>
      <c r="P198" s="204">
        <f t="shared" si="472"/>
        <v>1244.4929897575487</v>
      </c>
      <c r="Q198" s="200"/>
      <c r="R198" s="201"/>
      <c r="S198" s="201"/>
      <c r="T198" s="201"/>
      <c r="U198" s="201"/>
      <c r="V198" s="201"/>
      <c r="W198" s="201"/>
      <c r="X198" s="201"/>
      <c r="Y198" s="201"/>
      <c r="Z198" s="201"/>
      <c r="AA198" s="201"/>
      <c r="AB198" s="201"/>
      <c r="AC198" s="201"/>
      <c r="AD198" s="201">
        <f t="shared" ref="AD198:AE198" si="473">AD273</f>
        <v>0</v>
      </c>
      <c r="AE198" s="201">
        <f t="shared" si="473"/>
        <v>0</v>
      </c>
      <c r="AF198" s="201">
        <f>AF273</f>
        <v>0</v>
      </c>
      <c r="AG198" s="201">
        <f t="shared" ref="AG198:AI198" si="474">AG273</f>
        <v>426</v>
      </c>
      <c r="AH198" s="201">
        <f t="shared" si="474"/>
        <v>427</v>
      </c>
      <c r="AI198" s="201">
        <f t="shared" si="474"/>
        <v>432</v>
      </c>
      <c r="AJ198" s="204">
        <f t="shared" ref="AJ198:AK198" si="475">AJ273</f>
        <v>469.70000000000005</v>
      </c>
      <c r="AK198" s="204">
        <f t="shared" si="475"/>
        <v>461.30978723404246</v>
      </c>
    </row>
    <row r="199" spans="1:37">
      <c r="B199" s="63" t="s">
        <v>491</v>
      </c>
      <c r="C199" s="201"/>
      <c r="D199" s="201"/>
      <c r="E199" s="201"/>
      <c r="F199" s="201"/>
      <c r="G199" s="201"/>
      <c r="H199" s="201"/>
      <c r="I199" s="201"/>
      <c r="J199" s="201">
        <f>J303</f>
        <v>114</v>
      </c>
      <c r="K199" s="201">
        <f>K303</f>
        <v>135</v>
      </c>
      <c r="L199" s="204">
        <f>L303+L314</f>
        <v>14</v>
      </c>
      <c r="M199" s="204">
        <f t="shared" ref="M199:P199" si="476">M303+M314</f>
        <v>0</v>
      </c>
      <c r="N199" s="204">
        <f t="shared" si="476"/>
        <v>0</v>
      </c>
      <c r="O199" s="204">
        <f t="shared" si="476"/>
        <v>0</v>
      </c>
      <c r="P199" s="204">
        <f t="shared" si="476"/>
        <v>0</v>
      </c>
      <c r="Q199" s="200"/>
      <c r="R199" s="201"/>
      <c r="S199" s="201"/>
      <c r="T199" s="201"/>
      <c r="U199" s="201"/>
      <c r="V199" s="201"/>
      <c r="W199" s="201"/>
      <c r="X199" s="201"/>
      <c r="Y199" s="201"/>
      <c r="Z199" s="201"/>
      <c r="AA199" s="201"/>
      <c r="AB199" s="201"/>
      <c r="AC199" s="201"/>
      <c r="AD199" s="201"/>
      <c r="AE199" s="201"/>
      <c r="AF199" s="201">
        <f>AF303</f>
        <v>61</v>
      </c>
      <c r="AG199" s="201">
        <f t="shared" ref="AG199:AI199" si="477">AG303</f>
        <v>53</v>
      </c>
      <c r="AH199" s="201">
        <f t="shared" si="477"/>
        <v>72</v>
      </c>
      <c r="AI199" s="201">
        <f t="shared" si="477"/>
        <v>63</v>
      </c>
      <c r="AJ199" s="204">
        <f t="shared" ref="AJ199" si="478">AJ303+AJ314</f>
        <v>14</v>
      </c>
      <c r="AK199" s="204">
        <f>AK303+AK314</f>
        <v>0</v>
      </c>
    </row>
    <row r="200" spans="1:37">
      <c r="B200" s="32"/>
      <c r="C200" s="201"/>
      <c r="D200" s="201"/>
      <c r="E200" s="201"/>
      <c r="F200" s="201"/>
      <c r="G200" s="201"/>
      <c r="H200" s="201"/>
      <c r="I200" s="201"/>
      <c r="J200" s="201"/>
      <c r="K200" s="201"/>
      <c r="L200" s="200"/>
      <c r="M200" s="200"/>
      <c r="N200" s="200"/>
      <c r="O200" s="200"/>
      <c r="P200" s="200"/>
      <c r="Q200" s="200"/>
      <c r="R200" s="201"/>
      <c r="S200" s="201"/>
      <c r="T200" s="201"/>
      <c r="U200" s="201"/>
      <c r="V200" s="201"/>
      <c r="W200" s="201"/>
      <c r="X200" s="201"/>
      <c r="Y200" s="201"/>
      <c r="Z200" s="201"/>
      <c r="AA200" s="201"/>
      <c r="AB200" s="201"/>
      <c r="AC200" s="201"/>
      <c r="AD200" s="201"/>
      <c r="AE200" s="201"/>
      <c r="AF200" s="201"/>
      <c r="AG200" s="201"/>
      <c r="AH200" s="201"/>
      <c r="AI200" s="201"/>
      <c r="AJ200" s="200"/>
      <c r="AK200" s="200"/>
    </row>
    <row r="201" spans="1:37">
      <c r="B201" s="64" t="s">
        <v>39</v>
      </c>
      <c r="C201" s="201"/>
      <c r="D201" s="201"/>
      <c r="E201" s="201"/>
      <c r="F201" s="201"/>
      <c r="G201" s="201"/>
      <c r="H201" s="201"/>
      <c r="I201" s="201"/>
      <c r="J201" s="39">
        <f>SUM(J202:J204)</f>
        <v>-29</v>
      </c>
      <c r="K201" s="40">
        <v>-31</v>
      </c>
      <c r="L201" s="155">
        <f>SUM(L202:L204)</f>
        <v>49.56010263829787</v>
      </c>
      <c r="M201" s="155">
        <f t="shared" ref="M201:P201" si="479">SUM(M202:M204)</f>
        <v>61.062615329361705</v>
      </c>
      <c r="N201" s="155">
        <f t="shared" si="479"/>
        <v>65.199165267422231</v>
      </c>
      <c r="O201" s="155">
        <f t="shared" si="479"/>
        <v>69.473628623696868</v>
      </c>
      <c r="P201" s="155">
        <f t="shared" si="479"/>
        <v>73.8899700209451</v>
      </c>
      <c r="Q201" s="200"/>
      <c r="R201" s="201"/>
      <c r="S201" s="201"/>
      <c r="T201" s="201"/>
      <c r="U201" s="201"/>
      <c r="V201" s="201"/>
      <c r="W201" s="201"/>
      <c r="X201" s="201"/>
      <c r="Y201" s="201"/>
      <c r="Z201" s="201"/>
      <c r="AA201" s="201"/>
      <c r="AB201" s="201"/>
      <c r="AC201" s="201"/>
      <c r="AD201" s="201"/>
      <c r="AE201" s="201"/>
      <c r="AF201" s="39">
        <f>SUM(AF202:AF204)</f>
        <v>15</v>
      </c>
      <c r="AG201" s="39">
        <f t="shared" ref="AG201" si="480">SUM(AG202:AG204)</f>
        <v>-44</v>
      </c>
      <c r="AH201" s="40">
        <v>33</v>
      </c>
      <c r="AI201" s="39">
        <f>K201-AH201</f>
        <v>-64</v>
      </c>
      <c r="AJ201" s="155">
        <f>SUM(AJ202:AJ204)</f>
        <v>42.746720000000003</v>
      </c>
      <c r="AK201" s="155">
        <f>SUM(AK202:AK204)</f>
        <v>6.8133826382978668</v>
      </c>
    </row>
    <row r="202" spans="1:37">
      <c r="B202" s="63" t="s">
        <v>68</v>
      </c>
      <c r="C202" s="201">
        <f t="shared" ref="C202:K202" si="481">C233</f>
        <v>-150.5</v>
      </c>
      <c r="D202" s="201">
        <f t="shared" si="481"/>
        <v>-110</v>
      </c>
      <c r="E202" s="201">
        <f t="shared" si="481"/>
        <v>-85</v>
      </c>
      <c r="F202" s="201">
        <f t="shared" si="481"/>
        <v>39</v>
      </c>
      <c r="G202" s="201">
        <f t="shared" si="481"/>
        <v>172</v>
      </c>
      <c r="H202" s="201">
        <f t="shared" si="481"/>
        <v>55</v>
      </c>
      <c r="I202" s="201">
        <f t="shared" si="481"/>
        <v>145</v>
      </c>
      <c r="J202" s="201">
        <f t="shared" si="481"/>
        <v>14</v>
      </c>
      <c r="K202" s="201">
        <f t="shared" si="481"/>
        <v>-35</v>
      </c>
      <c r="L202" s="204">
        <f t="shared" ref="L202:P202" si="482">L233</f>
        <v>9.3715919999999997</v>
      </c>
      <c r="M202" s="204">
        <f t="shared" si="482"/>
        <v>9.5590238399999983</v>
      </c>
      <c r="N202" s="204">
        <f t="shared" si="482"/>
        <v>9.7502043167999979</v>
      </c>
      <c r="O202" s="204">
        <f t="shared" si="482"/>
        <v>9.9452084031360002</v>
      </c>
      <c r="P202" s="204">
        <f t="shared" si="482"/>
        <v>10.144112571198718</v>
      </c>
      <c r="Q202" s="203"/>
      <c r="R202" s="201">
        <f>R233</f>
        <v>8.1</v>
      </c>
      <c r="S202" s="201">
        <f t="shared" ref="S202:AI202" si="483">S233</f>
        <v>-158.6</v>
      </c>
      <c r="T202" s="201">
        <f t="shared" si="483"/>
        <v>-10</v>
      </c>
      <c r="U202" s="201">
        <f t="shared" si="483"/>
        <v>-100</v>
      </c>
      <c r="V202" s="201">
        <f t="shared" si="483"/>
        <v>-8</v>
      </c>
      <c r="W202" s="201">
        <f t="shared" si="483"/>
        <v>-77</v>
      </c>
      <c r="X202" s="201">
        <f t="shared" si="483"/>
        <v>50</v>
      </c>
      <c r="Y202" s="201">
        <f t="shared" si="483"/>
        <v>-11</v>
      </c>
      <c r="Z202" s="201">
        <f t="shared" si="483"/>
        <v>133</v>
      </c>
      <c r="AA202" s="201">
        <f t="shared" si="483"/>
        <v>39</v>
      </c>
      <c r="AB202" s="201">
        <f t="shared" si="483"/>
        <v>25</v>
      </c>
      <c r="AC202" s="201">
        <f t="shared" si="483"/>
        <v>30</v>
      </c>
      <c r="AD202" s="201">
        <f t="shared" si="483"/>
        <v>134</v>
      </c>
      <c r="AE202" s="201">
        <f t="shared" si="483"/>
        <v>11</v>
      </c>
      <c r="AF202" s="201">
        <f t="shared" ref="AF202:AG202" si="484">AF233</f>
        <v>54</v>
      </c>
      <c r="AG202" s="201">
        <f t="shared" si="484"/>
        <v>-40</v>
      </c>
      <c r="AH202" s="201">
        <f t="shared" si="483"/>
        <v>29</v>
      </c>
      <c r="AI202" s="201">
        <f t="shared" si="483"/>
        <v>-64</v>
      </c>
      <c r="AJ202" s="204">
        <f>AJ233</f>
        <v>26.046720000000001</v>
      </c>
      <c r="AK202" s="204">
        <f t="shared" ref="AK202" si="485">AK233</f>
        <v>-16.675128000000001</v>
      </c>
    </row>
    <row r="203" spans="1:37">
      <c r="B203" s="63" t="s">
        <v>69</v>
      </c>
      <c r="C203" s="201"/>
      <c r="D203" s="201"/>
      <c r="E203" s="201"/>
      <c r="F203" s="201"/>
      <c r="G203" s="201"/>
      <c r="H203" s="201"/>
      <c r="I203" s="201"/>
      <c r="J203" s="201">
        <f>J294</f>
        <v>28</v>
      </c>
      <c r="K203" s="201">
        <f>K294</f>
        <v>44</v>
      </c>
      <c r="L203" s="204">
        <f t="shared" ref="L203:P203" si="486">L294</f>
        <v>47.688510638297871</v>
      </c>
      <c r="M203" s="204">
        <f t="shared" si="486"/>
        <v>51.503591489361703</v>
      </c>
      <c r="N203" s="204">
        <f t="shared" si="486"/>
        <v>55.448960950622237</v>
      </c>
      <c r="O203" s="204">
        <f t="shared" si="486"/>
        <v>59.528420220560875</v>
      </c>
      <c r="P203" s="204">
        <f t="shared" si="486"/>
        <v>63.745857449746381</v>
      </c>
      <c r="Q203" s="200"/>
      <c r="R203" s="201"/>
      <c r="S203" s="201"/>
      <c r="T203" s="201"/>
      <c r="U203" s="201"/>
      <c r="V203" s="201"/>
      <c r="W203" s="201"/>
      <c r="X203" s="201"/>
      <c r="Y203" s="201"/>
      <c r="Z203" s="201"/>
      <c r="AA203" s="201"/>
      <c r="AB203" s="201"/>
      <c r="AC203" s="201"/>
      <c r="AD203" s="201"/>
      <c r="AE203" s="201"/>
      <c r="AF203" s="201">
        <f t="shared" ref="AF203:AG203" si="487">AF294</f>
        <v>0</v>
      </c>
      <c r="AG203" s="201">
        <f t="shared" si="487"/>
        <v>28</v>
      </c>
      <c r="AH203" s="201">
        <f t="shared" ref="AH203:AI203" si="488">AH294</f>
        <v>22</v>
      </c>
      <c r="AI203" s="201">
        <f t="shared" si="488"/>
        <v>22</v>
      </c>
      <c r="AJ203" s="204">
        <f t="shared" ref="AJ203:AK203" si="489">AJ294</f>
        <v>24.200000000000003</v>
      </c>
      <c r="AK203" s="204">
        <f t="shared" si="489"/>
        <v>23.488510638297868</v>
      </c>
    </row>
    <row r="204" spans="1:37">
      <c r="B204" s="63" t="s">
        <v>70</v>
      </c>
      <c r="C204" s="201"/>
      <c r="D204" s="201"/>
      <c r="E204" s="201"/>
      <c r="F204" s="201"/>
      <c r="G204" s="201"/>
      <c r="H204" s="201"/>
      <c r="I204" s="201"/>
      <c r="J204" s="201">
        <f>J308</f>
        <v>-71</v>
      </c>
      <c r="K204" s="201">
        <f>K308</f>
        <v>-72</v>
      </c>
      <c r="L204" s="204">
        <f>L308</f>
        <v>-7.5</v>
      </c>
      <c r="M204" s="204">
        <f t="shared" ref="M204:P204" si="490">M308</f>
        <v>0</v>
      </c>
      <c r="N204" s="204">
        <f t="shared" si="490"/>
        <v>0</v>
      </c>
      <c r="O204" s="204">
        <f t="shared" si="490"/>
        <v>0</v>
      </c>
      <c r="P204" s="204">
        <f t="shared" si="490"/>
        <v>0</v>
      </c>
      <c r="Q204" s="200"/>
      <c r="R204" s="201"/>
      <c r="S204" s="201"/>
      <c r="T204" s="201"/>
      <c r="U204" s="201"/>
      <c r="V204" s="201"/>
      <c r="W204" s="201"/>
      <c r="X204" s="201"/>
      <c r="Y204" s="201"/>
      <c r="Z204" s="201"/>
      <c r="AA204" s="201"/>
      <c r="AB204" s="201"/>
      <c r="AC204" s="201"/>
      <c r="AD204" s="201"/>
      <c r="AE204" s="201"/>
      <c r="AF204" s="201">
        <f t="shared" ref="AF204:AI204" si="491">AF308</f>
        <v>-39</v>
      </c>
      <c r="AG204" s="201">
        <f t="shared" si="491"/>
        <v>-32</v>
      </c>
      <c r="AH204" s="201">
        <f t="shared" si="491"/>
        <v>-36</v>
      </c>
      <c r="AI204" s="201">
        <f t="shared" si="491"/>
        <v>-36</v>
      </c>
      <c r="AJ204" s="204">
        <f>AJ308</f>
        <v>-7.5</v>
      </c>
      <c r="AK204" s="204">
        <f t="shared" ref="AK204" si="492">AK308</f>
        <v>0</v>
      </c>
    </row>
    <row r="205" spans="1:37">
      <c r="B205" s="32"/>
      <c r="C205" s="199"/>
      <c r="D205" s="199"/>
      <c r="E205" s="199"/>
      <c r="F205" s="199"/>
      <c r="G205" s="199"/>
      <c r="H205" s="199"/>
      <c r="I205" s="199"/>
      <c r="J205" s="199"/>
      <c r="K205" s="199"/>
      <c r="L205" s="200"/>
      <c r="M205" s="200"/>
      <c r="N205" s="200"/>
      <c r="O205" s="200"/>
      <c r="P205" s="200"/>
      <c r="Q205" s="200"/>
      <c r="R205" s="199"/>
      <c r="S205" s="199"/>
      <c r="T205" s="199"/>
      <c r="U205" s="199"/>
      <c r="V205" s="199"/>
      <c r="W205" s="199"/>
      <c r="X205" s="199"/>
      <c r="Y205" s="199"/>
      <c r="Z205" s="199"/>
      <c r="AA205" s="199"/>
      <c r="AB205" s="199"/>
      <c r="AC205" s="199"/>
      <c r="AD205" s="199"/>
      <c r="AE205" s="199"/>
      <c r="AF205" s="199"/>
      <c r="AG205" s="199"/>
      <c r="AH205" s="199"/>
      <c r="AI205" s="199"/>
      <c r="AJ205" s="200"/>
      <c r="AK205" s="200"/>
    </row>
    <row r="206" spans="1:37">
      <c r="B206" s="5" t="s">
        <v>68</v>
      </c>
      <c r="C206" s="167"/>
      <c r="D206" s="167"/>
      <c r="E206" s="167"/>
      <c r="F206" s="167"/>
      <c r="G206" s="167"/>
      <c r="H206" s="167"/>
      <c r="I206" s="167"/>
      <c r="J206" s="167"/>
      <c r="K206" s="167"/>
      <c r="L206" s="167"/>
      <c r="M206" s="167"/>
      <c r="N206" s="167"/>
      <c r="O206" s="167"/>
      <c r="P206" s="167"/>
      <c r="Q206" s="167"/>
      <c r="R206" s="167"/>
      <c r="S206" s="167"/>
      <c r="T206" s="167"/>
      <c r="U206" s="167"/>
      <c r="V206" s="167"/>
      <c r="W206" s="167"/>
      <c r="X206" s="167"/>
      <c r="Y206" s="167"/>
      <c r="Z206" s="167"/>
      <c r="AA206" s="167"/>
      <c r="AB206" s="167"/>
      <c r="AC206" s="167"/>
      <c r="AD206" s="167"/>
      <c r="AE206" s="167"/>
      <c r="AF206" s="167"/>
      <c r="AG206" s="167"/>
      <c r="AH206" s="167"/>
      <c r="AI206" s="167"/>
      <c r="AJ206" s="167"/>
      <c r="AK206" s="167"/>
    </row>
    <row r="207" spans="1:37" s="7" customFormat="1">
      <c r="A207" s="6"/>
      <c r="B207" s="25" t="s">
        <v>0</v>
      </c>
      <c r="C207" s="80">
        <v>3542</v>
      </c>
      <c r="D207" s="40">
        <v>3566</v>
      </c>
      <c r="E207" s="40">
        <v>3797</v>
      </c>
      <c r="F207" s="40">
        <v>4106</v>
      </c>
      <c r="G207" s="40">
        <v>4583</v>
      </c>
      <c r="H207" s="40">
        <v>4431</v>
      </c>
      <c r="I207" s="40">
        <v>4785</v>
      </c>
      <c r="J207" s="40">
        <v>4680</v>
      </c>
      <c r="K207" s="40">
        <v>4644</v>
      </c>
      <c r="L207" s="216">
        <f>K207*(1+L208)</f>
        <v>4685.7959999999994</v>
      </c>
      <c r="M207" s="216">
        <f t="shared" ref="M207" si="493">L207*(1+M208)</f>
        <v>4779.511919999999</v>
      </c>
      <c r="N207" s="216">
        <f t="shared" ref="N207" si="494">M207*(1+N208)</f>
        <v>4875.1021583999991</v>
      </c>
      <c r="O207" s="216">
        <f t="shared" ref="O207" si="495">N207*(1+O208)</f>
        <v>4972.6042015679996</v>
      </c>
      <c r="P207" s="216">
        <f t="shared" ref="P207" si="496">O207*(1+P208)</f>
        <v>5072.0562855993594</v>
      </c>
      <c r="Q207" s="229"/>
      <c r="R207" s="80">
        <v>2050.3000000000002</v>
      </c>
      <c r="S207" s="39">
        <v>1547.6999999999998</v>
      </c>
      <c r="T207" s="80">
        <v>2037</v>
      </c>
      <c r="U207" s="39">
        <f>D207-T207</f>
        <v>1529</v>
      </c>
      <c r="V207" s="40">
        <v>2091</v>
      </c>
      <c r="W207" s="39">
        <f>E207-V207</f>
        <v>1706</v>
      </c>
      <c r="X207" s="40">
        <v>2149</v>
      </c>
      <c r="Y207" s="39">
        <f>F207-X207</f>
        <v>1957</v>
      </c>
      <c r="Z207" s="40">
        <v>2581</v>
      </c>
      <c r="AA207" s="39">
        <f>G207-Z207</f>
        <v>2002</v>
      </c>
      <c r="AB207" s="39">
        <v>2348</v>
      </c>
      <c r="AC207" s="39">
        <f>H207-AB207</f>
        <v>2083</v>
      </c>
      <c r="AD207" s="40">
        <v>2708</v>
      </c>
      <c r="AE207" s="39">
        <f>I207-AD207</f>
        <v>2077</v>
      </c>
      <c r="AF207" s="40">
        <v>2595</v>
      </c>
      <c r="AG207" s="39">
        <f>J207-AF207</f>
        <v>2085</v>
      </c>
      <c r="AH207" s="40">
        <v>2584</v>
      </c>
      <c r="AI207" s="39">
        <f>K207-AH207</f>
        <v>2060</v>
      </c>
      <c r="AJ207" s="216">
        <f>AH207*(1+AJ208)</f>
        <v>2604.672</v>
      </c>
      <c r="AK207" s="216">
        <f>L207-AJ207</f>
        <v>2081.1239999999993</v>
      </c>
    </row>
    <row r="208" spans="1:37">
      <c r="A208" s="6" t="s">
        <v>364</v>
      </c>
      <c r="B208" s="32" t="s">
        <v>265</v>
      </c>
      <c r="C208" s="199"/>
      <c r="D208" s="244">
        <f t="shared" ref="D208:K208" si="497">D207/C207-1</f>
        <v>6.7758328627893771E-3</v>
      </c>
      <c r="E208" s="244">
        <f t="shared" si="497"/>
        <v>6.4778463264161479E-2</v>
      </c>
      <c r="F208" s="244">
        <f t="shared" si="497"/>
        <v>8.138003687121409E-2</v>
      </c>
      <c r="G208" s="244">
        <f t="shared" si="497"/>
        <v>0.1161714564052605</v>
      </c>
      <c r="H208" s="244">
        <f t="shared" si="497"/>
        <v>-3.3166048439886575E-2</v>
      </c>
      <c r="I208" s="244">
        <f t="shared" si="497"/>
        <v>7.9891672308733952E-2</v>
      </c>
      <c r="J208" s="244">
        <f t="shared" si="497"/>
        <v>-2.1943573667711602E-2</v>
      </c>
      <c r="K208" s="279">
        <f t="shared" si="497"/>
        <v>-7.692307692307665E-3</v>
      </c>
      <c r="L208" s="277">
        <f>SUM(L209:L211)</f>
        <v>9.0000000000000011E-3</v>
      </c>
      <c r="M208" s="277">
        <f t="shared" ref="M208" si="498">SUM(M209:M211)</f>
        <v>0.02</v>
      </c>
      <c r="N208" s="277">
        <f t="shared" ref="N208" si="499">SUM(N209:N211)</f>
        <v>0.02</v>
      </c>
      <c r="O208" s="277">
        <f t="shared" ref="O208" si="500">SUM(O209:O211)</f>
        <v>0.02</v>
      </c>
      <c r="P208" s="277">
        <f t="shared" ref="P208" si="501">SUM(P209:P211)</f>
        <v>0.02</v>
      </c>
      <c r="Q208" s="200"/>
      <c r="R208" s="199"/>
      <c r="S208" s="199"/>
      <c r="T208" s="244">
        <f t="shared" ref="T208:AI208" si="502">T207/R207-1</f>
        <v>-6.4868555821100404E-3</v>
      </c>
      <c r="U208" s="244">
        <f t="shared" si="502"/>
        <v>-1.2082444918265711E-2</v>
      </c>
      <c r="V208" s="244">
        <f t="shared" si="502"/>
        <v>2.6509572901325384E-2</v>
      </c>
      <c r="W208" s="244">
        <f t="shared" si="502"/>
        <v>0.11576193590582085</v>
      </c>
      <c r="X208" s="244">
        <f t="shared" si="502"/>
        <v>2.7737924438067996E-2</v>
      </c>
      <c r="Y208" s="244">
        <f t="shared" si="502"/>
        <v>0.14712778429073858</v>
      </c>
      <c r="Z208" s="244">
        <f t="shared" si="502"/>
        <v>0.20102373196835743</v>
      </c>
      <c r="AA208" s="244">
        <f t="shared" si="502"/>
        <v>2.2994379151762834E-2</v>
      </c>
      <c r="AB208" s="244">
        <f t="shared" si="502"/>
        <v>-9.0275087175513358E-2</v>
      </c>
      <c r="AC208" s="244">
        <f t="shared" si="502"/>
        <v>4.0459540459540477E-2</v>
      </c>
      <c r="AD208" s="244">
        <f t="shared" si="502"/>
        <v>0.15332197614991472</v>
      </c>
      <c r="AE208" s="244">
        <f t="shared" si="502"/>
        <v>-2.8804608737398318E-3</v>
      </c>
      <c r="AF208" s="244">
        <f t="shared" si="502"/>
        <v>-4.1728212703101897E-2</v>
      </c>
      <c r="AG208" s="244">
        <f t="shared" si="502"/>
        <v>3.8517091959557881E-3</v>
      </c>
      <c r="AH208" s="244">
        <f t="shared" si="502"/>
        <v>-4.2389210019267987E-3</v>
      </c>
      <c r="AI208" s="244">
        <f t="shared" si="502"/>
        <v>-1.1990407673860948E-2</v>
      </c>
      <c r="AJ208" s="277">
        <f>SUM(AJ209:AJ211)</f>
        <v>8.0000000000000002E-3</v>
      </c>
      <c r="AK208" s="166">
        <f>AK207/AI207-1</f>
        <v>1.025436893203846E-2</v>
      </c>
    </row>
    <row r="209" spans="1:47">
      <c r="A209" s="6" t="s">
        <v>365</v>
      </c>
      <c r="B209" s="32" t="s">
        <v>266</v>
      </c>
      <c r="C209" s="33">
        <v>-5.7000000000000002E-2</v>
      </c>
      <c r="D209" s="33">
        <v>8.9999999999999993E-3</v>
      </c>
      <c r="E209" s="33">
        <v>5.2999999999999999E-2</v>
      </c>
      <c r="F209" s="33">
        <v>0.112</v>
      </c>
      <c r="G209" s="33">
        <v>0.13</v>
      </c>
      <c r="H209" s="33">
        <v>-2.9000000000000001E-2</v>
      </c>
      <c r="I209" s="33">
        <v>7.8E-2</v>
      </c>
      <c r="J209" s="35">
        <v>-2.1000000000000001E-2</v>
      </c>
      <c r="K209" s="35">
        <v>5.0000000000000001E-3</v>
      </c>
      <c r="L209" s="158">
        <f>VLOOKUP($A209,Quarterly!$1:$1048576,MATCH(Model!L$3,Quarterly!$3:$3,0),FALSE)</f>
        <v>9.0000000000000011E-3</v>
      </c>
      <c r="M209" s="160">
        <v>0.02</v>
      </c>
      <c r="N209" s="160">
        <v>0.02</v>
      </c>
      <c r="O209" s="160">
        <v>0.02</v>
      </c>
      <c r="P209" s="160">
        <v>0.02</v>
      </c>
      <c r="Q209" s="200"/>
      <c r="R209" s="33">
        <v>-6.3E-2</v>
      </c>
      <c r="S209" s="371">
        <f>VLOOKUP($A209,Quarterly!$1:$1048576,MATCH(Model!S$3,Quarterly!$3:$3,0),FALSE)</f>
        <v>-4.8000000000000001E-2</v>
      </c>
      <c r="T209" s="33">
        <v>1.2999999999999999E-2</v>
      </c>
      <c r="U209" s="371">
        <f>VLOOKUP($A209,Quarterly!$1:$1048576,MATCH(Model!U$3,Quarterly!$3:$3,0),FALSE)</f>
        <v>-1.7500000000000002E-2</v>
      </c>
      <c r="V209" s="106">
        <v>3.7999999999999999E-2</v>
      </c>
      <c r="W209" s="371">
        <f>VLOOKUP($A209,Quarterly!$1:$1048576,MATCH(Model!W$3,Quarterly!$3:$3,0),FALSE)</f>
        <v>7.2999999999999995E-2</v>
      </c>
      <c r="X209" s="106">
        <v>3.6999999999999998E-2</v>
      </c>
      <c r="Y209" s="371">
        <f>VLOOKUP($A209,Quarterly!$1:$1048576,MATCH(Model!Y$3,Quarterly!$3:$3,0),FALSE)</f>
        <v>0.20200000000000001</v>
      </c>
      <c r="Z209" s="106">
        <v>0.215</v>
      </c>
      <c r="AA209" s="371">
        <f>VLOOKUP($A209,Quarterly!$1:$1048576,MATCH(Model!AA$3,Quarterly!$3:$3,0),FALSE)</f>
        <v>5.3000000000000005E-2</v>
      </c>
      <c r="AB209" s="106">
        <v>-8.5000000000000006E-2</v>
      </c>
      <c r="AC209" s="371">
        <f>VLOOKUP($A209,Quarterly!$1:$1048576,MATCH(Model!AC$3,Quarterly!$3:$3,0),FALSE)</f>
        <v>4.2499999999999996E-2</v>
      </c>
      <c r="AD209" s="106">
        <v>0.151</v>
      </c>
      <c r="AE209" s="371">
        <f>VLOOKUP($A209,Quarterly!$1:$1048576,MATCH(Model!AE$3,Quarterly!$3:$3,0),FALSE)</f>
        <v>-1.9999999999999983E-3</v>
      </c>
      <c r="AF209" s="106">
        <f>AVERAGE(-5.6%,-3.1%)</f>
        <v>-4.3499999999999997E-2</v>
      </c>
      <c r="AG209" s="371">
        <f>VLOOKUP($A209,Quarterly!$1:$1048576,MATCH(Model!AG$3,Quarterly!$3:$3,0),FALSE)</f>
        <v>-3.5999999999999997E-2</v>
      </c>
      <c r="AH209" s="106">
        <v>-5.0000000000000001E-3</v>
      </c>
      <c r="AI209" s="371">
        <f>VLOOKUP($A209,Quarterly!$1:$1048576,MATCH(Model!AI$3,Quarterly!$3:$3,0),FALSE)</f>
        <v>1.7500000000000002E-2</v>
      </c>
      <c r="AJ209" s="158">
        <f>VLOOKUP($A209,Quarterly!$1:$1048576,MATCH(Model!AJ$3,Quarterly!$3:$3,0),FALSE)</f>
        <v>8.0000000000000002E-3</v>
      </c>
      <c r="AK209" s="158">
        <f>VLOOKUP($A209,Quarterly!$1:$1048576,MATCH(Model!AK$3,Quarterly!$3:$3,0),FALSE)</f>
        <v>0.01</v>
      </c>
    </row>
    <row r="210" spans="1:47">
      <c r="B210" s="32" t="s">
        <v>267</v>
      </c>
      <c r="C210" s="199"/>
      <c r="D210" s="244">
        <f t="shared" ref="D210:K210" si="503">D254/C254-1</f>
        <v>-1.0810810810810811E-2</v>
      </c>
      <c r="E210" s="244">
        <f t="shared" si="503"/>
        <v>0</v>
      </c>
      <c r="F210" s="244">
        <f t="shared" si="503"/>
        <v>-2.1857923497267784E-2</v>
      </c>
      <c r="G210" s="244">
        <f t="shared" si="503"/>
        <v>-1.6759776536312887E-2</v>
      </c>
      <c r="H210" s="244">
        <f t="shared" si="503"/>
        <v>0</v>
      </c>
      <c r="I210" s="244">
        <f t="shared" si="503"/>
        <v>5.6818181818181213E-3</v>
      </c>
      <c r="J210" s="244">
        <f t="shared" si="503"/>
        <v>5.6497175141243527E-3</v>
      </c>
      <c r="K210" s="244">
        <f t="shared" si="503"/>
        <v>5.6179775280897903E-3</v>
      </c>
      <c r="L210" s="166">
        <f t="shared" ref="L210:P210" si="504">L254/K254-1</f>
        <v>0</v>
      </c>
      <c r="M210" s="166">
        <f t="shared" si="504"/>
        <v>0</v>
      </c>
      <c r="N210" s="166">
        <f t="shared" si="504"/>
        <v>0</v>
      </c>
      <c r="O210" s="166">
        <f t="shared" si="504"/>
        <v>0</v>
      </c>
      <c r="P210" s="166">
        <f t="shared" si="504"/>
        <v>0</v>
      </c>
      <c r="Q210" s="200"/>
      <c r="R210" s="199"/>
      <c r="S210" s="199"/>
      <c r="T210" s="244">
        <f t="shared" ref="T210:AI210" si="505">T254/R254-1</f>
        <v>0</v>
      </c>
      <c r="U210" s="244">
        <f t="shared" si="505"/>
        <v>-1.0810810810810811E-2</v>
      </c>
      <c r="V210" s="244">
        <f t="shared" si="505"/>
        <v>-1.6129032258064502E-2</v>
      </c>
      <c r="W210" s="244">
        <f t="shared" si="505"/>
        <v>0</v>
      </c>
      <c r="X210" s="244">
        <f t="shared" si="505"/>
        <v>0</v>
      </c>
      <c r="Y210" s="244">
        <f t="shared" si="505"/>
        <v>-2.1857923497267784E-2</v>
      </c>
      <c r="Z210" s="244">
        <f t="shared" si="505"/>
        <v>-2.1857923497267784E-2</v>
      </c>
      <c r="AA210" s="244">
        <f t="shared" si="505"/>
        <v>-1.6759776536312887E-2</v>
      </c>
      <c r="AB210" s="244">
        <f t="shared" si="505"/>
        <v>-1.6759776536312887E-2</v>
      </c>
      <c r="AC210" s="244">
        <f t="shared" si="505"/>
        <v>0</v>
      </c>
      <c r="AD210" s="244">
        <f t="shared" si="505"/>
        <v>5.6818181818181213E-3</v>
      </c>
      <c r="AE210" s="244">
        <f t="shared" si="505"/>
        <v>5.6818181818181213E-3</v>
      </c>
      <c r="AF210" s="244">
        <f t="shared" si="505"/>
        <v>0</v>
      </c>
      <c r="AG210" s="244">
        <f t="shared" si="505"/>
        <v>5.6497175141243527E-3</v>
      </c>
      <c r="AH210" s="244">
        <f t="shared" si="505"/>
        <v>1.1299435028248483E-2</v>
      </c>
      <c r="AI210" s="244">
        <f t="shared" si="505"/>
        <v>5.6179775280897903E-3</v>
      </c>
      <c r="AJ210" s="166">
        <f t="shared" ref="AJ210:AK210" si="506">AJ254/AH254-1</f>
        <v>0</v>
      </c>
      <c r="AK210" s="166">
        <f t="shared" si="506"/>
        <v>0</v>
      </c>
    </row>
    <row r="211" spans="1:47">
      <c r="B211" s="32" t="s">
        <v>77</v>
      </c>
      <c r="C211" s="199"/>
      <c r="D211" s="244">
        <f>D208-SUM(D209:D210)</f>
        <v>8.5866436736001892E-3</v>
      </c>
      <c r="E211" s="244">
        <f t="shared" ref="E211" si="507">E208-SUM(E209:E210)</f>
        <v>1.177846326416148E-2</v>
      </c>
      <c r="F211" s="244">
        <f t="shared" ref="F211" si="508">F208-SUM(F209:F210)</f>
        <v>-8.7620396315181287E-3</v>
      </c>
      <c r="G211" s="244">
        <f t="shared" ref="G211" si="509">G208-SUM(G209:G210)</f>
        <v>2.9312329415733807E-3</v>
      </c>
      <c r="H211" s="244">
        <f t="shared" ref="H211" si="510">H208-SUM(H209:H210)</f>
        <v>-4.1660484398865737E-3</v>
      </c>
      <c r="I211" s="244">
        <f t="shared" ref="I211" si="511">I208-SUM(I209:I210)</f>
        <v>-3.7901458730841692E-3</v>
      </c>
      <c r="J211" s="244">
        <f t="shared" ref="J211" si="512">J208-SUM(J209:J210)</f>
        <v>-6.5932911818359537E-3</v>
      </c>
      <c r="K211" s="244">
        <f t="shared" ref="K211" si="513">K208-SUM(K209:K210)</f>
        <v>-1.8310285220397456E-2</v>
      </c>
      <c r="L211" s="160">
        <v>0</v>
      </c>
      <c r="M211" s="160">
        <v>0</v>
      </c>
      <c r="N211" s="160">
        <v>0</v>
      </c>
      <c r="O211" s="160">
        <v>0</v>
      </c>
      <c r="P211" s="160">
        <v>0</v>
      </c>
      <c r="Q211" s="200"/>
      <c r="R211" s="199"/>
      <c r="S211" s="199"/>
      <c r="T211" s="244">
        <f t="shared" ref="T211" si="514">T208-SUM(T209:T210)</f>
        <v>-1.9486855582110038E-2</v>
      </c>
      <c r="U211" s="244">
        <f t="shared" ref="U211" si="515">U208-SUM(U209:U210)</f>
        <v>1.6228365892545102E-2</v>
      </c>
      <c r="V211" s="244">
        <f t="shared" ref="V211" si="516">V208-SUM(V209:V210)</f>
        <v>4.6386051593898872E-3</v>
      </c>
      <c r="W211" s="244">
        <f t="shared" ref="W211" si="517">W208-SUM(W209:W210)</f>
        <v>4.276193590582085E-2</v>
      </c>
      <c r="X211" s="244">
        <f t="shared" ref="X211" si="518">X208-SUM(X209:X210)</f>
        <v>-9.2620755619320025E-3</v>
      </c>
      <c r="Y211" s="244">
        <f t="shared" ref="Y211" si="519">Y208-SUM(Y209:Y210)</f>
        <v>-3.3014292211993645E-2</v>
      </c>
      <c r="Z211" s="244">
        <f t="shared" ref="Z211" si="520">Z208-SUM(Z209:Z210)</f>
        <v>7.8816554656252202E-3</v>
      </c>
      <c r="AA211" s="244">
        <f t="shared" ref="AA211" si="521">AA208-SUM(AA209:AA210)</f>
        <v>-1.3245844311924285E-2</v>
      </c>
      <c r="AB211" s="244">
        <f t="shared" ref="AB211" si="522">AB208-SUM(AB209:AB210)</f>
        <v>1.1484689360799535E-2</v>
      </c>
      <c r="AC211" s="244">
        <f t="shared" ref="AC211" si="523">AC208-SUM(AC209:AC210)</f>
        <v>-2.0404595404595188E-3</v>
      </c>
      <c r="AD211" s="244">
        <f t="shared" ref="AD211" si="524">AD208-SUM(AD209:AD210)</f>
        <v>-3.3598420319033984E-3</v>
      </c>
      <c r="AE211" s="244">
        <f t="shared" ref="AE211" si="525">AE208-SUM(AE209:AE210)</f>
        <v>-6.5622790555579548E-3</v>
      </c>
      <c r="AF211" s="244">
        <f t="shared" ref="AF211" si="526">AF208-SUM(AF209:AF210)</f>
        <v>1.7717872968981002E-3</v>
      </c>
      <c r="AG211" s="244">
        <f t="shared" ref="AG211" si="527">AG208-SUM(AG209:AG210)</f>
        <v>3.4201991681831433E-2</v>
      </c>
      <c r="AH211" s="244">
        <f t="shared" ref="AH211" si="528">AH208-SUM(AH209:AH210)</f>
        <v>-1.0538356030175281E-2</v>
      </c>
      <c r="AI211" s="244">
        <f t="shared" ref="AI211" si="529">AI208-SUM(AI209:AI210)</f>
        <v>-3.510838520195074E-2</v>
      </c>
      <c r="AJ211" s="160">
        <v>0</v>
      </c>
      <c r="AK211" s="166">
        <f t="shared" ref="AK211" si="530">AK208-SUM(AK209:AK210)</f>
        <v>2.5436893203845991E-4</v>
      </c>
      <c r="AU211" s="115"/>
    </row>
    <row r="212" spans="1:47">
      <c r="B212" s="32"/>
      <c r="C212" s="199"/>
      <c r="D212" s="244"/>
      <c r="E212" s="244"/>
      <c r="F212" s="244"/>
      <c r="G212" s="244"/>
      <c r="H212" s="244"/>
      <c r="I212" s="244"/>
      <c r="J212" s="244"/>
      <c r="K212" s="244"/>
      <c r="L212" s="200"/>
      <c r="M212" s="200"/>
      <c r="N212" s="200"/>
      <c r="O212" s="200"/>
      <c r="P212" s="200"/>
      <c r="Q212" s="200"/>
      <c r="R212" s="199"/>
      <c r="S212" s="199"/>
      <c r="T212" s="244"/>
      <c r="U212" s="244"/>
      <c r="V212" s="244"/>
      <c r="W212" s="244"/>
      <c r="X212" s="244"/>
      <c r="Y212" s="244"/>
      <c r="Z212" s="244"/>
      <c r="AA212" s="244"/>
      <c r="AB212" s="244"/>
      <c r="AC212" s="244"/>
      <c r="AD212" s="244"/>
      <c r="AE212" s="244"/>
      <c r="AF212" s="244"/>
      <c r="AG212" s="244"/>
      <c r="AH212" s="244"/>
      <c r="AI212" s="244"/>
      <c r="AJ212" s="200"/>
      <c r="AK212" s="200"/>
    </row>
    <row r="213" spans="1:47">
      <c r="B213" s="25" t="s">
        <v>78</v>
      </c>
      <c r="C213" s="215">
        <f>C215*C207</f>
        <v>1091.6443999999999</v>
      </c>
      <c r="D213" s="215">
        <f t="shared" ref="D213:L213" si="531">D215*D207</f>
        <v>1114.375</v>
      </c>
      <c r="E213" s="215">
        <f t="shared" si="531"/>
        <v>1180.867</v>
      </c>
      <c r="F213" s="215">
        <f t="shared" si="531"/>
        <v>1305.7080000000001</v>
      </c>
      <c r="G213" s="215">
        <f t="shared" si="531"/>
        <v>1475.7260000000001</v>
      </c>
      <c r="H213" s="215">
        <f t="shared" si="531"/>
        <v>1395.7650000000001</v>
      </c>
      <c r="I213" s="215">
        <f t="shared" si="531"/>
        <v>1512.06</v>
      </c>
      <c r="J213" s="215">
        <f t="shared" si="531"/>
        <v>1413.36</v>
      </c>
      <c r="K213" s="215">
        <f t="shared" si="531"/>
        <v>1369.98</v>
      </c>
      <c r="L213" s="216">
        <f t="shared" si="531"/>
        <v>1405.7387999999999</v>
      </c>
      <c r="M213" s="216">
        <f t="shared" ref="M213:P213" si="532">M215*M207</f>
        <v>1457.7511355999998</v>
      </c>
      <c r="N213" s="216">
        <f t="shared" si="532"/>
        <v>1511.2816691039998</v>
      </c>
      <c r="O213" s="216">
        <f t="shared" si="532"/>
        <v>1566.3703234939198</v>
      </c>
      <c r="P213" s="216">
        <f t="shared" si="532"/>
        <v>1623.0580113917949</v>
      </c>
      <c r="Q213" s="200"/>
      <c r="R213" s="215">
        <f>R215*R207</f>
        <v>646.25455999999997</v>
      </c>
      <c r="S213" s="215">
        <f>C213-R213</f>
        <v>445.38983999999994</v>
      </c>
      <c r="T213" s="215">
        <f>T215*T207</f>
        <v>635.95139999999992</v>
      </c>
      <c r="U213" s="39">
        <f>D213-T213</f>
        <v>478.42360000000008</v>
      </c>
      <c r="V213" s="215">
        <f>V215*V207</f>
        <v>640.68240000000003</v>
      </c>
      <c r="W213" s="39">
        <f>E213-V213</f>
        <v>540.18459999999993</v>
      </c>
      <c r="X213" s="215">
        <f>X215*X207</f>
        <v>700.57400000000007</v>
      </c>
      <c r="Y213" s="215">
        <f>F213-X213</f>
        <v>605.13400000000001</v>
      </c>
      <c r="Z213" s="215">
        <f>Z215*Z207</f>
        <v>838.82500000000005</v>
      </c>
      <c r="AA213" s="215">
        <f>G213-Z213</f>
        <v>636.90100000000007</v>
      </c>
      <c r="AB213" s="215">
        <f>AB215*AB207</f>
        <v>730.22799999999995</v>
      </c>
      <c r="AC213" s="215">
        <f>H213-AB213</f>
        <v>665.53700000000015</v>
      </c>
      <c r="AD213" s="215">
        <f>AD215*AD207</f>
        <v>863.85199999999998</v>
      </c>
      <c r="AE213" s="215">
        <f>I213-AD213</f>
        <v>648.20799999999997</v>
      </c>
      <c r="AF213" s="215">
        <f>AF215*AF207</f>
        <v>788.88</v>
      </c>
      <c r="AG213" s="215">
        <f>J213-AF213</f>
        <v>624.4799999999999</v>
      </c>
      <c r="AH213" s="215">
        <f>AH215*AH207</f>
        <v>775.19999999999993</v>
      </c>
      <c r="AI213" s="215">
        <f>K213-AH213</f>
        <v>594.78000000000009</v>
      </c>
      <c r="AJ213" s="216">
        <f>AJ215*AJ207</f>
        <v>781.40160000000003</v>
      </c>
      <c r="AK213" s="216">
        <f>L213-AJ213</f>
        <v>624.33719999999983</v>
      </c>
    </row>
    <row r="214" spans="1:47">
      <c r="B214" s="32" t="s">
        <v>265</v>
      </c>
      <c r="C214" s="228"/>
      <c r="D214" s="228"/>
      <c r="E214" s="215"/>
      <c r="F214" s="244">
        <f t="shared" ref="F214:K214" si="533">F213/E213-1</f>
        <v>0.1057197804663863</v>
      </c>
      <c r="G214" s="244">
        <f t="shared" si="533"/>
        <v>0.13021134893866004</v>
      </c>
      <c r="H214" s="244">
        <f t="shared" si="533"/>
        <v>-5.4184177821628099E-2</v>
      </c>
      <c r="I214" s="244">
        <f t="shared" si="533"/>
        <v>8.3319899839872535E-2</v>
      </c>
      <c r="J214" s="244">
        <f t="shared" si="533"/>
        <v>-6.5275187492559894E-2</v>
      </c>
      <c r="K214" s="244">
        <f t="shared" si="533"/>
        <v>-3.0692817116658055E-2</v>
      </c>
      <c r="L214" s="366">
        <f t="shared" ref="L214" si="534">L213/K213-1</f>
        <v>2.6101694915254159E-2</v>
      </c>
      <c r="M214" s="366">
        <f t="shared" ref="M214" si="535">M213/L213-1</f>
        <v>3.6999999999999922E-2</v>
      </c>
      <c r="N214" s="366">
        <f t="shared" ref="N214" si="536">N213/M213-1</f>
        <v>3.6721311475409912E-2</v>
      </c>
      <c r="O214" s="366">
        <f t="shared" ref="O214" si="537">O213/N213-1</f>
        <v>3.6451612903225961E-2</v>
      </c>
      <c r="P214" s="366">
        <f t="shared" ref="P214" si="538">P213/O213-1</f>
        <v>3.6190476190476106E-2</v>
      </c>
      <c r="Q214" s="200"/>
      <c r="R214" s="228"/>
      <c r="S214" s="228"/>
      <c r="T214" s="244">
        <f t="shared" ref="T214" si="539">T213/R213-1</f>
        <v>-1.594288170283864E-2</v>
      </c>
      <c r="U214" s="244">
        <f t="shared" ref="U214" si="540">U213/S213-1</f>
        <v>7.4168193868095811E-2</v>
      </c>
      <c r="V214" s="244">
        <f t="shared" ref="V214" si="541">V213/T213-1</f>
        <v>7.4392477160991621E-3</v>
      </c>
      <c r="W214" s="244">
        <f t="shared" ref="W214" si="542">W213/U213-1</f>
        <v>0.12909271198159922</v>
      </c>
      <c r="X214" s="244">
        <f t="shared" ref="X214" si="543">X213/V213-1</f>
        <v>9.3480950936064566E-2</v>
      </c>
      <c r="Y214" s="244">
        <f t="shared" ref="Y214" si="544">Y213/W213-1</f>
        <v>0.1202355639164836</v>
      </c>
      <c r="Z214" s="244">
        <f t="shared" ref="Z214:AI214" si="545">Z213/X213-1</f>
        <v>0.19733961009115375</v>
      </c>
      <c r="AA214" s="244">
        <f t="shared" si="545"/>
        <v>5.2495810845201385E-2</v>
      </c>
      <c r="AB214" s="244">
        <f t="shared" si="545"/>
        <v>-0.1294632372664144</v>
      </c>
      <c r="AC214" s="244">
        <f t="shared" si="545"/>
        <v>4.4961461828447513E-2</v>
      </c>
      <c r="AD214" s="244">
        <f t="shared" si="545"/>
        <v>0.18298942248174543</v>
      </c>
      <c r="AE214" s="244">
        <f t="shared" si="545"/>
        <v>-2.6037620748358359E-2</v>
      </c>
      <c r="AF214" s="244">
        <f t="shared" si="545"/>
        <v>-8.6788014613614295E-2</v>
      </c>
      <c r="AG214" s="244">
        <f t="shared" si="545"/>
        <v>-3.6605534026115216E-2</v>
      </c>
      <c r="AH214" s="244">
        <f t="shared" si="545"/>
        <v>-1.7341040462427793E-2</v>
      </c>
      <c r="AI214" s="244">
        <f t="shared" si="545"/>
        <v>-4.7559569561875237E-2</v>
      </c>
      <c r="AJ214" s="366">
        <f t="shared" ref="AJ214" si="546">AJ213/AI213-1</f>
        <v>0.31376576213053542</v>
      </c>
      <c r="AK214" s="166">
        <f>AK213/AI213-1</f>
        <v>4.9694340764651956E-2</v>
      </c>
    </row>
    <row r="215" spans="1:47">
      <c r="B215" s="32" t="s">
        <v>79</v>
      </c>
      <c r="C215" s="372">
        <v>0.30819999999999997</v>
      </c>
      <c r="D215" s="373">
        <f>C215+D216</f>
        <v>0.3125</v>
      </c>
      <c r="E215" s="137">
        <v>0.311</v>
      </c>
      <c r="F215" s="137">
        <v>0.318</v>
      </c>
      <c r="G215" s="137">
        <v>0.32200000000000001</v>
      </c>
      <c r="H215" s="137">
        <v>0.315</v>
      </c>
      <c r="I215" s="137">
        <v>0.316</v>
      </c>
      <c r="J215" s="137">
        <v>0.30199999999999999</v>
      </c>
      <c r="K215" s="137">
        <v>0.29499999999999998</v>
      </c>
      <c r="L215" s="254">
        <f>K215+L216</f>
        <v>0.3</v>
      </c>
      <c r="M215" s="254">
        <f t="shared" ref="M215" si="547">L215+M216</f>
        <v>0.30499999999999999</v>
      </c>
      <c r="N215" s="254">
        <f t="shared" ref="N215" si="548">M215+N216</f>
        <v>0.31</v>
      </c>
      <c r="O215" s="254">
        <f t="shared" ref="O215" si="549">N215+O216</f>
        <v>0.315</v>
      </c>
      <c r="P215" s="254">
        <f t="shared" ref="P215" si="550">O215+P216</f>
        <v>0.32</v>
      </c>
      <c r="Q215" s="200"/>
      <c r="R215" s="372">
        <v>0.31519999999999998</v>
      </c>
      <c r="S215" s="374">
        <f>S213/S207</f>
        <v>0.28777530529172318</v>
      </c>
      <c r="T215" s="372">
        <f>R215+T216</f>
        <v>0.31219999999999998</v>
      </c>
      <c r="U215" s="374">
        <f>U213/U207</f>
        <v>0.31289967298888166</v>
      </c>
      <c r="V215" s="372">
        <f>T215+V216</f>
        <v>0.30640000000000001</v>
      </c>
      <c r="W215" s="374">
        <f>W213/W207</f>
        <v>0.31663810082063304</v>
      </c>
      <c r="X215" s="137">
        <v>0.32600000000000001</v>
      </c>
      <c r="Y215" s="374">
        <f>Y213/Y207</f>
        <v>0.30921512519161981</v>
      </c>
      <c r="Z215" s="373">
        <v>0.32500000000000001</v>
      </c>
      <c r="AA215" s="374">
        <f>AA213/AA207</f>
        <v>0.31813236763236769</v>
      </c>
      <c r="AB215" s="137">
        <v>0.311</v>
      </c>
      <c r="AC215" s="374">
        <f>AC213/AC207</f>
        <v>0.31950888142102746</v>
      </c>
      <c r="AD215" s="137">
        <v>0.31900000000000001</v>
      </c>
      <c r="AE215" s="374">
        <f>AE213/AE207</f>
        <v>0.31208858931150696</v>
      </c>
      <c r="AF215" s="137">
        <v>0.30399999999999999</v>
      </c>
      <c r="AG215" s="374">
        <f>AG213/AG207</f>
        <v>0.29951079136690645</v>
      </c>
      <c r="AH215" s="137">
        <v>0.3</v>
      </c>
      <c r="AI215" s="374">
        <f>AI213/AI207</f>
        <v>0.28872815533980589</v>
      </c>
      <c r="AJ215" s="254">
        <f>AH215+AJ216</f>
        <v>0.3</v>
      </c>
      <c r="AK215" s="151">
        <f>AK213/AK207</f>
        <v>0.3</v>
      </c>
    </row>
    <row r="216" spans="1:47">
      <c r="B216" s="32" t="s">
        <v>268</v>
      </c>
      <c r="C216" s="113">
        <v>-8.6999999999999994E-3</v>
      </c>
      <c r="D216" s="113">
        <v>4.3E-3</v>
      </c>
      <c r="E216" s="113">
        <v>-4.8999999999999998E-3</v>
      </c>
      <c r="F216" s="113">
        <v>6.0000000000000001E-3</v>
      </c>
      <c r="G216" s="113">
        <v>1.7999999999999999E-2</v>
      </c>
      <c r="H216" s="113">
        <v>-2.8E-3</v>
      </c>
      <c r="I216" s="113">
        <v>8.9999999999999998E-4</v>
      </c>
      <c r="J216" s="113">
        <v>-1.3299999999999999E-2</v>
      </c>
      <c r="K216" s="113">
        <v>-7.0000000000000001E-3</v>
      </c>
      <c r="L216" s="160">
        <v>5.0000000000000001E-3</v>
      </c>
      <c r="M216" s="160">
        <v>5.0000000000000001E-3</v>
      </c>
      <c r="N216" s="160">
        <v>5.0000000000000001E-3</v>
      </c>
      <c r="O216" s="160">
        <v>5.0000000000000001E-3</v>
      </c>
      <c r="P216" s="160">
        <v>5.0000000000000001E-3</v>
      </c>
      <c r="Q216" s="274"/>
      <c r="R216" s="113">
        <v>-1.4999999999999999E-2</v>
      </c>
      <c r="S216" s="199"/>
      <c r="T216" s="113">
        <v>-3.0000000000000001E-3</v>
      </c>
      <c r="U216" s="261">
        <f>U215-S215</f>
        <v>2.5124367697158478E-2</v>
      </c>
      <c r="V216" s="113">
        <v>-5.7999999999999996E-3</v>
      </c>
      <c r="W216" s="261">
        <f>W215-U215</f>
        <v>3.7384278317513786E-3</v>
      </c>
      <c r="X216" s="113">
        <v>1.37E-2</v>
      </c>
      <c r="Y216" s="261">
        <f>Y215-W215</f>
        <v>-7.4229756290132287E-3</v>
      </c>
      <c r="Z216" s="113">
        <v>1.18E-2</v>
      </c>
      <c r="AA216" s="261">
        <f>AA215-Y215</f>
        <v>8.9172424407478745E-3</v>
      </c>
      <c r="AB216" s="113">
        <v>-8.3000000000000001E-3</v>
      </c>
      <c r="AC216" s="261">
        <f>AC215-AA215</f>
        <v>1.3765137886597723E-3</v>
      </c>
      <c r="AD216" s="113">
        <v>5.3E-3</v>
      </c>
      <c r="AE216" s="261">
        <f>AE215-AC215</f>
        <v>-7.4202921095204988E-3</v>
      </c>
      <c r="AF216" s="113">
        <v>-1.8E-3</v>
      </c>
      <c r="AG216" s="261">
        <f>AG215-AE215</f>
        <v>-1.2577797944600511E-2</v>
      </c>
      <c r="AH216" s="113">
        <v>-4.1999999999999997E-3</v>
      </c>
      <c r="AI216" s="261">
        <f>AI215-AG215</f>
        <v>-1.0782636027100556E-2</v>
      </c>
      <c r="AJ216" s="255">
        <v>0</v>
      </c>
      <c r="AK216" s="254">
        <f>AK215-AI215</f>
        <v>1.1271844660194097E-2</v>
      </c>
    </row>
    <row r="217" spans="1:47">
      <c r="B217" s="32"/>
      <c r="C217" s="199"/>
      <c r="D217" s="199"/>
      <c r="E217" s="199"/>
      <c r="F217" s="199"/>
      <c r="G217" s="199"/>
      <c r="H217" s="199"/>
      <c r="I217" s="199"/>
      <c r="J217" s="199"/>
      <c r="K217" s="199"/>
      <c r="L217" s="200"/>
      <c r="M217" s="200"/>
      <c r="N217" s="200"/>
      <c r="O217" s="200"/>
      <c r="P217" s="200"/>
      <c r="Q217" s="200"/>
      <c r="R217" s="199"/>
      <c r="S217" s="199"/>
      <c r="T217" s="199"/>
      <c r="U217" s="199"/>
      <c r="V217" s="199"/>
      <c r="W217" s="199"/>
      <c r="X217" s="199"/>
      <c r="Y217" s="199"/>
      <c r="Z217" s="199"/>
      <c r="AA217" s="199"/>
      <c r="AB217" s="199"/>
      <c r="AC217" s="199"/>
      <c r="AD217" s="199"/>
      <c r="AE217" s="199"/>
      <c r="AF217" s="199"/>
      <c r="AG217" s="199"/>
      <c r="AH217" s="199"/>
      <c r="AI217" s="199"/>
      <c r="AJ217" s="200"/>
      <c r="AK217" s="200"/>
    </row>
    <row r="218" spans="1:47">
      <c r="B218" s="25" t="s">
        <v>43</v>
      </c>
      <c r="C218" s="228"/>
      <c r="D218" s="228"/>
      <c r="E218" s="270"/>
      <c r="F218" s="228"/>
      <c r="G218" s="215">
        <f t="shared" ref="G218:L218" si="551">G223-G213</f>
        <v>-1127.7260000000001</v>
      </c>
      <c r="H218" s="215">
        <f t="shared" si="551"/>
        <v>-1150.7650000000001</v>
      </c>
      <c r="I218" s="215">
        <f t="shared" si="551"/>
        <v>-1164.06</v>
      </c>
      <c r="J218" s="215">
        <f t="shared" si="551"/>
        <v>-1188.3599999999999</v>
      </c>
      <c r="K218" s="215">
        <f t="shared" si="551"/>
        <v>-1189.98</v>
      </c>
      <c r="L218" s="216">
        <f t="shared" si="551"/>
        <v>-1177.0672079999999</v>
      </c>
      <c r="M218" s="216">
        <f t="shared" ref="M218:P218" si="552">M223-M213</f>
        <v>-1224.5061117599998</v>
      </c>
      <c r="N218" s="216">
        <f t="shared" si="552"/>
        <v>-1273.3717447871998</v>
      </c>
      <c r="O218" s="216">
        <f t="shared" si="552"/>
        <v>-1323.7022006907837</v>
      </c>
      <c r="P218" s="216">
        <f t="shared" si="552"/>
        <v>-1375.5365261325962</v>
      </c>
      <c r="Q218" s="200"/>
      <c r="R218" s="228"/>
      <c r="S218" s="228"/>
      <c r="T218" s="228"/>
      <c r="U218" s="228"/>
      <c r="V218" s="228"/>
      <c r="W218" s="228"/>
      <c r="X218" s="228"/>
      <c r="Y218" s="228"/>
      <c r="Z218" s="228"/>
      <c r="AA218" s="228"/>
      <c r="AB218" s="215">
        <f t="shared" ref="AB218:AI218" si="553">AB223-AB213</f>
        <v>-608.22799999999995</v>
      </c>
      <c r="AC218" s="215">
        <f t="shared" si="553"/>
        <v>-542.53700000000015</v>
      </c>
      <c r="AD218" s="215">
        <f t="shared" si="553"/>
        <v>-624.85199999999998</v>
      </c>
      <c r="AE218" s="215">
        <f t="shared" si="553"/>
        <v>-539.20799999999997</v>
      </c>
      <c r="AF218" s="215">
        <f t="shared" si="553"/>
        <v>-625.88</v>
      </c>
      <c r="AG218" s="215">
        <f t="shared" si="553"/>
        <v>-562.4799999999999</v>
      </c>
      <c r="AH218" s="215">
        <f t="shared" si="553"/>
        <v>-635.19999999999993</v>
      </c>
      <c r="AI218" s="215">
        <f t="shared" si="553"/>
        <v>-554.78000000000009</v>
      </c>
      <c r="AJ218" s="216">
        <f>AJ223-AJ213</f>
        <v>-642.13488000000007</v>
      </c>
      <c r="AK218" s="216">
        <f>L218-AJ218</f>
        <v>-534.93232799999987</v>
      </c>
    </row>
    <row r="219" spans="1:47">
      <c r="B219" s="32" t="s">
        <v>265</v>
      </c>
      <c r="C219" s="199"/>
      <c r="D219" s="199"/>
      <c r="E219" s="199"/>
      <c r="F219" s="199"/>
      <c r="G219" s="244"/>
      <c r="H219" s="244">
        <f>H218/G218-1</f>
        <v>2.0429607901210067E-2</v>
      </c>
      <c r="I219" s="244">
        <f>I218/H218-1</f>
        <v>1.1553184186171572E-2</v>
      </c>
      <c r="J219" s="244">
        <f>J218/I218-1</f>
        <v>2.0875212617906147E-2</v>
      </c>
      <c r="K219" s="279">
        <f>K218/J218-1</f>
        <v>1.3632232656770604E-3</v>
      </c>
      <c r="L219" s="274">
        <f t="shared" ref="L219:P219" si="554">L218/K218-1</f>
        <v>-1.0851268088539423E-2</v>
      </c>
      <c r="M219" s="274">
        <f t="shared" si="554"/>
        <v>4.030262965239273E-2</v>
      </c>
      <c r="N219" s="274">
        <f t="shared" si="554"/>
        <v>3.9906401901877553E-2</v>
      </c>
      <c r="O219" s="274">
        <f t="shared" si="554"/>
        <v>3.9525343725916429E-2</v>
      </c>
      <c r="P219" s="274">
        <f t="shared" si="554"/>
        <v>3.9158600336814731E-2</v>
      </c>
      <c r="Q219" s="200"/>
      <c r="R219" s="199"/>
      <c r="S219" s="199"/>
      <c r="T219" s="199"/>
      <c r="U219" s="199"/>
      <c r="V219" s="199"/>
      <c r="W219" s="199"/>
      <c r="X219" s="199"/>
      <c r="Y219" s="199"/>
      <c r="Z219" s="199"/>
      <c r="AA219" s="199"/>
      <c r="AB219" s="244"/>
      <c r="AC219" s="244"/>
      <c r="AD219" s="244">
        <f t="shared" ref="AD219:AI219" si="555">AD218/AB218-1</f>
        <v>2.7331855817226414E-2</v>
      </c>
      <c r="AE219" s="244">
        <f t="shared" si="555"/>
        <v>-6.1359870386723525E-3</v>
      </c>
      <c r="AF219" s="244">
        <f t="shared" si="555"/>
        <v>1.6451895808928807E-3</v>
      </c>
      <c r="AG219" s="244">
        <f t="shared" si="555"/>
        <v>4.3159597038619379E-2</v>
      </c>
      <c r="AH219" s="244">
        <f t="shared" si="555"/>
        <v>1.4891033424937694E-2</v>
      </c>
      <c r="AI219" s="244">
        <f t="shared" si="555"/>
        <v>-1.3689375622244038E-2</v>
      </c>
      <c r="AJ219" s="166">
        <f t="shared" ref="AJ219" si="556">AJ218/AH218-1</f>
        <v>1.0917632241813857E-2</v>
      </c>
      <c r="AK219" s="166">
        <f t="shared" ref="AK219" si="557">AK218/AI218-1</f>
        <v>-3.577575255056098E-2</v>
      </c>
    </row>
    <row r="220" spans="1:47">
      <c r="B220" s="32" t="s">
        <v>269</v>
      </c>
      <c r="C220" s="199"/>
      <c r="D220" s="199"/>
      <c r="E220" s="199"/>
      <c r="F220" s="199"/>
      <c r="G220" s="244">
        <f>G218/G207</f>
        <v>-0.2460672048876282</v>
      </c>
      <c r="H220" s="244">
        <f>H218/H207</f>
        <v>-0.25970774091627175</v>
      </c>
      <c r="I220" s="244">
        <f>I218/I207</f>
        <v>-0.24327272727272725</v>
      </c>
      <c r="J220" s="244">
        <f>J218/J207</f>
        <v>-0.25392307692307692</v>
      </c>
      <c r="K220" s="244">
        <f>K218/K207</f>
        <v>-0.25624031007751941</v>
      </c>
      <c r="L220" s="166">
        <f t="shared" ref="L220:P220" si="558">L218/L207</f>
        <v>-0.25119898689571635</v>
      </c>
      <c r="M220" s="166">
        <f t="shared" si="558"/>
        <v>-0.25619898689571635</v>
      </c>
      <c r="N220" s="166">
        <f t="shared" si="558"/>
        <v>-0.26119898689571636</v>
      </c>
      <c r="O220" s="166">
        <f t="shared" si="558"/>
        <v>-0.26619898689571631</v>
      </c>
      <c r="P220" s="166">
        <f t="shared" si="558"/>
        <v>-0.27119898689571631</v>
      </c>
      <c r="Q220" s="200"/>
      <c r="R220" s="199"/>
      <c r="S220" s="199"/>
      <c r="T220" s="199"/>
      <c r="U220" s="199"/>
      <c r="V220" s="199"/>
      <c r="W220" s="199"/>
      <c r="X220" s="199"/>
      <c r="Y220" s="199"/>
      <c r="Z220" s="199"/>
      <c r="AA220" s="199"/>
      <c r="AB220" s="244">
        <f t="shared" ref="AB220:AK220" si="559">AB218/AB207</f>
        <v>-0.2590408858603066</v>
      </c>
      <c r="AC220" s="244">
        <f t="shared" si="559"/>
        <v>-0.26045943350936157</v>
      </c>
      <c r="AD220" s="244">
        <f t="shared" si="559"/>
        <v>-0.23074298375184638</v>
      </c>
      <c r="AE220" s="244">
        <f t="shared" si="559"/>
        <v>-0.25960905151661046</v>
      </c>
      <c r="AF220" s="244">
        <f t="shared" si="559"/>
        <v>-0.24118689788053949</v>
      </c>
      <c r="AG220" s="244">
        <f t="shared" si="559"/>
        <v>-0.26977458033573137</v>
      </c>
      <c r="AH220" s="244">
        <f t="shared" si="559"/>
        <v>-0.24582043343653248</v>
      </c>
      <c r="AI220" s="244">
        <f t="shared" si="559"/>
        <v>-0.26931067961165051</v>
      </c>
      <c r="AJ220" s="166">
        <f t="shared" si="559"/>
        <v>-0.24653195488721807</v>
      </c>
      <c r="AK220" s="166">
        <f t="shared" si="559"/>
        <v>-0.25704010332877814</v>
      </c>
    </row>
    <row r="221" spans="1:47">
      <c r="B221" s="32" t="s">
        <v>268</v>
      </c>
      <c r="C221" s="199"/>
      <c r="D221" s="199"/>
      <c r="E221" s="199"/>
      <c r="F221" s="199"/>
      <c r="G221" s="244"/>
      <c r="H221" s="244">
        <f>H220-G220</f>
        <v>-1.3640536028643541E-2</v>
      </c>
      <c r="I221" s="244">
        <f>I220-H220</f>
        <v>1.6435013643544494E-2</v>
      </c>
      <c r="J221" s="244">
        <f>J220-I220</f>
        <v>-1.0650349650349666E-2</v>
      </c>
      <c r="K221" s="244">
        <f>K220-J220</f>
        <v>-2.3172331544424885E-3</v>
      </c>
      <c r="L221" s="274">
        <f t="shared" ref="L221" si="560">L220/K220-1</f>
        <v>-1.9674200285965671E-2</v>
      </c>
      <c r="M221" s="274">
        <f t="shared" ref="M221" si="561">M220/L220-1</f>
        <v>1.990453887489485E-2</v>
      </c>
      <c r="N221" s="274">
        <f t="shared" ref="N221" si="562">N220/M220-1</f>
        <v>1.9516080295958416E-2</v>
      </c>
      <c r="O221" s="274">
        <f t="shared" ref="O221" si="563">O220/N220-1</f>
        <v>1.9142493848937514E-2</v>
      </c>
      <c r="P221" s="274">
        <f t="shared" ref="P221" si="564">P220/O220-1</f>
        <v>1.8782941506681139E-2</v>
      </c>
      <c r="Q221" s="200"/>
      <c r="R221" s="199"/>
      <c r="S221" s="199"/>
      <c r="T221" s="199"/>
      <c r="U221" s="199"/>
      <c r="V221" s="199"/>
      <c r="W221" s="199"/>
      <c r="X221" s="199"/>
      <c r="Y221" s="199"/>
      <c r="Z221" s="199"/>
      <c r="AA221" s="199"/>
      <c r="AB221" s="244"/>
      <c r="AC221" s="244"/>
      <c r="AD221" s="244">
        <f t="shared" ref="AD221:AI221" si="565">AD220-AB220</f>
        <v>2.8297902108460227E-2</v>
      </c>
      <c r="AE221" s="244">
        <f t="shared" si="565"/>
        <v>8.503819927511147E-4</v>
      </c>
      <c r="AF221" s="244">
        <f t="shared" si="565"/>
        <v>-1.044391412869311E-2</v>
      </c>
      <c r="AG221" s="244">
        <f t="shared" si="565"/>
        <v>-1.0165528819120917E-2</v>
      </c>
      <c r="AH221" s="244">
        <f t="shared" si="565"/>
        <v>-4.6335355559929958E-3</v>
      </c>
      <c r="AI221" s="244">
        <f t="shared" si="565"/>
        <v>4.6390072408086791E-4</v>
      </c>
      <c r="AJ221" s="274">
        <f t="shared" ref="AJ221" si="566">AJ220/AI220-1</f>
        <v>-8.4581587173890194E-2</v>
      </c>
      <c r="AK221" s="274">
        <f t="shared" ref="AK221" si="567">AK220/AJ220-1</f>
        <v>4.2623879920018037E-2</v>
      </c>
    </row>
    <row r="222" spans="1:47">
      <c r="B222" s="32"/>
      <c r="C222" s="199"/>
      <c r="D222" s="199"/>
      <c r="E222" s="199"/>
      <c r="F222" s="199"/>
      <c r="G222" s="199"/>
      <c r="H222" s="199"/>
      <c r="I222" s="199"/>
      <c r="J222" s="199"/>
      <c r="K222" s="199"/>
      <c r="L222" s="200"/>
      <c r="M222" s="200"/>
      <c r="N222" s="200"/>
      <c r="O222" s="200"/>
      <c r="P222" s="200"/>
      <c r="Q222" s="200"/>
      <c r="R222" s="199"/>
      <c r="S222" s="199"/>
      <c r="T222" s="199"/>
      <c r="U222" s="199"/>
      <c r="V222" s="199"/>
      <c r="W222" s="199"/>
      <c r="X222" s="199"/>
      <c r="Y222" s="199"/>
      <c r="Z222" s="199"/>
      <c r="AA222" s="199"/>
      <c r="AB222" s="199"/>
      <c r="AC222" s="199"/>
      <c r="AD222" s="199"/>
      <c r="AE222" s="199"/>
      <c r="AF222" s="199"/>
      <c r="AG222" s="199"/>
      <c r="AH222" s="199"/>
      <c r="AI222" s="199"/>
      <c r="AJ222" s="200"/>
      <c r="AK222" s="200"/>
    </row>
    <row r="223" spans="1:47">
      <c r="B223" s="25" t="s">
        <v>44</v>
      </c>
      <c r="C223" s="199"/>
      <c r="D223" s="199"/>
      <c r="E223" s="199"/>
      <c r="F223" s="199"/>
      <c r="G223" s="79">
        <v>348</v>
      </c>
      <c r="H223" s="79">
        <v>245</v>
      </c>
      <c r="I223" s="79">
        <v>348</v>
      </c>
      <c r="J223" s="79">
        <v>225</v>
      </c>
      <c r="K223" s="79">
        <v>180</v>
      </c>
      <c r="L223" s="216">
        <f>L233-L228</f>
        <v>228.671592</v>
      </c>
      <c r="M223" s="216">
        <f t="shared" ref="M223:P223" si="568">M233-M228</f>
        <v>233.24502384000002</v>
      </c>
      <c r="N223" s="216">
        <f t="shared" si="568"/>
        <v>237.90992431680002</v>
      </c>
      <c r="O223" s="216">
        <f t="shared" si="568"/>
        <v>242.66812280313604</v>
      </c>
      <c r="P223" s="216">
        <f t="shared" si="568"/>
        <v>247.52148525919876</v>
      </c>
      <c r="Q223" s="200"/>
      <c r="R223" s="199"/>
      <c r="S223" s="199"/>
      <c r="T223" s="199"/>
      <c r="U223" s="199"/>
      <c r="V223" s="199"/>
      <c r="W223" s="199"/>
      <c r="X223" s="199"/>
      <c r="Y223" s="199"/>
      <c r="Z223" s="199"/>
      <c r="AA223" s="199"/>
      <c r="AB223" s="79">
        <v>122</v>
      </c>
      <c r="AC223" s="75">
        <f>H223-AB223</f>
        <v>123</v>
      </c>
      <c r="AD223" s="79">
        <v>239</v>
      </c>
      <c r="AE223" s="75">
        <f>I223-AD223</f>
        <v>109</v>
      </c>
      <c r="AF223" s="79">
        <v>163</v>
      </c>
      <c r="AG223" s="75">
        <f>J223-AF223</f>
        <v>62</v>
      </c>
      <c r="AH223" s="79">
        <v>140</v>
      </c>
      <c r="AI223" s="75">
        <f>K223-AH223</f>
        <v>40</v>
      </c>
      <c r="AJ223" s="216">
        <f>AJ233-AJ228</f>
        <v>139.26671999999999</v>
      </c>
      <c r="AK223" s="216">
        <f>L223-AJ223</f>
        <v>89.404872000000012</v>
      </c>
    </row>
    <row r="224" spans="1:47">
      <c r="B224" s="32" t="s">
        <v>270</v>
      </c>
      <c r="C224" s="199"/>
      <c r="D224" s="199"/>
      <c r="E224" s="199"/>
      <c r="F224" s="199"/>
      <c r="G224" s="244"/>
      <c r="H224" s="244">
        <f>H223/G223-1</f>
        <v>-0.29597701149425293</v>
      </c>
      <c r="I224" s="244">
        <f>I223/H223-1</f>
        <v>0.42040816326530606</v>
      </c>
      <c r="J224" s="244">
        <f>J223/I223-1</f>
        <v>-0.35344827586206895</v>
      </c>
      <c r="K224" s="279">
        <f>K223/J223-1</f>
        <v>-0.19999999999999996</v>
      </c>
      <c r="L224" s="274">
        <f t="shared" ref="L224" si="569">L223/K223-1</f>
        <v>0.27039773333333339</v>
      </c>
      <c r="M224" s="274">
        <f t="shared" ref="M224" si="570">M223/L223-1</f>
        <v>2.0000000000000018E-2</v>
      </c>
      <c r="N224" s="274">
        <f t="shared" ref="N224" si="571">N223/M223-1</f>
        <v>2.0000000000000018E-2</v>
      </c>
      <c r="O224" s="274">
        <f t="shared" ref="O224" si="572">O223/N223-1</f>
        <v>2.0000000000000018E-2</v>
      </c>
      <c r="P224" s="274">
        <f t="shared" ref="P224" si="573">P223/O223-1</f>
        <v>2.0000000000000018E-2</v>
      </c>
      <c r="Q224" s="200"/>
      <c r="R224" s="199"/>
      <c r="S224" s="199"/>
      <c r="T224" s="199"/>
      <c r="U224" s="199"/>
      <c r="V224" s="199"/>
      <c r="W224" s="199"/>
      <c r="X224" s="199"/>
      <c r="Y224" s="199"/>
      <c r="Z224" s="199"/>
      <c r="AA224" s="199"/>
      <c r="AB224" s="244"/>
      <c r="AC224" s="244"/>
      <c r="AD224" s="244">
        <f t="shared" ref="AD224:AI224" si="574">AD223/AB223-1</f>
        <v>0.95901639344262302</v>
      </c>
      <c r="AE224" s="244">
        <f t="shared" si="574"/>
        <v>-0.11382113821138207</v>
      </c>
      <c r="AF224" s="244">
        <f t="shared" si="574"/>
        <v>-0.31799163179916323</v>
      </c>
      <c r="AG224" s="244">
        <f t="shared" si="574"/>
        <v>-0.43119266055045868</v>
      </c>
      <c r="AH224" s="244">
        <f t="shared" si="574"/>
        <v>-0.14110429447852757</v>
      </c>
      <c r="AI224" s="244">
        <f t="shared" si="574"/>
        <v>-0.35483870967741937</v>
      </c>
      <c r="AJ224" s="166">
        <f t="shared" ref="AJ224" si="575">AJ223/AH223-1</f>
        <v>-5.23771428571429E-3</v>
      </c>
      <c r="AK224" s="166">
        <f t="shared" ref="AK224" si="576">AK223/AI223-1</f>
        <v>1.2351218000000004</v>
      </c>
    </row>
    <row r="225" spans="1:37">
      <c r="B225" s="32" t="s">
        <v>271</v>
      </c>
      <c r="C225" s="261"/>
      <c r="D225" s="261"/>
      <c r="E225" s="261"/>
      <c r="F225" s="261"/>
      <c r="G225" s="256">
        <f>G223/G207</f>
        <v>7.5932795112371804E-2</v>
      </c>
      <c r="H225" s="256">
        <f>H223/H207</f>
        <v>5.5292259083728278E-2</v>
      </c>
      <c r="I225" s="256">
        <f>I223/I207</f>
        <v>7.2727272727272724E-2</v>
      </c>
      <c r="J225" s="256">
        <f>J223/J207</f>
        <v>4.807692307692308E-2</v>
      </c>
      <c r="K225" s="256">
        <f>K223/K207</f>
        <v>3.875968992248062E-2</v>
      </c>
      <c r="L225" s="257">
        <f t="shared" ref="L225:P225" si="577">L223/L207</f>
        <v>4.8801013104283676E-2</v>
      </c>
      <c r="M225" s="257">
        <f t="shared" si="577"/>
        <v>4.8801013104283683E-2</v>
      </c>
      <c r="N225" s="257">
        <f t="shared" si="577"/>
        <v>4.8801013104283683E-2</v>
      </c>
      <c r="O225" s="257">
        <f t="shared" si="577"/>
        <v>4.8801013104283683E-2</v>
      </c>
      <c r="P225" s="257">
        <f t="shared" si="577"/>
        <v>4.8801013104283683E-2</v>
      </c>
      <c r="Q225" s="200"/>
      <c r="R225" s="261"/>
      <c r="S225" s="261"/>
      <c r="T225" s="261"/>
      <c r="U225" s="261"/>
      <c r="V225" s="261"/>
      <c r="W225" s="261"/>
      <c r="X225" s="261"/>
      <c r="Y225" s="261"/>
      <c r="Z225" s="261"/>
      <c r="AA225" s="261"/>
      <c r="AB225" s="256">
        <f t="shared" ref="AB225:AK225" si="578">AB223/AB207</f>
        <v>5.1959114139693355E-2</v>
      </c>
      <c r="AC225" s="256">
        <f t="shared" si="578"/>
        <v>5.9049447911665866E-2</v>
      </c>
      <c r="AD225" s="256">
        <f t="shared" si="578"/>
        <v>8.8257016248153616E-2</v>
      </c>
      <c r="AE225" s="256">
        <f t="shared" si="578"/>
        <v>5.2479537794896489E-2</v>
      </c>
      <c r="AF225" s="256">
        <f t="shared" si="578"/>
        <v>6.2813102119460507E-2</v>
      </c>
      <c r="AG225" s="256">
        <f t="shared" si="578"/>
        <v>2.9736211031175061E-2</v>
      </c>
      <c r="AH225" s="256">
        <f t="shared" si="578"/>
        <v>5.4179566563467493E-2</v>
      </c>
      <c r="AI225" s="256">
        <f t="shared" si="578"/>
        <v>1.9417475728155338E-2</v>
      </c>
      <c r="AJ225" s="257">
        <f t="shared" si="578"/>
        <v>5.3468045112781949E-2</v>
      </c>
      <c r="AK225" s="257">
        <f t="shared" si="578"/>
        <v>4.2959896671221916E-2</v>
      </c>
    </row>
    <row r="226" spans="1:37">
      <c r="B226" s="32" t="s">
        <v>268</v>
      </c>
      <c r="C226" s="199"/>
      <c r="D226" s="199"/>
      <c r="E226" s="199"/>
      <c r="F226" s="199"/>
      <c r="G226" s="244"/>
      <c r="H226" s="244">
        <f>H225-G225</f>
        <v>-2.0640536028643526E-2</v>
      </c>
      <c r="I226" s="244">
        <f>I225-H225</f>
        <v>1.7435013643544446E-2</v>
      </c>
      <c r="J226" s="244">
        <f>J225-I225</f>
        <v>-2.4650349650349644E-2</v>
      </c>
      <c r="K226" s="244">
        <f>K225-J225</f>
        <v>-9.31723315444246E-3</v>
      </c>
      <c r="L226" s="166">
        <f t="shared" ref="L226" si="579">L225-K225</f>
        <v>1.0041323181803057E-2</v>
      </c>
      <c r="M226" s="166">
        <f t="shared" ref="M226" si="580">M225-L225</f>
        <v>0</v>
      </c>
      <c r="N226" s="166">
        <f t="shared" ref="N226" si="581">N225-M225</f>
        <v>0</v>
      </c>
      <c r="O226" s="166">
        <f t="shared" ref="O226" si="582">O225-N225</f>
        <v>0</v>
      </c>
      <c r="P226" s="166">
        <f t="shared" ref="P226" si="583">P225-O225</f>
        <v>0</v>
      </c>
      <c r="Q226" s="200"/>
      <c r="R226" s="199"/>
      <c r="S226" s="199"/>
      <c r="T226" s="199"/>
      <c r="U226" s="199"/>
      <c r="V226" s="199"/>
      <c r="W226" s="199"/>
      <c r="X226" s="199"/>
      <c r="Y226" s="199"/>
      <c r="Z226" s="199"/>
      <c r="AA226" s="199"/>
      <c r="AB226" s="244"/>
      <c r="AC226" s="244"/>
      <c r="AD226" s="244">
        <f t="shared" ref="AD226:AI226" si="584">AD225-AB225</f>
        <v>3.6297902108460262E-2</v>
      </c>
      <c r="AE226" s="244">
        <f t="shared" si="584"/>
        <v>-6.5699101167693771E-3</v>
      </c>
      <c r="AF226" s="244">
        <f t="shared" si="584"/>
        <v>-2.544391412869311E-2</v>
      </c>
      <c r="AG226" s="244">
        <f t="shared" si="584"/>
        <v>-2.2743326763721428E-2</v>
      </c>
      <c r="AH226" s="244">
        <f t="shared" si="584"/>
        <v>-8.6335355559930133E-3</v>
      </c>
      <c r="AI226" s="244">
        <f t="shared" si="584"/>
        <v>-1.0318735303019723E-2</v>
      </c>
      <c r="AJ226" s="166">
        <f t="shared" ref="AJ226" si="585">AJ225-AH225</f>
        <v>-7.1152145068554412E-4</v>
      </c>
      <c r="AK226" s="166">
        <f t="shared" ref="AK226" si="586">AK225-AI225</f>
        <v>2.3542420943066578E-2</v>
      </c>
    </row>
    <row r="227" spans="1:37">
      <c r="B227" s="32"/>
      <c r="C227" s="199"/>
      <c r="D227" s="199"/>
      <c r="E227" s="199"/>
      <c r="F227" s="199"/>
      <c r="G227" s="199"/>
      <c r="H227" s="199"/>
      <c r="I227" s="199"/>
      <c r="J227" s="199"/>
      <c r="K227" s="199"/>
      <c r="L227" s="200"/>
      <c r="M227" s="200"/>
      <c r="N227" s="200"/>
      <c r="O227" s="200"/>
      <c r="P227" s="200"/>
      <c r="Q227" s="200"/>
      <c r="R227" s="199"/>
      <c r="S227" s="199"/>
      <c r="T227" s="199"/>
      <c r="U227" s="199"/>
      <c r="V227" s="199"/>
      <c r="W227" s="199"/>
      <c r="X227" s="199"/>
      <c r="Y227" s="199"/>
      <c r="Z227" s="199"/>
      <c r="AA227" s="199"/>
      <c r="AB227" s="199"/>
      <c r="AC227" s="199"/>
      <c r="AD227" s="199"/>
      <c r="AE227" s="199"/>
      <c r="AF227" s="199"/>
      <c r="AG227" s="199"/>
      <c r="AH227" s="199"/>
      <c r="AI227" s="199"/>
      <c r="AJ227" s="200"/>
      <c r="AK227" s="200"/>
    </row>
    <row r="228" spans="1:37">
      <c r="B228" s="25" t="s">
        <v>45</v>
      </c>
      <c r="C228" s="228"/>
      <c r="D228" s="228"/>
      <c r="E228" s="228"/>
      <c r="F228" s="228"/>
      <c r="G228" s="79">
        <v>-176</v>
      </c>
      <c r="H228" s="79">
        <v>-190</v>
      </c>
      <c r="I228" s="79">
        <v>-203</v>
      </c>
      <c r="J228" s="79">
        <v>-211</v>
      </c>
      <c r="K228" s="79">
        <v>-215</v>
      </c>
      <c r="L228" s="216">
        <f>K228*(1+L229)</f>
        <v>-219.3</v>
      </c>
      <c r="M228" s="216">
        <f t="shared" ref="M228" si="587">L228*(1+M229)</f>
        <v>-223.68600000000001</v>
      </c>
      <c r="N228" s="216">
        <f t="shared" ref="N228" si="588">M228*(1+N229)</f>
        <v>-228.15972000000002</v>
      </c>
      <c r="O228" s="216">
        <f t="shared" ref="O228" si="589">N228*(1+O229)</f>
        <v>-232.72291440000004</v>
      </c>
      <c r="P228" s="216">
        <f t="shared" ref="P228" si="590">O228*(1+P229)</f>
        <v>-237.37737268800004</v>
      </c>
      <c r="Q228" s="200"/>
      <c r="R228" s="228"/>
      <c r="S228" s="228"/>
      <c r="T228" s="228"/>
      <c r="U228" s="228"/>
      <c r="V228" s="228"/>
      <c r="W228" s="228"/>
      <c r="X228" s="228"/>
      <c r="Y228" s="228"/>
      <c r="Z228" s="228"/>
      <c r="AA228" s="228"/>
      <c r="AB228" s="79">
        <v>-97</v>
      </c>
      <c r="AC228" s="75">
        <f>H228-AB228</f>
        <v>-93</v>
      </c>
      <c r="AD228" s="79">
        <v>-105</v>
      </c>
      <c r="AE228" s="75">
        <f>I228-AD228</f>
        <v>-98</v>
      </c>
      <c r="AF228" s="79">
        <v>-109</v>
      </c>
      <c r="AG228" s="75">
        <f>J228-AF228</f>
        <v>-102</v>
      </c>
      <c r="AH228" s="79">
        <v>-111</v>
      </c>
      <c r="AI228" s="75">
        <f>K228-AH228</f>
        <v>-104</v>
      </c>
      <c r="AJ228" s="216">
        <f>AH228*(1+AJ229)</f>
        <v>-113.22</v>
      </c>
      <c r="AK228" s="216">
        <f>L228-AJ228</f>
        <v>-106.08000000000001</v>
      </c>
    </row>
    <row r="229" spans="1:37">
      <c r="B229" s="32" t="s">
        <v>265</v>
      </c>
      <c r="C229" s="199"/>
      <c r="D229" s="199"/>
      <c r="E229" s="199"/>
      <c r="F229" s="199"/>
      <c r="G229" s="244"/>
      <c r="H229" s="244">
        <f>H228/G228-1</f>
        <v>7.9545454545454586E-2</v>
      </c>
      <c r="I229" s="244">
        <f>I228/H228-1</f>
        <v>6.8421052631578938E-2</v>
      </c>
      <c r="J229" s="244">
        <f>J228/I228-1</f>
        <v>3.9408866995073843E-2</v>
      </c>
      <c r="K229" s="279">
        <f>K228/J228-1</f>
        <v>1.8957345971563955E-2</v>
      </c>
      <c r="L229" s="160">
        <v>0.02</v>
      </c>
      <c r="M229" s="160">
        <v>0.02</v>
      </c>
      <c r="N229" s="160">
        <v>0.02</v>
      </c>
      <c r="O229" s="160">
        <v>0.02</v>
      </c>
      <c r="P229" s="160">
        <v>0.02</v>
      </c>
      <c r="Q229" s="200"/>
      <c r="R229" s="199"/>
      <c r="S229" s="199"/>
      <c r="T229" s="199"/>
      <c r="U229" s="199"/>
      <c r="V229" s="199"/>
      <c r="W229" s="199"/>
      <c r="X229" s="199"/>
      <c r="Y229" s="199"/>
      <c r="Z229" s="199"/>
      <c r="AA229" s="199"/>
      <c r="AB229" s="244"/>
      <c r="AC229" s="244"/>
      <c r="AD229" s="244">
        <f t="shared" ref="AD229:AI229" si="591">AD228/AB228-1</f>
        <v>8.247422680412364E-2</v>
      </c>
      <c r="AE229" s="244">
        <f t="shared" si="591"/>
        <v>5.3763440860215006E-2</v>
      </c>
      <c r="AF229" s="244">
        <f t="shared" si="591"/>
        <v>3.8095238095238182E-2</v>
      </c>
      <c r="AG229" s="244">
        <f t="shared" si="591"/>
        <v>4.081632653061229E-2</v>
      </c>
      <c r="AH229" s="244">
        <f t="shared" si="591"/>
        <v>1.8348623853210899E-2</v>
      </c>
      <c r="AI229" s="244">
        <f t="shared" si="591"/>
        <v>1.9607843137254832E-2</v>
      </c>
      <c r="AJ229" s="160">
        <v>0.02</v>
      </c>
      <c r="AK229" s="166">
        <f>AK228/AI228-1</f>
        <v>2.0000000000000018E-2</v>
      </c>
    </row>
    <row r="230" spans="1:37">
      <c r="B230" s="32" t="s">
        <v>269</v>
      </c>
      <c r="C230" s="199"/>
      <c r="D230" s="199"/>
      <c r="E230" s="199"/>
      <c r="F230" s="199"/>
      <c r="G230" s="244">
        <f>G228/G207</f>
        <v>-3.840279293039494E-2</v>
      </c>
      <c r="H230" s="244">
        <f>H228/H207</f>
        <v>-4.2879711126156621E-2</v>
      </c>
      <c r="I230" s="244">
        <f>I228/I207</f>
        <v>-4.2424242424242427E-2</v>
      </c>
      <c r="J230" s="244">
        <f>J228/J207</f>
        <v>-4.5085470085470085E-2</v>
      </c>
      <c r="K230" s="244">
        <f>K228/K207</f>
        <v>-4.6296296296296294E-2</v>
      </c>
      <c r="L230" s="166">
        <f t="shared" ref="L230:P230" si="592">L228/L207</f>
        <v>-4.6801013104283681E-2</v>
      </c>
      <c r="M230" s="166">
        <f t="shared" si="592"/>
        <v>-4.6801013104283681E-2</v>
      </c>
      <c r="N230" s="166">
        <f t="shared" si="592"/>
        <v>-4.6801013104283681E-2</v>
      </c>
      <c r="O230" s="166">
        <f t="shared" si="592"/>
        <v>-4.6801013104283681E-2</v>
      </c>
      <c r="P230" s="166">
        <f t="shared" si="592"/>
        <v>-4.6801013104283681E-2</v>
      </c>
      <c r="Q230" s="200"/>
      <c r="R230" s="199"/>
      <c r="S230" s="199"/>
      <c r="T230" s="199"/>
      <c r="U230" s="199"/>
      <c r="V230" s="199"/>
      <c r="W230" s="199"/>
      <c r="X230" s="199"/>
      <c r="Y230" s="199"/>
      <c r="Z230" s="199"/>
      <c r="AA230" s="199"/>
      <c r="AB230" s="244">
        <f t="shared" ref="AB230:AK230" si="593">AB228/AB207</f>
        <v>-4.1311754684838158E-2</v>
      </c>
      <c r="AC230" s="244">
        <f t="shared" si="593"/>
        <v>-4.4647143542966873E-2</v>
      </c>
      <c r="AD230" s="244">
        <f t="shared" si="593"/>
        <v>-3.8774002954209748E-2</v>
      </c>
      <c r="AE230" s="244">
        <f t="shared" si="593"/>
        <v>-4.7183437650457391E-2</v>
      </c>
      <c r="AF230" s="244">
        <f t="shared" si="593"/>
        <v>-4.2003853564547208E-2</v>
      </c>
      <c r="AG230" s="244">
        <f t="shared" si="593"/>
        <v>-4.8920863309352518E-2</v>
      </c>
      <c r="AH230" s="244">
        <f t="shared" si="593"/>
        <v>-4.2956656346749229E-2</v>
      </c>
      <c r="AI230" s="244">
        <f t="shared" si="593"/>
        <v>-5.0485436893203881E-2</v>
      </c>
      <c r="AJ230" s="166">
        <f t="shared" si="593"/>
        <v>-4.3468045112781954E-2</v>
      </c>
      <c r="AK230" s="166">
        <f t="shared" si="593"/>
        <v>-5.0972455269364079E-2</v>
      </c>
    </row>
    <row r="231" spans="1:37">
      <c r="B231" s="32" t="s">
        <v>268</v>
      </c>
      <c r="C231" s="199"/>
      <c r="D231" s="199"/>
      <c r="E231" s="199"/>
      <c r="F231" s="199"/>
      <c r="G231" s="244"/>
      <c r="H231" s="244">
        <f>H230-G230</f>
        <v>-4.476918195761681E-3</v>
      </c>
      <c r="I231" s="244">
        <f>I230-H230</f>
        <v>4.5546870191419397E-4</v>
      </c>
      <c r="J231" s="244">
        <f>J230-I230</f>
        <v>-2.6612276612276581E-3</v>
      </c>
      <c r="K231" s="244">
        <f>K230-J230</f>
        <v>-1.2108262108262088E-3</v>
      </c>
      <c r="L231" s="166">
        <f t="shared" ref="L231" si="594">L230-K230</f>
        <v>-5.0471680798738761E-4</v>
      </c>
      <c r="M231" s="166">
        <f t="shared" ref="M231" si="595">M230-L230</f>
        <v>0</v>
      </c>
      <c r="N231" s="166">
        <f t="shared" ref="N231" si="596">N230-M230</f>
        <v>0</v>
      </c>
      <c r="O231" s="166">
        <f t="shared" ref="O231" si="597">O230-N230</f>
        <v>0</v>
      </c>
      <c r="P231" s="166">
        <f t="shared" ref="P231" si="598">P230-O230</f>
        <v>0</v>
      </c>
      <c r="Q231" s="200"/>
      <c r="R231" s="199"/>
      <c r="S231" s="199"/>
      <c r="T231" s="199"/>
      <c r="U231" s="199"/>
      <c r="V231" s="199"/>
      <c r="W231" s="199"/>
      <c r="X231" s="199"/>
      <c r="Y231" s="199"/>
      <c r="Z231" s="199"/>
      <c r="AA231" s="199"/>
      <c r="AB231" s="244"/>
      <c r="AC231" s="244"/>
      <c r="AD231" s="244">
        <f t="shared" ref="AD231:AI231" si="599">AD230-AB230</f>
        <v>2.5377517306284098E-3</v>
      </c>
      <c r="AE231" s="244">
        <f t="shared" si="599"/>
        <v>-2.5362941074905179E-3</v>
      </c>
      <c r="AF231" s="244">
        <f t="shared" si="599"/>
        <v>-3.2298506103374605E-3</v>
      </c>
      <c r="AG231" s="244">
        <f t="shared" si="599"/>
        <v>-1.7374256588951267E-3</v>
      </c>
      <c r="AH231" s="244">
        <f t="shared" si="599"/>
        <v>-9.5280278220202103E-4</v>
      </c>
      <c r="AI231" s="244">
        <f t="shared" si="599"/>
        <v>-1.5645735838513627E-3</v>
      </c>
      <c r="AJ231" s="166">
        <f t="shared" ref="AJ231" si="600">AJ230-AH230</f>
        <v>-5.1138876603272487E-4</v>
      </c>
      <c r="AK231" s="166">
        <f t="shared" ref="AK231" si="601">AK230-AI230</f>
        <v>-4.87018376160199E-4</v>
      </c>
    </row>
    <row r="232" spans="1:37">
      <c r="B232" s="32"/>
      <c r="C232" s="199"/>
      <c r="D232" s="199"/>
      <c r="E232" s="199"/>
      <c r="F232" s="199"/>
      <c r="G232" s="199"/>
      <c r="H232" s="199"/>
      <c r="I232" s="199"/>
      <c r="J232" s="199"/>
      <c r="K232" s="199"/>
      <c r="L232" s="200"/>
      <c r="M232" s="200"/>
      <c r="N232" s="200"/>
      <c r="O232" s="200"/>
      <c r="P232" s="200"/>
      <c r="Q232" s="200"/>
      <c r="R232" s="199"/>
      <c r="S232" s="199"/>
      <c r="T232" s="199"/>
      <c r="U232" s="199"/>
      <c r="V232" s="199"/>
      <c r="W232" s="199"/>
      <c r="X232" s="199"/>
      <c r="Y232" s="199"/>
      <c r="Z232" s="199"/>
      <c r="AA232" s="199"/>
      <c r="AB232" s="199"/>
      <c r="AC232" s="199"/>
      <c r="AD232" s="199"/>
      <c r="AE232" s="199"/>
      <c r="AF232" s="199"/>
      <c r="AG232" s="199"/>
      <c r="AH232" s="199"/>
      <c r="AI232" s="199"/>
      <c r="AJ232" s="200"/>
      <c r="AK232" s="200"/>
    </row>
    <row r="233" spans="1:37">
      <c r="B233" s="25" t="s">
        <v>39</v>
      </c>
      <c r="C233" s="80">
        <v>-150.5</v>
      </c>
      <c r="D233" s="40">
        <v>-110</v>
      </c>
      <c r="E233" s="40">
        <v>-85</v>
      </c>
      <c r="F233" s="40">
        <v>39</v>
      </c>
      <c r="G233" s="40">
        <v>172</v>
      </c>
      <c r="H233" s="40">
        <v>55</v>
      </c>
      <c r="I233" s="40">
        <v>145</v>
      </c>
      <c r="J233" s="40">
        <v>14</v>
      </c>
      <c r="K233" s="40">
        <v>-35</v>
      </c>
      <c r="L233" s="216">
        <f>L207*L235</f>
        <v>9.3715919999999997</v>
      </c>
      <c r="M233" s="216">
        <f t="shared" ref="M233:P233" si="602">M207*M235</f>
        <v>9.5590238399999983</v>
      </c>
      <c r="N233" s="216">
        <f t="shared" si="602"/>
        <v>9.7502043167999979</v>
      </c>
      <c r="O233" s="216">
        <f t="shared" si="602"/>
        <v>9.9452084031360002</v>
      </c>
      <c r="P233" s="216">
        <f t="shared" si="602"/>
        <v>10.144112571198718</v>
      </c>
      <c r="Q233" s="200"/>
      <c r="R233" s="80">
        <v>8.1</v>
      </c>
      <c r="S233" s="39">
        <f>C233-R233</f>
        <v>-158.6</v>
      </c>
      <c r="T233" s="80">
        <v>-10</v>
      </c>
      <c r="U233" s="39">
        <f>D233-T233</f>
        <v>-100</v>
      </c>
      <c r="V233" s="40">
        <v>-8</v>
      </c>
      <c r="W233" s="39">
        <f>E233-V233</f>
        <v>-77</v>
      </c>
      <c r="X233" s="40">
        <v>50</v>
      </c>
      <c r="Y233" s="39">
        <f>F233-X233</f>
        <v>-11</v>
      </c>
      <c r="Z233" s="40">
        <v>133</v>
      </c>
      <c r="AA233" s="39">
        <f>G233-Z233</f>
        <v>39</v>
      </c>
      <c r="AB233" s="40">
        <v>25</v>
      </c>
      <c r="AC233" s="39">
        <f>H233-AB233</f>
        <v>30</v>
      </c>
      <c r="AD233" s="40">
        <v>134</v>
      </c>
      <c r="AE233" s="39">
        <f>I233-AD233</f>
        <v>11</v>
      </c>
      <c r="AF233" s="40">
        <v>54</v>
      </c>
      <c r="AG233" s="39">
        <f>J233-AF233</f>
        <v>-40</v>
      </c>
      <c r="AH233" s="40">
        <v>29</v>
      </c>
      <c r="AI233" s="39">
        <f>K233-AH233</f>
        <v>-64</v>
      </c>
      <c r="AJ233" s="216">
        <f>AJ207*AJ235</f>
        <v>26.046720000000001</v>
      </c>
      <c r="AK233" s="216">
        <f>L233-AJ233</f>
        <v>-16.675128000000001</v>
      </c>
    </row>
    <row r="234" spans="1:37">
      <c r="B234" s="32" t="s">
        <v>270</v>
      </c>
      <c r="C234" s="199"/>
      <c r="D234" s="244">
        <f t="shared" ref="D234:K234" si="603">D233/C233-1</f>
        <v>-0.26910299003322258</v>
      </c>
      <c r="E234" s="244">
        <f t="shared" si="603"/>
        <v>-0.22727272727272729</v>
      </c>
      <c r="F234" s="244">
        <f t="shared" si="603"/>
        <v>-1.4588235294117646</v>
      </c>
      <c r="G234" s="244">
        <f t="shared" si="603"/>
        <v>3.4102564102564106</v>
      </c>
      <c r="H234" s="244">
        <f t="shared" si="603"/>
        <v>-0.68023255813953487</v>
      </c>
      <c r="I234" s="244">
        <f t="shared" si="603"/>
        <v>1.6363636363636362</v>
      </c>
      <c r="J234" s="244">
        <f t="shared" si="603"/>
        <v>-0.90344827586206899</v>
      </c>
      <c r="K234" s="279">
        <f t="shared" si="603"/>
        <v>-3.5</v>
      </c>
      <c r="L234" s="274">
        <f t="shared" ref="L234" si="604">L233/K233-1</f>
        <v>-1.2677597714285715</v>
      </c>
      <c r="M234" s="274">
        <f t="shared" ref="M234" si="605">M233/L233-1</f>
        <v>1.9999999999999796E-2</v>
      </c>
      <c r="N234" s="274">
        <f t="shared" ref="N234" si="606">N233/M233-1</f>
        <v>2.0000000000000018E-2</v>
      </c>
      <c r="O234" s="274">
        <f t="shared" ref="O234" si="607">O233/N233-1</f>
        <v>2.000000000000024E-2</v>
      </c>
      <c r="P234" s="274">
        <f t="shared" ref="P234" si="608">P233/O233-1</f>
        <v>1.9999999999999796E-2</v>
      </c>
      <c r="Q234" s="200"/>
      <c r="R234" s="199"/>
      <c r="S234" s="199"/>
      <c r="T234" s="244">
        <f t="shared" ref="T234:AI234" si="609">T233/R233-1</f>
        <v>-2.2345679012345681</v>
      </c>
      <c r="U234" s="244">
        <f t="shared" si="609"/>
        <v>-0.36948297604035307</v>
      </c>
      <c r="V234" s="244">
        <f t="shared" si="609"/>
        <v>-0.19999999999999996</v>
      </c>
      <c r="W234" s="244">
        <f t="shared" si="609"/>
        <v>-0.22999999999999998</v>
      </c>
      <c r="X234" s="244">
        <f t="shared" si="609"/>
        <v>-7.25</v>
      </c>
      <c r="Y234" s="244">
        <f t="shared" si="609"/>
        <v>-0.85714285714285721</v>
      </c>
      <c r="Z234" s="244">
        <f t="shared" si="609"/>
        <v>1.6600000000000001</v>
      </c>
      <c r="AA234" s="244">
        <f t="shared" si="609"/>
        <v>-4.545454545454545</v>
      </c>
      <c r="AB234" s="244">
        <f t="shared" si="609"/>
        <v>-0.81203007518796988</v>
      </c>
      <c r="AC234" s="244">
        <f t="shared" si="609"/>
        <v>-0.23076923076923073</v>
      </c>
      <c r="AD234" s="244">
        <f t="shared" si="609"/>
        <v>4.3600000000000003</v>
      </c>
      <c r="AE234" s="244">
        <f t="shared" si="609"/>
        <v>-0.6333333333333333</v>
      </c>
      <c r="AF234" s="244">
        <f t="shared" si="609"/>
        <v>-0.59701492537313428</v>
      </c>
      <c r="AG234" s="244">
        <f t="shared" si="609"/>
        <v>-4.6363636363636367</v>
      </c>
      <c r="AH234" s="244">
        <f t="shared" si="609"/>
        <v>-0.46296296296296291</v>
      </c>
      <c r="AI234" s="244">
        <f t="shared" si="609"/>
        <v>0.60000000000000009</v>
      </c>
      <c r="AJ234" s="166">
        <f t="shared" ref="AJ234" si="610">AJ233/AH233-1</f>
        <v>-0.10183724137931027</v>
      </c>
      <c r="AK234" s="166">
        <f t="shared" ref="AK234" si="611">AK233/AI233-1</f>
        <v>-0.73945112499999999</v>
      </c>
    </row>
    <row r="235" spans="1:37">
      <c r="A235" s="6" t="s">
        <v>565</v>
      </c>
      <c r="B235" s="32" t="s">
        <v>259</v>
      </c>
      <c r="C235" s="256">
        <f t="shared" ref="C235:K235" si="612">C233/C207</f>
        <v>-4.2490118577075096E-2</v>
      </c>
      <c r="D235" s="256">
        <f t="shared" si="612"/>
        <v>-3.0846887268648347E-2</v>
      </c>
      <c r="E235" s="256">
        <f t="shared" si="612"/>
        <v>-2.2386094284961813E-2</v>
      </c>
      <c r="F235" s="256">
        <f t="shared" si="612"/>
        <v>9.4982951777886019E-3</v>
      </c>
      <c r="G235" s="256">
        <f t="shared" si="612"/>
        <v>3.7530002181976871E-2</v>
      </c>
      <c r="H235" s="256">
        <f t="shared" si="612"/>
        <v>1.2412547957571655E-2</v>
      </c>
      <c r="I235" s="256">
        <f t="shared" si="612"/>
        <v>3.0303030303030304E-2</v>
      </c>
      <c r="J235" s="256">
        <f t="shared" si="612"/>
        <v>2.9914529914529917E-3</v>
      </c>
      <c r="K235" s="256">
        <f t="shared" si="612"/>
        <v>-7.5366063738156758E-3</v>
      </c>
      <c r="L235" s="264">
        <v>2E-3</v>
      </c>
      <c r="M235" s="264">
        <v>2E-3</v>
      </c>
      <c r="N235" s="264">
        <v>2E-3</v>
      </c>
      <c r="O235" s="264">
        <v>2E-3</v>
      </c>
      <c r="P235" s="264">
        <v>2E-3</v>
      </c>
      <c r="Q235" s="200"/>
      <c r="R235" s="256">
        <f t="shared" ref="R235:AK235" si="613">R233/R207</f>
        <v>3.9506413695556747E-3</v>
      </c>
      <c r="S235" s="256">
        <f t="shared" si="613"/>
        <v>-0.10247463978807263</v>
      </c>
      <c r="T235" s="256">
        <f t="shared" si="613"/>
        <v>-4.9091801669121256E-3</v>
      </c>
      <c r="U235" s="256">
        <f t="shared" si="613"/>
        <v>-6.540222367560497E-2</v>
      </c>
      <c r="V235" s="256">
        <f t="shared" si="613"/>
        <v>-3.8259206121472981E-3</v>
      </c>
      <c r="W235" s="256">
        <f t="shared" si="613"/>
        <v>-4.5134818288393906E-2</v>
      </c>
      <c r="X235" s="256">
        <f t="shared" si="613"/>
        <v>2.3266635644485806E-2</v>
      </c>
      <c r="Y235" s="256">
        <f t="shared" si="613"/>
        <v>-5.620848237097598E-3</v>
      </c>
      <c r="Z235" s="256">
        <f t="shared" si="613"/>
        <v>5.1530414567996903E-2</v>
      </c>
      <c r="AA235" s="256">
        <f t="shared" si="613"/>
        <v>1.948051948051948E-2</v>
      </c>
      <c r="AB235" s="256">
        <f t="shared" si="613"/>
        <v>1.0647359454855196E-2</v>
      </c>
      <c r="AC235" s="256">
        <f t="shared" si="613"/>
        <v>1.4402304368698993E-2</v>
      </c>
      <c r="AD235" s="256">
        <f t="shared" si="613"/>
        <v>4.9483013293943869E-2</v>
      </c>
      <c r="AE235" s="256">
        <f t="shared" si="613"/>
        <v>5.296100144439095E-3</v>
      </c>
      <c r="AF235" s="256">
        <f t="shared" si="613"/>
        <v>2.0809248554913295E-2</v>
      </c>
      <c r="AG235" s="256">
        <f t="shared" si="613"/>
        <v>-1.9184652278177457E-2</v>
      </c>
      <c r="AH235" s="256">
        <f t="shared" si="613"/>
        <v>1.1222910216718266E-2</v>
      </c>
      <c r="AI235" s="256">
        <f t="shared" si="613"/>
        <v>-3.1067961165048542E-2</v>
      </c>
      <c r="AJ235" s="264">
        <v>0.01</v>
      </c>
      <c r="AK235" s="257">
        <f t="shared" si="613"/>
        <v>-8.0125585981421603E-3</v>
      </c>
    </row>
    <row r="236" spans="1:37">
      <c r="B236" s="32" t="s">
        <v>268</v>
      </c>
      <c r="C236" s="199"/>
      <c r="D236" s="244">
        <f t="shared" ref="D236:K236" si="614">D235-C235</f>
        <v>1.164323130842675E-2</v>
      </c>
      <c r="E236" s="244">
        <f t="shared" si="614"/>
        <v>8.4607929836865332E-3</v>
      </c>
      <c r="F236" s="244">
        <f t="shared" si="614"/>
        <v>3.1884389462750413E-2</v>
      </c>
      <c r="G236" s="244">
        <f t="shared" si="614"/>
        <v>2.8031707004188271E-2</v>
      </c>
      <c r="H236" s="244">
        <f t="shared" si="614"/>
        <v>-2.5117454224405214E-2</v>
      </c>
      <c r="I236" s="244">
        <f t="shared" si="614"/>
        <v>1.7890482345458647E-2</v>
      </c>
      <c r="J236" s="244">
        <f t="shared" si="614"/>
        <v>-2.7311577311577313E-2</v>
      </c>
      <c r="K236" s="244">
        <f t="shared" si="614"/>
        <v>-1.0528059365268667E-2</v>
      </c>
      <c r="L236" s="166">
        <f t="shared" ref="L236" si="615">L235-K235</f>
        <v>9.5366063738156759E-3</v>
      </c>
      <c r="M236" s="166">
        <f t="shared" ref="M236" si="616">M235-L235</f>
        <v>0</v>
      </c>
      <c r="N236" s="166">
        <f t="shared" ref="N236" si="617">N235-M235</f>
        <v>0</v>
      </c>
      <c r="O236" s="166">
        <f t="shared" ref="O236" si="618">O235-N235</f>
        <v>0</v>
      </c>
      <c r="P236" s="166">
        <f t="shared" ref="P236" si="619">P235-O235</f>
        <v>0</v>
      </c>
      <c r="Q236" s="200"/>
      <c r="R236" s="199"/>
      <c r="S236" s="199"/>
      <c r="T236" s="244">
        <f t="shared" ref="T236:AI236" si="620">T235-R235</f>
        <v>-8.8598215364678011E-3</v>
      </c>
      <c r="U236" s="244">
        <f t="shared" si="620"/>
        <v>3.7072416112467657E-2</v>
      </c>
      <c r="V236" s="244">
        <f t="shared" si="620"/>
        <v>1.0832595547648274E-3</v>
      </c>
      <c r="W236" s="244">
        <f t="shared" si="620"/>
        <v>2.0267405387211064E-2</v>
      </c>
      <c r="X236" s="244">
        <f t="shared" si="620"/>
        <v>2.7092556256633104E-2</v>
      </c>
      <c r="Y236" s="244">
        <f t="shared" si="620"/>
        <v>3.951397005129631E-2</v>
      </c>
      <c r="Z236" s="244">
        <f t="shared" si="620"/>
        <v>2.8263778923511097E-2</v>
      </c>
      <c r="AA236" s="244">
        <f t="shared" si="620"/>
        <v>2.5101367717617076E-2</v>
      </c>
      <c r="AB236" s="244">
        <f t="shared" si="620"/>
        <v>-4.0883055113141706E-2</v>
      </c>
      <c r="AC236" s="244">
        <f t="shared" si="620"/>
        <v>-5.0782151118204874E-3</v>
      </c>
      <c r="AD236" s="244">
        <f t="shared" si="620"/>
        <v>3.8835653839088671E-2</v>
      </c>
      <c r="AE236" s="244">
        <f t="shared" si="620"/>
        <v>-9.1062042242598985E-3</v>
      </c>
      <c r="AF236" s="244">
        <f t="shared" si="620"/>
        <v>-2.8673764739030574E-2</v>
      </c>
      <c r="AG236" s="244">
        <f t="shared" si="620"/>
        <v>-2.4480752422616551E-2</v>
      </c>
      <c r="AH236" s="244">
        <f t="shared" si="620"/>
        <v>-9.5863383381950291E-3</v>
      </c>
      <c r="AI236" s="244">
        <f t="shared" si="620"/>
        <v>-1.1883308886871086E-2</v>
      </c>
      <c r="AJ236" s="166">
        <f t="shared" ref="AJ236" si="621">AJ235-AH235</f>
        <v>-1.2229102167182655E-3</v>
      </c>
      <c r="AK236" s="166">
        <f t="shared" ref="AK236" si="622">AK235-AI235</f>
        <v>2.3055402566906382E-2</v>
      </c>
    </row>
    <row r="237" spans="1:37">
      <c r="B237" s="32"/>
      <c r="C237" s="199"/>
      <c r="D237" s="199"/>
      <c r="E237" s="199"/>
      <c r="F237" s="199"/>
      <c r="G237" s="199"/>
      <c r="H237" s="199"/>
      <c r="I237" s="199"/>
      <c r="J237" s="199"/>
      <c r="K237" s="199"/>
      <c r="L237" s="200"/>
      <c r="M237" s="200"/>
      <c r="N237" s="200"/>
      <c r="O237" s="200"/>
      <c r="P237" s="200"/>
      <c r="Q237" s="200"/>
      <c r="R237" s="199"/>
      <c r="S237" s="199"/>
      <c r="T237" s="199"/>
      <c r="U237" s="199"/>
      <c r="V237" s="199"/>
      <c r="W237" s="199"/>
      <c r="X237" s="199"/>
      <c r="Y237" s="199"/>
      <c r="Z237" s="199"/>
      <c r="AA237" s="199"/>
      <c r="AB237" s="199"/>
      <c r="AC237" s="199"/>
      <c r="AD237" s="199"/>
      <c r="AE237" s="199"/>
      <c r="AF237" s="199"/>
      <c r="AG237" s="199"/>
      <c r="AH237" s="199"/>
      <c r="AI237" s="199"/>
      <c r="AJ237" s="200"/>
      <c r="AK237" s="200"/>
    </row>
    <row r="238" spans="1:37">
      <c r="B238" s="25" t="s">
        <v>47</v>
      </c>
      <c r="C238" s="215">
        <f>C242-C233</f>
        <v>0</v>
      </c>
      <c r="D238" s="215">
        <f>D242-D233</f>
        <v>0</v>
      </c>
      <c r="E238" s="215">
        <f>E242-E233</f>
        <v>0</v>
      </c>
      <c r="F238" s="215">
        <f>F242-F233</f>
        <v>-57</v>
      </c>
      <c r="G238" s="258">
        <f>F238*(1+G257+3%)</f>
        <v>-59.38540975519517</v>
      </c>
      <c r="H238" s="258">
        <f t="shared" ref="H238:P238" si="623">G238*(1+H257+3%)</f>
        <v>-62.746755477736393</v>
      </c>
      <c r="I238" s="258">
        <f t="shared" si="623"/>
        <v>-64.878868601202655</v>
      </c>
      <c r="J238" s="258">
        <f t="shared" si="623"/>
        <v>-66.201024626861468</v>
      </c>
      <c r="K238" s="258">
        <f t="shared" si="623"/>
        <v>-67.415092134018451</v>
      </c>
      <c r="L238" s="154">
        <f t="shared" si="623"/>
        <v>-69.437544898039008</v>
      </c>
      <c r="M238" s="154">
        <f t="shared" si="623"/>
        <v>-71.520671244980178</v>
      </c>
      <c r="N238" s="154">
        <f t="shared" si="623"/>
        <v>-73.66629138232959</v>
      </c>
      <c r="O238" s="154">
        <f t="shared" si="623"/>
        <v>-75.876280123799475</v>
      </c>
      <c r="P238" s="154">
        <f t="shared" si="623"/>
        <v>-78.152568527513466</v>
      </c>
      <c r="Q238" s="200"/>
      <c r="R238" s="215">
        <f>R242-R233</f>
        <v>0</v>
      </c>
      <c r="S238" s="215">
        <f t="shared" ref="S238:Y238" si="624">S242-S233</f>
        <v>0</v>
      </c>
      <c r="T238" s="215">
        <f t="shared" si="624"/>
        <v>0</v>
      </c>
      <c r="U238" s="215">
        <f t="shared" si="624"/>
        <v>0</v>
      </c>
      <c r="V238" s="215">
        <f t="shared" si="624"/>
        <v>0</v>
      </c>
      <c r="W238" s="215">
        <f t="shared" si="624"/>
        <v>0</v>
      </c>
      <c r="X238" s="215">
        <f t="shared" si="624"/>
        <v>-29</v>
      </c>
      <c r="Y238" s="215">
        <f t="shared" si="624"/>
        <v>-28</v>
      </c>
      <c r="Z238" s="258">
        <f>X238*(1+Z257+3%)</f>
        <v>-29.680623295580176</v>
      </c>
      <c r="AA238" s="215">
        <f>G238-Z238</f>
        <v>-29.704786459614994</v>
      </c>
      <c r="AB238" s="258">
        <f>Z238*(1+AB257+3%)</f>
        <v>-31.04813746945889</v>
      </c>
      <c r="AC238" s="215">
        <f>H238-AB238</f>
        <v>-31.698618008277503</v>
      </c>
      <c r="AD238" s="258">
        <f>AB238*(1+AD257+3%)</f>
        <v>-33.121995148769784</v>
      </c>
      <c r="AE238" s="215">
        <f>I238-AD238</f>
        <v>-31.75687345243287</v>
      </c>
      <c r="AF238" s="258">
        <f>AD238*(1+AF257+3%)</f>
        <v>-33.754025858330586</v>
      </c>
      <c r="AG238" s="215">
        <f>J238-AF238</f>
        <v>-32.446998768530882</v>
      </c>
      <c r="AH238" s="258">
        <f>AF238*(1+AH257+3%)</f>
        <v>-34.351349521661319</v>
      </c>
      <c r="AI238" s="215">
        <f>K238-AH238</f>
        <v>-33.063742612357132</v>
      </c>
      <c r="AJ238" s="154">
        <f>AH238*(1+AJ257+3%)</f>
        <v>-35.381890007311156</v>
      </c>
      <c r="AK238" s="216">
        <f>L238-AJ238</f>
        <v>-34.055654890727851</v>
      </c>
    </row>
    <row r="239" spans="1:37">
      <c r="B239" s="32" t="s">
        <v>506</v>
      </c>
      <c r="C239" s="215"/>
      <c r="D239" s="215"/>
      <c r="E239" s="215"/>
      <c r="F239" s="256">
        <f>-F238/F207</f>
        <v>1.3882123721383342E-2</v>
      </c>
      <c r="G239" s="256">
        <f t="shared" ref="G239:P239" si="625">-G238/G207</f>
        <v>1.2957759056337588E-2</v>
      </c>
      <c r="H239" s="256">
        <f t="shared" si="625"/>
        <v>1.4160856573625907E-2</v>
      </c>
      <c r="I239" s="256">
        <f t="shared" si="625"/>
        <v>1.3558802215507346E-2</v>
      </c>
      <c r="J239" s="256">
        <f t="shared" si="625"/>
        <v>1.4145518082662708E-2</v>
      </c>
      <c r="K239" s="256">
        <f t="shared" si="625"/>
        <v>1.4516600373388986E-2</v>
      </c>
      <c r="L239" s="257">
        <f t="shared" si="625"/>
        <v>1.4818729816244458E-2</v>
      </c>
      <c r="M239" s="257">
        <f t="shared" si="625"/>
        <v>1.4964011481109601E-2</v>
      </c>
      <c r="N239" s="257">
        <f t="shared" si="625"/>
        <v>1.5110717476022441E-2</v>
      </c>
      <c r="O239" s="257">
        <f t="shared" si="625"/>
        <v>1.5258861765003051E-2</v>
      </c>
      <c r="P239" s="257">
        <f t="shared" si="625"/>
        <v>1.5408458448973671E-2</v>
      </c>
      <c r="Q239" s="200"/>
      <c r="R239" s="215"/>
      <c r="S239" s="215"/>
      <c r="T239" s="215"/>
      <c r="U239" s="215"/>
      <c r="V239" s="215"/>
      <c r="W239" s="215"/>
      <c r="X239" s="256">
        <f t="shared" ref="X239:AK239" si="626">-X238/X207</f>
        <v>1.3494648673801768E-2</v>
      </c>
      <c r="Y239" s="256">
        <f t="shared" si="626"/>
        <v>1.430761369443025E-2</v>
      </c>
      <c r="Z239" s="256">
        <f t="shared" si="626"/>
        <v>1.1499660323742803E-2</v>
      </c>
      <c r="AA239" s="256">
        <f t="shared" si="626"/>
        <v>1.4837555674133364E-2</v>
      </c>
      <c r="AB239" s="256">
        <f t="shared" si="626"/>
        <v>1.322322720164348E-2</v>
      </c>
      <c r="AC239" s="256">
        <f t="shared" si="626"/>
        <v>1.5217771487411188E-2</v>
      </c>
      <c r="AD239" s="256">
        <f t="shared" si="626"/>
        <v>1.2231165121406862E-2</v>
      </c>
      <c r="AE239" s="256">
        <f t="shared" si="626"/>
        <v>1.5289780188942162E-2</v>
      </c>
      <c r="AF239" s="256">
        <f t="shared" si="626"/>
        <v>1.3007331737314292E-2</v>
      </c>
      <c r="AG239" s="256">
        <f t="shared" si="626"/>
        <v>1.5562109721117929E-2</v>
      </c>
      <c r="AH239" s="256">
        <f t="shared" si="626"/>
        <v>1.329386591395562E-2</v>
      </c>
      <c r="AI239" s="256">
        <f t="shared" si="626"/>
        <v>1.60503604914355E-2</v>
      </c>
      <c r="AJ239" s="257">
        <f t="shared" si="626"/>
        <v>1.3584009812871316E-2</v>
      </c>
      <c r="AK239" s="257">
        <f t="shared" si="626"/>
        <v>1.6364068114503444E-2</v>
      </c>
    </row>
    <row r="240" spans="1:37">
      <c r="B240" s="25"/>
      <c r="C240" s="215"/>
      <c r="D240" s="215"/>
      <c r="E240" s="215"/>
      <c r="F240" s="215"/>
      <c r="G240" s="258"/>
      <c r="H240" s="258"/>
      <c r="I240" s="258"/>
      <c r="J240" s="258"/>
      <c r="K240" s="258"/>
      <c r="L240" s="154"/>
      <c r="M240" s="154"/>
      <c r="N240" s="154"/>
      <c r="O240" s="154"/>
      <c r="P240" s="154"/>
      <c r="Q240" s="200"/>
      <c r="R240" s="215"/>
      <c r="S240" s="215"/>
      <c r="T240" s="215"/>
      <c r="U240" s="215"/>
      <c r="V240" s="215"/>
      <c r="W240" s="215"/>
      <c r="X240" s="215"/>
      <c r="Y240" s="215"/>
      <c r="Z240" s="258"/>
      <c r="AA240" s="215"/>
      <c r="AB240" s="258"/>
      <c r="AC240" s="215"/>
      <c r="AD240" s="258"/>
      <c r="AE240" s="215"/>
      <c r="AF240" s="258"/>
      <c r="AG240" s="215"/>
      <c r="AH240" s="258"/>
      <c r="AI240" s="215"/>
      <c r="AJ240" s="154"/>
      <c r="AK240" s="216"/>
    </row>
    <row r="241" spans="1:38">
      <c r="B241" s="32"/>
      <c r="C241" s="199"/>
      <c r="D241" s="199"/>
      <c r="E241" s="199"/>
      <c r="F241" s="199"/>
      <c r="G241" s="199"/>
      <c r="H241" s="199"/>
      <c r="I241" s="199"/>
      <c r="J241" s="199"/>
      <c r="K241" s="199"/>
      <c r="L241" s="200"/>
      <c r="M241" s="200"/>
      <c r="N241" s="200"/>
      <c r="O241" s="200"/>
      <c r="P241" s="200"/>
      <c r="Q241" s="200"/>
      <c r="R241" s="199"/>
      <c r="S241" s="199"/>
      <c r="T241" s="199"/>
      <c r="U241" s="199"/>
      <c r="V241" s="199"/>
      <c r="W241" s="199"/>
      <c r="X241" s="199"/>
      <c r="Y241" s="199"/>
      <c r="Z241" s="199"/>
      <c r="AA241" s="199"/>
      <c r="AB241" s="199"/>
      <c r="AC241" s="199"/>
      <c r="AD241" s="199"/>
      <c r="AE241" s="199"/>
      <c r="AF241" s="199"/>
      <c r="AG241" s="199"/>
      <c r="AH241" s="199"/>
      <c r="AI241" s="199"/>
      <c r="AJ241" s="200"/>
      <c r="AK241" s="200"/>
    </row>
    <row r="242" spans="1:38" s="7" customFormat="1">
      <c r="A242" s="6"/>
      <c r="B242" s="25" t="s">
        <v>48</v>
      </c>
      <c r="C242" s="228">
        <f>C233</f>
        <v>-150.5</v>
      </c>
      <c r="D242" s="228">
        <f>D233</f>
        <v>-110</v>
      </c>
      <c r="E242" s="228">
        <f>E233</f>
        <v>-85</v>
      </c>
      <c r="F242" s="107">
        <v>-18</v>
      </c>
      <c r="G242" s="215">
        <f>G238+G233</f>
        <v>112.61459024480483</v>
      </c>
      <c r="H242" s="215">
        <f>H238+H233</f>
        <v>-7.7467554777363929</v>
      </c>
      <c r="I242" s="215">
        <f>I238+I233</f>
        <v>80.121131398797345</v>
      </c>
      <c r="J242" s="215">
        <f>J238+J233</f>
        <v>-52.201024626861468</v>
      </c>
      <c r="K242" s="215">
        <f>K238+K233</f>
        <v>-102.41509213401845</v>
      </c>
      <c r="L242" s="216">
        <f t="shared" ref="L242:P242" si="627">L238+L233</f>
        <v>-60.065952898039008</v>
      </c>
      <c r="M242" s="216">
        <f t="shared" si="627"/>
        <v>-61.961647404980184</v>
      </c>
      <c r="N242" s="216">
        <f t="shared" si="627"/>
        <v>-63.916087065529595</v>
      </c>
      <c r="O242" s="216">
        <f t="shared" si="627"/>
        <v>-65.931071720663482</v>
      </c>
      <c r="P242" s="216">
        <f t="shared" si="627"/>
        <v>-68.008455956314748</v>
      </c>
      <c r="Q242" s="229"/>
      <c r="R242" s="215">
        <f>R233</f>
        <v>8.1</v>
      </c>
      <c r="S242" s="228">
        <f t="shared" ref="S242:W242" si="628">S233</f>
        <v>-158.6</v>
      </c>
      <c r="T242" s="228">
        <f t="shared" si="628"/>
        <v>-10</v>
      </c>
      <c r="U242" s="228">
        <f t="shared" si="628"/>
        <v>-100</v>
      </c>
      <c r="V242" s="228">
        <f t="shared" si="628"/>
        <v>-8</v>
      </c>
      <c r="W242" s="228">
        <f t="shared" si="628"/>
        <v>-77</v>
      </c>
      <c r="X242" s="107">
        <v>21</v>
      </c>
      <c r="Y242" s="228">
        <f>F242-X242</f>
        <v>-39</v>
      </c>
      <c r="Z242" s="215">
        <f>Z238+Z233</f>
        <v>103.31937670441982</v>
      </c>
      <c r="AA242" s="215">
        <f t="shared" ref="AA242:AK242" si="629">AA238+AA233</f>
        <v>9.2952135403850065</v>
      </c>
      <c r="AB242" s="215">
        <f t="shared" si="629"/>
        <v>-6.0481374694588901</v>
      </c>
      <c r="AC242" s="215">
        <f t="shared" si="629"/>
        <v>-1.6986180082775029</v>
      </c>
      <c r="AD242" s="215">
        <f t="shared" si="629"/>
        <v>100.87800485123022</v>
      </c>
      <c r="AE242" s="215">
        <f t="shared" si="629"/>
        <v>-20.75687345243287</v>
      </c>
      <c r="AF242" s="215">
        <f t="shared" si="629"/>
        <v>20.245974141669414</v>
      </c>
      <c r="AG242" s="215">
        <f t="shared" si="629"/>
        <v>-72.446998768530875</v>
      </c>
      <c r="AH242" s="215">
        <f t="shared" si="629"/>
        <v>-5.3513495216613194</v>
      </c>
      <c r="AI242" s="215">
        <f t="shared" si="629"/>
        <v>-97.063742612357132</v>
      </c>
      <c r="AJ242" s="216">
        <f t="shared" si="629"/>
        <v>-9.3351700073111559</v>
      </c>
      <c r="AK242" s="216">
        <f t="shared" si="629"/>
        <v>-50.730782890727852</v>
      </c>
    </row>
    <row r="243" spans="1:38">
      <c r="B243" s="32" t="s">
        <v>265</v>
      </c>
      <c r="C243" s="199"/>
      <c r="D243" s="244">
        <f t="shared" ref="D243:K243" si="630">D242/C242-1</f>
        <v>-0.26910299003322258</v>
      </c>
      <c r="E243" s="244">
        <f t="shared" si="630"/>
        <v>-0.22727272727272729</v>
      </c>
      <c r="F243" s="244">
        <f t="shared" si="630"/>
        <v>-0.78823529411764703</v>
      </c>
      <c r="G243" s="244">
        <f t="shared" si="630"/>
        <v>-7.2563661247113798</v>
      </c>
      <c r="H243" s="244">
        <f t="shared" si="630"/>
        <v>-1.0687899805957317</v>
      </c>
      <c r="I243" s="244">
        <f t="shared" si="630"/>
        <v>-11.342540387270464</v>
      </c>
      <c r="J243" s="244">
        <f t="shared" si="630"/>
        <v>-1.6515263041785382</v>
      </c>
      <c r="K243" s="244">
        <f t="shared" si="630"/>
        <v>0.96193643450665056</v>
      </c>
      <c r="L243" s="166">
        <f t="shared" ref="L243" si="631">L242/K242-1</f>
        <v>-0.41350486879963122</v>
      </c>
      <c r="M243" s="166">
        <f t="shared" ref="M243" si="632">M242/L242-1</f>
        <v>3.1560216986136647E-2</v>
      </c>
      <c r="N243" s="166">
        <f t="shared" ref="N243" si="633">N242/M242-1</f>
        <v>3.1542732357892733E-2</v>
      </c>
      <c r="O243" s="166">
        <f t="shared" ref="O243" si="634">O242/N242-1</f>
        <v>3.1525469528008498E-2</v>
      </c>
      <c r="P243" s="166">
        <f t="shared" ref="P243" si="635">P242/O242-1</f>
        <v>3.1508425108766946E-2</v>
      </c>
      <c r="Q243" s="200"/>
      <c r="R243" s="199"/>
      <c r="S243" s="199"/>
      <c r="T243" s="244">
        <f t="shared" ref="T243:AI243" si="636">T242/R242-1</f>
        <v>-2.2345679012345681</v>
      </c>
      <c r="U243" s="244">
        <f t="shared" si="636"/>
        <v>-0.36948297604035307</v>
      </c>
      <c r="V243" s="244">
        <f t="shared" si="636"/>
        <v>-0.19999999999999996</v>
      </c>
      <c r="W243" s="244">
        <f t="shared" si="636"/>
        <v>-0.22999999999999998</v>
      </c>
      <c r="X243" s="244">
        <f t="shared" si="636"/>
        <v>-3.625</v>
      </c>
      <c r="Y243" s="244">
        <f t="shared" si="636"/>
        <v>-0.49350649350649356</v>
      </c>
      <c r="Z243" s="244">
        <f t="shared" si="636"/>
        <v>3.9199703192580868</v>
      </c>
      <c r="AA243" s="244">
        <f t="shared" si="636"/>
        <v>-1.2383388087278207</v>
      </c>
      <c r="AB243" s="244">
        <f t="shared" si="636"/>
        <v>-1.0585382690292611</v>
      </c>
      <c r="AC243" s="244">
        <f t="shared" si="636"/>
        <v>-1.1827411496139923</v>
      </c>
      <c r="AD243" s="244"/>
      <c r="AE243" s="244"/>
      <c r="AF243" s="244">
        <f t="shared" si="636"/>
        <v>-0.79930239330637876</v>
      </c>
      <c r="AG243" s="244">
        <f t="shared" si="636"/>
        <v>2.4902654744488752</v>
      </c>
      <c r="AH243" s="244">
        <f t="shared" si="636"/>
        <v>-1.2643167221402005</v>
      </c>
      <c r="AI243" s="244">
        <f t="shared" si="636"/>
        <v>0.33978969815543469</v>
      </c>
      <c r="AJ243" s="166">
        <f t="shared" ref="AJ243" si="637">AJ242/AH242-1</f>
        <v>0.74445155741071178</v>
      </c>
      <c r="AK243" s="166">
        <f t="shared" ref="AK243" si="638">AK242/AI242-1</f>
        <v>-0.47734569546394823</v>
      </c>
    </row>
    <row r="244" spans="1:38">
      <c r="A244" s="6" t="s">
        <v>568</v>
      </c>
      <c r="B244" s="32" t="s">
        <v>344</v>
      </c>
      <c r="C244" s="256">
        <f t="shared" ref="C244:L244" si="639">C242/C207</f>
        <v>-4.2490118577075096E-2</v>
      </c>
      <c r="D244" s="256">
        <f t="shared" si="639"/>
        <v>-3.0846887268648347E-2</v>
      </c>
      <c r="E244" s="256">
        <f t="shared" si="639"/>
        <v>-2.2386094284961813E-2</v>
      </c>
      <c r="F244" s="256">
        <f t="shared" si="639"/>
        <v>-4.3838285435947397E-3</v>
      </c>
      <c r="G244" s="256">
        <f t="shared" si="639"/>
        <v>2.4572243125639281E-2</v>
      </c>
      <c r="H244" s="256">
        <f t="shared" si="639"/>
        <v>-1.7483086160542526E-3</v>
      </c>
      <c r="I244" s="256">
        <f t="shared" si="639"/>
        <v>1.6744228087522958E-2</v>
      </c>
      <c r="J244" s="256">
        <f t="shared" si="639"/>
        <v>-1.1154065091209715E-2</v>
      </c>
      <c r="K244" s="256">
        <f t="shared" si="639"/>
        <v>-2.2053206747204662E-2</v>
      </c>
      <c r="L244" s="257">
        <f t="shared" si="639"/>
        <v>-1.2818729816244458E-2</v>
      </c>
      <c r="M244" s="257">
        <f t="shared" ref="M244:P244" si="640">M242/M207</f>
        <v>-1.2964011481109601E-2</v>
      </c>
      <c r="N244" s="257">
        <f t="shared" si="640"/>
        <v>-1.3110717476022441E-2</v>
      </c>
      <c r="O244" s="257">
        <f t="shared" si="640"/>
        <v>-1.3258861765003052E-2</v>
      </c>
      <c r="P244" s="257">
        <f t="shared" si="640"/>
        <v>-1.3408458448973672E-2</v>
      </c>
      <c r="Q244" s="200"/>
      <c r="R244" s="256">
        <f t="shared" ref="R244:AK244" si="641">R242/R207</f>
        <v>3.9506413695556747E-3</v>
      </c>
      <c r="S244" s="256">
        <f t="shared" si="641"/>
        <v>-0.10247463978807263</v>
      </c>
      <c r="T244" s="256">
        <f t="shared" si="641"/>
        <v>-4.9091801669121256E-3</v>
      </c>
      <c r="U244" s="256">
        <f t="shared" si="641"/>
        <v>-6.540222367560497E-2</v>
      </c>
      <c r="V244" s="256">
        <f t="shared" si="641"/>
        <v>-3.8259206121472981E-3</v>
      </c>
      <c r="W244" s="256">
        <f t="shared" si="641"/>
        <v>-4.5134818288393906E-2</v>
      </c>
      <c r="X244" s="256">
        <f t="shared" si="641"/>
        <v>9.7719869706840382E-3</v>
      </c>
      <c r="Y244" s="256">
        <f t="shared" si="641"/>
        <v>-1.9928461931527849E-2</v>
      </c>
      <c r="Z244" s="256">
        <f t="shared" si="641"/>
        <v>4.0030754244254098E-2</v>
      </c>
      <c r="AA244" s="256">
        <f t="shared" si="641"/>
        <v>4.6429638063861167E-3</v>
      </c>
      <c r="AB244" s="256">
        <f t="shared" si="641"/>
        <v>-2.5758677467882835E-3</v>
      </c>
      <c r="AC244" s="256">
        <f t="shared" si="641"/>
        <v>-8.154671187121953E-4</v>
      </c>
      <c r="AD244" s="256">
        <f t="shared" si="641"/>
        <v>3.725184817253701E-2</v>
      </c>
      <c r="AE244" s="256">
        <f t="shared" si="641"/>
        <v>-9.9936800445030675E-3</v>
      </c>
      <c r="AF244" s="256">
        <f t="shared" si="641"/>
        <v>7.801916817599004E-3</v>
      </c>
      <c r="AG244" s="256">
        <f t="shared" si="641"/>
        <v>-3.4746761999295384E-2</v>
      </c>
      <c r="AH244" s="256">
        <f t="shared" si="641"/>
        <v>-2.0709556972373527E-3</v>
      </c>
      <c r="AI244" s="256">
        <f t="shared" si="641"/>
        <v>-4.7118321656484045E-2</v>
      </c>
      <c r="AJ244" s="257">
        <f t="shared" si="641"/>
        <v>-3.5840098128713158E-3</v>
      </c>
      <c r="AK244" s="257">
        <f t="shared" si="641"/>
        <v>-2.4376626712645604E-2</v>
      </c>
    </row>
    <row r="245" spans="1:38">
      <c r="B245" s="32" t="s">
        <v>425</v>
      </c>
      <c r="C245" s="199"/>
      <c r="D245" s="244">
        <f t="shared" ref="D245:K245" si="642">D244-C244</f>
        <v>1.164323130842675E-2</v>
      </c>
      <c r="E245" s="244">
        <f t="shared" si="642"/>
        <v>8.4607929836865332E-3</v>
      </c>
      <c r="F245" s="244">
        <f t="shared" si="642"/>
        <v>1.8002265741367075E-2</v>
      </c>
      <c r="G245" s="244">
        <f t="shared" si="642"/>
        <v>2.8956071669234022E-2</v>
      </c>
      <c r="H245" s="244">
        <f t="shared" si="642"/>
        <v>-2.6320551741693534E-2</v>
      </c>
      <c r="I245" s="244">
        <f t="shared" si="642"/>
        <v>1.8492536703577211E-2</v>
      </c>
      <c r="J245" s="244">
        <f t="shared" si="642"/>
        <v>-2.7898293178732672E-2</v>
      </c>
      <c r="K245" s="244">
        <f t="shared" si="642"/>
        <v>-1.0899141655994947E-2</v>
      </c>
      <c r="L245" s="166">
        <f t="shared" ref="L245" si="643">L244-K244</f>
        <v>9.2344769309602032E-3</v>
      </c>
      <c r="M245" s="166">
        <f t="shared" ref="M245" si="644">M244-L244</f>
        <v>-1.4528166486514268E-4</v>
      </c>
      <c r="N245" s="166">
        <f t="shared" ref="N245" si="645">N244-M244</f>
        <v>-1.4670599491284006E-4</v>
      </c>
      <c r="O245" s="166">
        <f t="shared" ref="O245" si="646">O244-N244</f>
        <v>-1.4814428898061137E-4</v>
      </c>
      <c r="P245" s="166">
        <f t="shared" ref="P245" si="647">P244-O244</f>
        <v>-1.4959668397061983E-4</v>
      </c>
      <c r="Q245" s="200"/>
      <c r="R245" s="199"/>
      <c r="S245" s="199"/>
      <c r="T245" s="244">
        <f t="shared" ref="T245:AI245" si="648">T244-R244</f>
        <v>-8.8598215364678011E-3</v>
      </c>
      <c r="U245" s="244">
        <f t="shared" si="648"/>
        <v>3.7072416112467657E-2</v>
      </c>
      <c r="V245" s="244">
        <f t="shared" si="648"/>
        <v>1.0832595547648274E-3</v>
      </c>
      <c r="W245" s="244">
        <f t="shared" si="648"/>
        <v>2.0267405387211064E-2</v>
      </c>
      <c r="X245" s="244">
        <f t="shared" si="648"/>
        <v>1.3597907582831336E-2</v>
      </c>
      <c r="Y245" s="244">
        <f t="shared" si="648"/>
        <v>2.5206356356866057E-2</v>
      </c>
      <c r="Z245" s="244">
        <f t="shared" si="648"/>
        <v>3.0258767273570061E-2</v>
      </c>
      <c r="AA245" s="244">
        <f t="shared" si="648"/>
        <v>2.4571425737913967E-2</v>
      </c>
      <c r="AB245" s="244">
        <f t="shared" si="648"/>
        <v>-4.2606621991042384E-2</v>
      </c>
      <c r="AC245" s="244">
        <f t="shared" si="648"/>
        <v>-5.4584309250983124E-3</v>
      </c>
      <c r="AD245" s="244">
        <f t="shared" si="648"/>
        <v>3.9827715919325296E-2</v>
      </c>
      <c r="AE245" s="244">
        <f t="shared" si="648"/>
        <v>-9.1782129257908726E-3</v>
      </c>
      <c r="AF245" s="244">
        <f t="shared" si="648"/>
        <v>-2.9449931354938005E-2</v>
      </c>
      <c r="AG245" s="244">
        <f t="shared" si="648"/>
        <v>-2.4753081954792318E-2</v>
      </c>
      <c r="AH245" s="244">
        <f t="shared" si="648"/>
        <v>-9.8728725148363571E-3</v>
      </c>
      <c r="AI245" s="244">
        <f t="shared" si="648"/>
        <v>-1.2371559657188662E-2</v>
      </c>
      <c r="AJ245" s="166">
        <f t="shared" ref="AJ245" si="649">AJ244-AH244</f>
        <v>-1.5130541156339631E-3</v>
      </c>
      <c r="AK245" s="166">
        <f t="shared" ref="AK245" si="650">AK244-AI244</f>
        <v>2.2741694943838441E-2</v>
      </c>
      <c r="AL245" s="114"/>
    </row>
    <row r="246" spans="1:38">
      <c r="B246" s="32"/>
      <c r="C246" s="199"/>
      <c r="D246" s="199"/>
      <c r="E246" s="199"/>
      <c r="F246" s="199"/>
      <c r="G246" s="199"/>
      <c r="H246" s="199"/>
      <c r="I246" s="199"/>
      <c r="J246" s="199"/>
      <c r="K246" s="199"/>
      <c r="L246" s="200"/>
      <c r="M246" s="200"/>
      <c r="N246" s="200"/>
      <c r="O246" s="200"/>
      <c r="P246" s="200"/>
      <c r="Q246" s="200"/>
      <c r="R246" s="199"/>
      <c r="S246" s="199"/>
      <c r="T246" s="199"/>
      <c r="U246" s="199"/>
      <c r="V246" s="199"/>
      <c r="W246" s="199"/>
      <c r="X246" s="199"/>
      <c r="Y246" s="199"/>
      <c r="Z246" s="199"/>
      <c r="AA246" s="199"/>
      <c r="AB246" s="199"/>
      <c r="AC246" s="199"/>
      <c r="AD246" s="199"/>
      <c r="AE246" s="199"/>
      <c r="AF246" s="199"/>
      <c r="AG246" s="199"/>
      <c r="AH246" s="199"/>
      <c r="AI246" s="199"/>
      <c r="AJ246" s="200"/>
      <c r="AK246" s="200"/>
    </row>
    <row r="247" spans="1:38">
      <c r="B247" s="41" t="s">
        <v>273</v>
      </c>
      <c r="C247" s="104"/>
      <c r="D247" s="199"/>
      <c r="E247" s="199"/>
      <c r="F247" s="44">
        <v>947</v>
      </c>
      <c r="G247" s="20">
        <v>1194</v>
      </c>
      <c r="H247" s="20">
        <v>1247</v>
      </c>
      <c r="I247" s="20">
        <v>1424</v>
      </c>
      <c r="J247" s="20">
        <v>1406</v>
      </c>
      <c r="K247" s="20">
        <v>952</v>
      </c>
      <c r="L247" s="200"/>
      <c r="M247" s="200"/>
      <c r="N247" s="200"/>
      <c r="O247" s="200"/>
      <c r="P247" s="200"/>
      <c r="Q247" s="200"/>
      <c r="R247" s="104"/>
      <c r="S247" s="199"/>
      <c r="T247" s="199"/>
      <c r="U247" s="199"/>
      <c r="V247" s="199"/>
      <c r="W247" s="199"/>
      <c r="X247" s="199"/>
      <c r="Y247" s="199"/>
      <c r="Z247" s="44">
        <v>981</v>
      </c>
      <c r="AA247" s="44"/>
      <c r="AB247" s="44">
        <v>1125</v>
      </c>
      <c r="AC247" s="44"/>
      <c r="AD247" s="20"/>
      <c r="AE247" s="44"/>
      <c r="AF247" s="19"/>
      <c r="AG247" s="43"/>
      <c r="AH247" s="19"/>
      <c r="AI247" s="19"/>
      <c r="AJ247" s="200"/>
      <c r="AK247" s="200"/>
    </row>
    <row r="248" spans="1:38">
      <c r="B248" s="41" t="s">
        <v>272</v>
      </c>
      <c r="C248" s="101"/>
      <c r="D248" s="199"/>
      <c r="E248" s="199"/>
      <c r="F248" s="100">
        <v>3.5999999999999997E-2</v>
      </c>
      <c r="G248" s="35">
        <v>0.16500000000000001</v>
      </c>
      <c r="H248" s="35">
        <v>4.5999999999999999E-2</v>
      </c>
      <c r="I248" s="35">
        <v>0.111</v>
      </c>
      <c r="J248" s="35">
        <v>0.01</v>
      </c>
      <c r="K248" s="35">
        <v>-0.03</v>
      </c>
      <c r="L248" s="200"/>
      <c r="M248" s="200"/>
      <c r="N248" s="200"/>
      <c r="O248" s="200"/>
      <c r="P248" s="200"/>
      <c r="Q248" s="200"/>
      <c r="R248" s="101"/>
      <c r="S248" s="199"/>
      <c r="T248" s="199"/>
      <c r="U248" s="199"/>
      <c r="V248" s="199"/>
      <c r="W248" s="199"/>
      <c r="X248" s="199"/>
      <c r="Y248" s="199"/>
      <c r="Z248" s="100">
        <v>0.11899999999999999</v>
      </c>
      <c r="AA248" s="100"/>
      <c r="AB248" s="100">
        <v>5.8000000000000003E-2</v>
      </c>
      <c r="AC248" s="100"/>
      <c r="AD248" s="35"/>
      <c r="AE248" s="100"/>
      <c r="AF248" s="34"/>
      <c r="AG248" s="120"/>
      <c r="AH248" s="34"/>
      <c r="AI248" s="34"/>
      <c r="AJ248" s="200"/>
      <c r="AK248" s="200"/>
    </row>
    <row r="249" spans="1:38">
      <c r="B249" s="32"/>
      <c r="C249" s="199"/>
      <c r="D249" s="199"/>
      <c r="E249" s="199"/>
      <c r="F249" s="199"/>
      <c r="G249" s="199"/>
      <c r="H249" s="199"/>
      <c r="I249" s="199"/>
      <c r="J249" s="199"/>
      <c r="K249" s="199"/>
      <c r="L249" s="200"/>
      <c r="M249" s="200"/>
      <c r="N249" s="200"/>
      <c r="O249" s="200"/>
      <c r="P249" s="200"/>
      <c r="Q249" s="200"/>
      <c r="R249" s="199"/>
      <c r="S249" s="199"/>
      <c r="T249" s="199"/>
      <c r="U249" s="199"/>
      <c r="V249" s="199"/>
      <c r="W249" s="199"/>
      <c r="X249" s="199"/>
      <c r="Y249" s="199"/>
      <c r="Z249" s="199"/>
      <c r="AA249" s="199"/>
      <c r="AB249" s="199"/>
      <c r="AC249" s="199"/>
      <c r="AD249" s="199"/>
      <c r="AE249" s="199"/>
      <c r="AF249" s="199"/>
      <c r="AG249" s="199"/>
      <c r="AH249" s="199"/>
      <c r="AI249" s="199"/>
      <c r="AJ249" s="200"/>
      <c r="AK249" s="200"/>
    </row>
    <row r="250" spans="1:38">
      <c r="B250" s="52" t="s">
        <v>49</v>
      </c>
      <c r="C250" s="199"/>
      <c r="D250" s="199"/>
      <c r="E250" s="199"/>
      <c r="F250" s="199"/>
      <c r="G250" s="199"/>
      <c r="H250" s="199"/>
      <c r="I250" s="199"/>
      <c r="J250" s="199"/>
      <c r="K250" s="199"/>
      <c r="L250" s="200"/>
      <c r="M250" s="200"/>
      <c r="N250" s="200"/>
      <c r="O250" s="200"/>
      <c r="P250" s="200"/>
      <c r="Q250" s="200"/>
      <c r="R250" s="199"/>
      <c r="S250" s="199"/>
      <c r="T250" s="199"/>
      <c r="U250" s="199"/>
      <c r="V250" s="199"/>
      <c r="W250" s="199"/>
      <c r="X250" s="199"/>
      <c r="Y250" s="199"/>
      <c r="Z250" s="199"/>
      <c r="AA250" s="199"/>
      <c r="AB250" s="199"/>
      <c r="AC250" s="199"/>
      <c r="AD250" s="199"/>
      <c r="AE250" s="199"/>
      <c r="AF250" s="199"/>
      <c r="AG250" s="199"/>
      <c r="AH250" s="199"/>
      <c r="AI250" s="199"/>
      <c r="AJ250" s="200"/>
      <c r="AK250" s="200"/>
    </row>
    <row r="251" spans="1:38">
      <c r="B251" s="32"/>
      <c r="C251" s="199"/>
      <c r="D251" s="199"/>
      <c r="E251" s="199"/>
      <c r="F251" s="199"/>
      <c r="G251" s="199"/>
      <c r="H251" s="199"/>
      <c r="I251" s="199"/>
      <c r="J251" s="199"/>
      <c r="K251" s="199"/>
      <c r="L251" s="200"/>
      <c r="M251" s="200"/>
      <c r="N251" s="200"/>
      <c r="O251" s="200"/>
      <c r="P251" s="200"/>
      <c r="Q251" s="200"/>
      <c r="R251" s="199"/>
      <c r="S251" s="199"/>
      <c r="T251" s="199"/>
      <c r="U251" s="199"/>
      <c r="V251" s="199"/>
      <c r="W251" s="199"/>
      <c r="X251" s="199"/>
      <c r="Y251" s="199"/>
      <c r="Z251" s="199"/>
      <c r="AA251" s="199"/>
      <c r="AB251" s="199"/>
      <c r="AC251" s="199"/>
      <c r="AD251" s="199"/>
      <c r="AE251" s="199"/>
      <c r="AF251" s="199"/>
      <c r="AG251" s="199"/>
      <c r="AH251" s="199"/>
      <c r="AI251" s="199"/>
      <c r="AJ251" s="200"/>
      <c r="AK251" s="200"/>
    </row>
    <row r="252" spans="1:38">
      <c r="B252" s="84" t="s">
        <v>68</v>
      </c>
      <c r="C252" s="199"/>
      <c r="D252" s="199"/>
      <c r="E252" s="199"/>
      <c r="F252" s="199"/>
      <c r="G252" s="199"/>
      <c r="H252" s="199"/>
      <c r="I252" s="199"/>
      <c r="J252" s="199"/>
      <c r="K252" s="199"/>
      <c r="L252" s="200"/>
      <c r="M252" s="200"/>
      <c r="N252" s="200"/>
      <c r="O252" s="200"/>
      <c r="P252" s="200"/>
      <c r="Q252" s="200"/>
      <c r="R252" s="199"/>
      <c r="S252" s="199"/>
      <c r="T252" s="199"/>
      <c r="U252" s="199"/>
      <c r="V252" s="199"/>
      <c r="W252" s="199"/>
      <c r="X252" s="199"/>
      <c r="Y252" s="199"/>
      <c r="Z252" s="199"/>
      <c r="AA252" s="199"/>
      <c r="AB252" s="199"/>
      <c r="AC252" s="199"/>
      <c r="AD252" s="199"/>
      <c r="AE252" s="199"/>
      <c r="AF252" s="199"/>
      <c r="AG252" s="199"/>
      <c r="AH252" s="199"/>
      <c r="AI252" s="199"/>
      <c r="AJ252" s="200"/>
      <c r="AK252" s="200"/>
    </row>
    <row r="253" spans="1:38">
      <c r="B253" s="84" t="s">
        <v>261</v>
      </c>
      <c r="C253" s="104">
        <v>-1</v>
      </c>
      <c r="D253" s="104">
        <v>-2</v>
      </c>
      <c r="E253" s="104">
        <v>0</v>
      </c>
      <c r="F253" s="104">
        <v>-4</v>
      </c>
      <c r="G253" s="104">
        <v>-3</v>
      </c>
      <c r="H253" s="104">
        <v>0</v>
      </c>
      <c r="I253" s="104">
        <v>1</v>
      </c>
      <c r="J253" s="104">
        <v>1</v>
      </c>
      <c r="K253" s="104">
        <v>1</v>
      </c>
      <c r="L253" s="232">
        <v>0</v>
      </c>
      <c r="M253" s="232">
        <v>0</v>
      </c>
      <c r="N253" s="232">
        <v>0</v>
      </c>
      <c r="O253" s="232">
        <v>0</v>
      </c>
      <c r="P253" s="232">
        <v>0</v>
      </c>
      <c r="Q253" s="200"/>
      <c r="R253" s="107">
        <v>0</v>
      </c>
      <c r="S253" s="199">
        <f>C253-R253</f>
        <v>-1</v>
      </c>
      <c r="T253" s="107">
        <v>1</v>
      </c>
      <c r="U253" s="199">
        <f>D253-T253</f>
        <v>-3</v>
      </c>
      <c r="V253" s="107">
        <v>0</v>
      </c>
      <c r="W253" s="199">
        <f>E253-V253</f>
        <v>0</v>
      </c>
      <c r="X253" s="107">
        <v>0</v>
      </c>
      <c r="Y253" s="199">
        <f>F253-X253</f>
        <v>-4</v>
      </c>
      <c r="Z253" s="107">
        <v>0</v>
      </c>
      <c r="AA253" s="199">
        <f>G253-Z253</f>
        <v>-3</v>
      </c>
      <c r="AB253" s="107">
        <v>0</v>
      </c>
      <c r="AC253" s="60">
        <f>H253-AB253</f>
        <v>0</v>
      </c>
      <c r="AD253" s="107">
        <v>1</v>
      </c>
      <c r="AE253" s="199">
        <f>I253-AD253</f>
        <v>0</v>
      </c>
      <c r="AF253" s="107">
        <v>0</v>
      </c>
      <c r="AG253" s="60">
        <f>J253-AF253</f>
        <v>1</v>
      </c>
      <c r="AH253" s="107">
        <v>1</v>
      </c>
      <c r="AI253" s="60">
        <f>K253-AH253</f>
        <v>0</v>
      </c>
      <c r="AJ253" s="232">
        <v>0</v>
      </c>
      <c r="AK253" s="204">
        <f>L253-AJ253</f>
        <v>0</v>
      </c>
    </row>
    <row r="254" spans="1:38">
      <c r="B254" s="85" t="s">
        <v>264</v>
      </c>
      <c r="C254" s="271">
        <v>185</v>
      </c>
      <c r="D254" s="272">
        <v>183</v>
      </c>
      <c r="E254" s="272">
        <v>183</v>
      </c>
      <c r="F254" s="272">
        <v>179</v>
      </c>
      <c r="G254" s="272">
        <v>176</v>
      </c>
      <c r="H254" s="272">
        <v>176</v>
      </c>
      <c r="I254" s="272">
        <v>177</v>
      </c>
      <c r="J254" s="272">
        <v>178</v>
      </c>
      <c r="K254" s="272">
        <v>179</v>
      </c>
      <c r="L254" s="214">
        <f>K254+L253</f>
        <v>179</v>
      </c>
      <c r="M254" s="214">
        <f>L254+M253</f>
        <v>179</v>
      </c>
      <c r="N254" s="214">
        <f>M254+N253</f>
        <v>179</v>
      </c>
      <c r="O254" s="214">
        <f>N254+O253</f>
        <v>179</v>
      </c>
      <c r="P254" s="214">
        <f>O254+P253</f>
        <v>179</v>
      </c>
      <c r="Q254" s="200"/>
      <c r="R254" s="271">
        <v>186</v>
      </c>
      <c r="S254" s="91">
        <f>R254+S253</f>
        <v>185</v>
      </c>
      <c r="T254" s="271">
        <v>186</v>
      </c>
      <c r="U254" s="91">
        <f>T254+U253</f>
        <v>183</v>
      </c>
      <c r="V254" s="272">
        <v>183</v>
      </c>
      <c r="W254" s="91">
        <f>V254+W253</f>
        <v>183</v>
      </c>
      <c r="X254" s="272">
        <v>183</v>
      </c>
      <c r="Y254" s="91">
        <f>X254+Y253</f>
        <v>179</v>
      </c>
      <c r="Z254" s="272">
        <v>179</v>
      </c>
      <c r="AA254" s="91">
        <f>Z254+AA253</f>
        <v>176</v>
      </c>
      <c r="AB254" s="272">
        <v>176</v>
      </c>
      <c r="AC254" s="91">
        <f>AB254+AC253</f>
        <v>176</v>
      </c>
      <c r="AD254" s="272">
        <v>177</v>
      </c>
      <c r="AE254" s="91">
        <f>AD254+AE253</f>
        <v>177</v>
      </c>
      <c r="AF254" s="272">
        <v>177</v>
      </c>
      <c r="AG254" s="91">
        <f>AF254+AG253</f>
        <v>178</v>
      </c>
      <c r="AH254" s="272">
        <v>179</v>
      </c>
      <c r="AI254" s="91">
        <f>AH254+AI253</f>
        <v>179</v>
      </c>
      <c r="AJ254" s="214">
        <f>AI254+AJ253</f>
        <v>179</v>
      </c>
      <c r="AK254" s="214">
        <f>AJ254+AK253</f>
        <v>179</v>
      </c>
    </row>
    <row r="255" spans="1:38">
      <c r="B255" s="86"/>
      <c r="C255" s="199"/>
      <c r="D255" s="199"/>
      <c r="E255" s="199"/>
      <c r="F255" s="199"/>
      <c r="G255" s="199"/>
      <c r="H255" s="199"/>
      <c r="I255" s="199"/>
      <c r="J255" s="199"/>
      <c r="K255" s="199"/>
      <c r="L255" s="200"/>
      <c r="M255" s="200"/>
      <c r="N255" s="200"/>
      <c r="O255" s="200"/>
      <c r="P255" s="200"/>
      <c r="Q255" s="200"/>
      <c r="R255" s="199"/>
      <c r="S255" s="199"/>
      <c r="T255" s="199"/>
      <c r="U255" s="199"/>
      <c r="V255" s="199"/>
      <c r="W255" s="199"/>
      <c r="X255" s="199"/>
      <c r="Y255" s="199"/>
      <c r="Z255" s="199"/>
      <c r="AA255" s="199"/>
      <c r="AB255" s="199"/>
      <c r="AC255" s="199"/>
      <c r="AD255" s="199"/>
      <c r="AE255" s="199"/>
      <c r="AF255" s="199"/>
      <c r="AG255" s="199"/>
      <c r="AH255" s="199"/>
      <c r="AI255" s="199"/>
      <c r="AJ255" s="200"/>
      <c r="AK255" s="200"/>
    </row>
    <row r="256" spans="1:38">
      <c r="B256" s="23" t="s">
        <v>50</v>
      </c>
      <c r="C256" s="273">
        <v>415.97</v>
      </c>
      <c r="D256" s="231">
        <v>405.274</v>
      </c>
      <c r="E256" s="231">
        <v>404.03199999999998</v>
      </c>
      <c r="F256" s="231">
        <v>405.42500000000001</v>
      </c>
      <c r="G256" s="231">
        <v>410.22899999999998</v>
      </c>
      <c r="H256" s="231">
        <v>421.142</v>
      </c>
      <c r="I256" s="231">
        <v>422.81799999999998</v>
      </c>
      <c r="J256" s="231">
        <v>418.75</v>
      </c>
      <c r="K256" s="231">
        <v>413.86700000000002</v>
      </c>
      <c r="L256" s="200"/>
      <c r="M256" s="200"/>
      <c r="N256" s="200"/>
      <c r="O256" s="200"/>
      <c r="P256" s="200"/>
      <c r="Q256" s="200"/>
      <c r="R256" s="273">
        <v>411.79500000000002</v>
      </c>
      <c r="S256" s="233">
        <f>C256</f>
        <v>415.97</v>
      </c>
      <c r="T256" s="273">
        <v>414.37299999999999</v>
      </c>
      <c r="U256" s="233">
        <f>D256</f>
        <v>405.274</v>
      </c>
      <c r="V256" s="231">
        <v>402.78699999999998</v>
      </c>
      <c r="W256" s="233">
        <f>E256</f>
        <v>404.03199999999998</v>
      </c>
      <c r="X256" s="231">
        <v>407.03</v>
      </c>
      <c r="Y256" s="233">
        <f>F256</f>
        <v>405.42500000000001</v>
      </c>
      <c r="Z256" s="231">
        <v>404.37200000000001</v>
      </c>
      <c r="AA256" s="233">
        <f>G256</f>
        <v>410.22899999999998</v>
      </c>
      <c r="AB256" s="231">
        <v>410.87200000000001</v>
      </c>
      <c r="AC256" s="233">
        <f>H256</f>
        <v>421.142</v>
      </c>
      <c r="AD256" s="231">
        <v>425.99</v>
      </c>
      <c r="AE256" s="233">
        <f>I256</f>
        <v>422.81799999999998</v>
      </c>
      <c r="AF256" s="231">
        <v>421.339</v>
      </c>
      <c r="AG256" s="233">
        <f>J256</f>
        <v>418.75</v>
      </c>
      <c r="AH256" s="231">
        <v>416.15499999999997</v>
      </c>
      <c r="AI256" s="233">
        <f>K256</f>
        <v>413.86700000000002</v>
      </c>
      <c r="AJ256" s="200"/>
      <c r="AK256" s="200"/>
    </row>
    <row r="257" spans="1:37">
      <c r="B257" s="17" t="s">
        <v>265</v>
      </c>
      <c r="C257" s="199"/>
      <c r="D257" s="244">
        <f t="shared" ref="D257:K257" si="651">D256/C256-1</f>
        <v>-2.5713392792749534E-2</v>
      </c>
      <c r="E257" s="244">
        <f t="shared" si="651"/>
        <v>-3.0645933368536049E-3</v>
      </c>
      <c r="F257" s="244">
        <f t="shared" si="651"/>
        <v>3.4477467131317496E-3</v>
      </c>
      <c r="G257" s="244">
        <f t="shared" si="651"/>
        <v>1.1849293950792372E-2</v>
      </c>
      <c r="H257" s="244">
        <f t="shared" si="651"/>
        <v>2.6602214860480311E-2</v>
      </c>
      <c r="I257" s="244">
        <f t="shared" si="651"/>
        <v>3.9796553181585814E-3</v>
      </c>
      <c r="J257" s="244">
        <f t="shared" si="651"/>
        <v>-9.6211608777299062E-3</v>
      </c>
      <c r="K257" s="279">
        <f t="shared" si="651"/>
        <v>-1.1660895522388026E-2</v>
      </c>
      <c r="L257" s="200"/>
      <c r="M257" s="200"/>
      <c r="N257" s="200"/>
      <c r="O257" s="200"/>
      <c r="P257" s="200"/>
      <c r="Q257" s="200"/>
      <c r="R257" s="199"/>
      <c r="S257" s="199"/>
      <c r="T257" s="244">
        <f t="shared" ref="T257:AI257" si="652">T256/R256-1</f>
        <v>6.260396556539094E-3</v>
      </c>
      <c r="U257" s="244">
        <f t="shared" si="652"/>
        <v>-2.5713392792749534E-2</v>
      </c>
      <c r="V257" s="244">
        <f t="shared" si="652"/>
        <v>-2.7960315947226366E-2</v>
      </c>
      <c r="W257" s="244">
        <f t="shared" si="652"/>
        <v>-3.0645933368536049E-3</v>
      </c>
      <c r="X257" s="244">
        <f t="shared" si="652"/>
        <v>1.0534103632937386E-2</v>
      </c>
      <c r="Y257" s="244">
        <f t="shared" si="652"/>
        <v>3.4477467131317496E-3</v>
      </c>
      <c r="Z257" s="244">
        <f t="shared" si="652"/>
        <v>-6.530231186890334E-3</v>
      </c>
      <c r="AA257" s="244">
        <f t="shared" si="652"/>
        <v>1.1849293950792372E-2</v>
      </c>
      <c r="AB257" s="244">
        <f t="shared" si="652"/>
        <v>1.6074307815575839E-2</v>
      </c>
      <c r="AC257" s="244">
        <f t="shared" si="652"/>
        <v>2.6602214860480311E-2</v>
      </c>
      <c r="AD257" s="244">
        <f t="shared" si="652"/>
        <v>3.6794914231196074E-2</v>
      </c>
      <c r="AE257" s="244">
        <f t="shared" si="652"/>
        <v>3.9796553181585814E-3</v>
      </c>
      <c r="AF257" s="244">
        <f t="shared" si="652"/>
        <v>-1.091809666893595E-2</v>
      </c>
      <c r="AG257" s="244">
        <f t="shared" si="652"/>
        <v>-9.6211608777299062E-3</v>
      </c>
      <c r="AH257" s="279">
        <f t="shared" si="652"/>
        <v>-1.2303631992291342E-2</v>
      </c>
      <c r="AI257" s="279">
        <f t="shared" si="652"/>
        <v>-1.1660895522388026E-2</v>
      </c>
      <c r="AJ257" s="200"/>
      <c r="AK257" s="200"/>
    </row>
    <row r="258" spans="1:37">
      <c r="B258" s="17"/>
      <c r="C258" s="199"/>
      <c r="D258" s="199"/>
      <c r="E258" s="199"/>
      <c r="F258" s="199"/>
      <c r="G258" s="199"/>
      <c r="H258" s="199"/>
      <c r="I258" s="199"/>
      <c r="J258" s="199"/>
      <c r="K258" s="199"/>
      <c r="L258" s="200"/>
      <c r="M258" s="200"/>
      <c r="N258" s="200"/>
      <c r="O258" s="200"/>
      <c r="P258" s="200"/>
      <c r="Q258" s="200"/>
      <c r="R258" s="199"/>
      <c r="S258" s="199"/>
      <c r="T258" s="199"/>
      <c r="U258" s="199"/>
      <c r="V258" s="199"/>
      <c r="W258" s="199"/>
      <c r="X258" s="199"/>
      <c r="Y258" s="199"/>
      <c r="Z258" s="199"/>
      <c r="AA258" s="199"/>
      <c r="AB258" s="199"/>
      <c r="AC258" s="199"/>
      <c r="AD258" s="199"/>
      <c r="AE258" s="199"/>
      <c r="AF258" s="199"/>
      <c r="AG258" s="199"/>
      <c r="AH258" s="199"/>
      <c r="AI258" s="199"/>
      <c r="AJ258" s="200"/>
      <c r="AK258" s="200"/>
    </row>
    <row r="259" spans="1:37">
      <c r="B259" s="51" t="s">
        <v>67</v>
      </c>
      <c r="C259" s="213">
        <f t="shared" ref="C259:K259" si="653">C207/C256</f>
        <v>8.515037142101594</v>
      </c>
      <c r="D259" s="213">
        <f t="shared" si="653"/>
        <v>8.7989853777937892</v>
      </c>
      <c r="E259" s="213">
        <f t="shared" si="653"/>
        <v>9.3977704736258527</v>
      </c>
      <c r="F259" s="213">
        <f t="shared" si="653"/>
        <v>10.127643830548189</v>
      </c>
      <c r="G259" s="213">
        <f t="shared" si="653"/>
        <v>11.171808916483233</v>
      </c>
      <c r="H259" s="213">
        <f t="shared" si="653"/>
        <v>10.52139183458311</v>
      </c>
      <c r="I259" s="213">
        <f t="shared" si="653"/>
        <v>11.316925958686717</v>
      </c>
      <c r="J259" s="213">
        <f t="shared" si="653"/>
        <v>11.176119402985075</v>
      </c>
      <c r="K259" s="213">
        <f t="shared" si="653"/>
        <v>11.220996117110085</v>
      </c>
      <c r="L259" s="200"/>
      <c r="M259" s="200"/>
      <c r="N259" s="200"/>
      <c r="O259" s="200"/>
      <c r="P259" s="200"/>
      <c r="Q259" s="200"/>
      <c r="R259" s="213">
        <f t="shared" ref="R259:AI259" si="654">R207/R256</f>
        <v>4.9789336927354633</v>
      </c>
      <c r="S259" s="213">
        <f t="shared" si="654"/>
        <v>3.7207010120922175</v>
      </c>
      <c r="T259" s="213">
        <f t="shared" si="654"/>
        <v>4.9158608307008418</v>
      </c>
      <c r="U259" s="213">
        <f t="shared" si="654"/>
        <v>3.7727562093793336</v>
      </c>
      <c r="V259" s="213">
        <f t="shared" si="654"/>
        <v>5.1913294123196634</v>
      </c>
      <c r="W259" s="213">
        <f t="shared" si="654"/>
        <v>4.2224378267067957</v>
      </c>
      <c r="X259" s="213">
        <f t="shared" si="654"/>
        <v>5.2797091123504414</v>
      </c>
      <c r="Y259" s="213">
        <f t="shared" si="654"/>
        <v>4.8270333600542639</v>
      </c>
      <c r="Z259" s="213">
        <f t="shared" si="654"/>
        <v>6.3827366880001577</v>
      </c>
      <c r="AA259" s="213">
        <f t="shared" si="654"/>
        <v>4.8802010584332169</v>
      </c>
      <c r="AB259" s="213">
        <f t="shared" si="654"/>
        <v>5.7146751299674836</v>
      </c>
      <c r="AC259" s="213">
        <f t="shared" si="654"/>
        <v>4.9460751955397466</v>
      </c>
      <c r="AD259" s="213">
        <f t="shared" si="654"/>
        <v>6.3569567360736166</v>
      </c>
      <c r="AE259" s="213">
        <f t="shared" si="654"/>
        <v>4.9122790420464595</v>
      </c>
      <c r="AF259" s="213">
        <f t="shared" si="654"/>
        <v>6.1589361535485674</v>
      </c>
      <c r="AG259" s="213">
        <f t="shared" si="654"/>
        <v>4.9791044776119406</v>
      </c>
      <c r="AH259" s="213">
        <f t="shared" si="654"/>
        <v>6.2092249282118441</v>
      </c>
      <c r="AI259" s="213">
        <f t="shared" si="654"/>
        <v>4.9774444447129147</v>
      </c>
      <c r="AJ259" s="200"/>
      <c r="AK259" s="200"/>
    </row>
    <row r="260" spans="1:37">
      <c r="B260" s="17" t="s">
        <v>265</v>
      </c>
      <c r="C260" s="199"/>
      <c r="D260" s="279">
        <f t="shared" ref="D260:K260" si="655">D259/C259-1</f>
        <v>3.3346681987826754E-2</v>
      </c>
      <c r="E260" s="279">
        <f t="shared" si="655"/>
        <v>6.8051607102704414E-2</v>
      </c>
      <c r="F260" s="279">
        <f t="shared" si="655"/>
        <v>7.7664522555713766E-2</v>
      </c>
      <c r="G260" s="279">
        <f t="shared" si="655"/>
        <v>0.1031004943899696</v>
      </c>
      <c r="H260" s="279">
        <f t="shared" si="655"/>
        <v>-5.8219495764958662E-2</v>
      </c>
      <c r="I260" s="279">
        <f t="shared" si="655"/>
        <v>7.5611110831243833E-2</v>
      </c>
      <c r="J260" s="279">
        <f t="shared" si="655"/>
        <v>-1.244212043232118E-2</v>
      </c>
      <c r="K260" s="279">
        <f t="shared" si="655"/>
        <v>4.015411119625556E-3</v>
      </c>
      <c r="L260" s="200"/>
      <c r="M260" s="200"/>
      <c r="N260" s="200"/>
      <c r="O260" s="200"/>
      <c r="P260" s="200"/>
      <c r="Q260" s="200"/>
      <c r="R260" s="199"/>
      <c r="S260" s="199"/>
      <c r="T260" s="279">
        <f t="shared" ref="T260:AI260" si="656">T259/R259-1</f>
        <v>-1.2667945774543665E-2</v>
      </c>
      <c r="U260" s="279">
        <f t="shared" si="656"/>
        <v>1.3990696139769776E-2</v>
      </c>
      <c r="V260" s="279">
        <f t="shared" si="656"/>
        <v>5.6036692474784378E-2</v>
      </c>
      <c r="W260" s="279">
        <f t="shared" si="656"/>
        <v>0.11919180364994753</v>
      </c>
      <c r="X260" s="279">
        <f t="shared" si="656"/>
        <v>1.7024483135483992E-2</v>
      </c>
      <c r="Y260" s="279">
        <f t="shared" si="656"/>
        <v>0.14318636725055356</v>
      </c>
      <c r="Z260" s="279">
        <f t="shared" si="656"/>
        <v>0.20891824761130939</v>
      </c>
      <c r="AA260" s="279">
        <f t="shared" si="656"/>
        <v>1.1014570319513028E-2</v>
      </c>
      <c r="AB260" s="279">
        <f t="shared" si="656"/>
        <v>-0.10466694627849227</v>
      </c>
      <c r="AC260" s="279">
        <f t="shared" si="656"/>
        <v>1.3498242453084286E-2</v>
      </c>
      <c r="AD260" s="279">
        <f t="shared" si="656"/>
        <v>0.11239162183306606</v>
      </c>
      <c r="AE260" s="279">
        <f t="shared" si="656"/>
        <v>-6.8329235115074383E-3</v>
      </c>
      <c r="AF260" s="279">
        <f t="shared" si="656"/>
        <v>-3.1150217115895718E-2</v>
      </c>
      <c r="AG260" s="279">
        <f t="shared" si="656"/>
        <v>1.3603753979261279E-2</v>
      </c>
      <c r="AH260" s="279">
        <f t="shared" si="656"/>
        <v>8.1651722650675218E-3</v>
      </c>
      <c r="AI260" s="279">
        <f t="shared" si="656"/>
        <v>-3.3339989279002058E-4</v>
      </c>
      <c r="AJ260" s="200"/>
      <c r="AK260" s="200"/>
    </row>
    <row r="261" spans="1:37">
      <c r="B261" s="17"/>
      <c r="C261" s="199"/>
      <c r="D261" s="199"/>
      <c r="E261" s="199"/>
      <c r="F261" s="199"/>
      <c r="G261" s="199"/>
      <c r="H261" s="199"/>
      <c r="I261" s="199"/>
      <c r="J261" s="199"/>
      <c r="K261" s="199"/>
      <c r="L261" s="200"/>
      <c r="M261" s="200"/>
      <c r="N261" s="200"/>
      <c r="O261" s="200"/>
      <c r="P261" s="200"/>
      <c r="Q261" s="200"/>
      <c r="R261" s="199"/>
      <c r="S261" s="199"/>
      <c r="T261" s="199"/>
      <c r="U261" s="199"/>
      <c r="V261" s="199"/>
      <c r="W261" s="199"/>
      <c r="X261" s="199"/>
      <c r="Y261" s="199"/>
      <c r="Z261" s="199"/>
      <c r="AA261" s="199"/>
      <c r="AB261" s="199"/>
      <c r="AC261" s="199"/>
      <c r="AD261" s="199"/>
      <c r="AE261" s="199"/>
      <c r="AF261" s="199"/>
      <c r="AG261" s="199"/>
      <c r="AH261" s="199"/>
      <c r="AI261" s="199"/>
      <c r="AJ261" s="200"/>
      <c r="AK261" s="200"/>
    </row>
    <row r="262" spans="1:37" s="7" customFormat="1">
      <c r="A262" s="6"/>
      <c r="B262" s="23" t="s">
        <v>303</v>
      </c>
      <c r="C262" s="215">
        <f t="shared" ref="C262:K262" si="657">(C256*1000)/C254</f>
        <v>2248.4864864864867</v>
      </c>
      <c r="D262" s="215">
        <f t="shared" si="657"/>
        <v>2214.6120218579235</v>
      </c>
      <c r="E262" s="215">
        <f t="shared" si="657"/>
        <v>2207.8251366120217</v>
      </c>
      <c r="F262" s="215">
        <f t="shared" si="657"/>
        <v>2264.9441340782123</v>
      </c>
      <c r="G262" s="215">
        <f t="shared" si="657"/>
        <v>2330.846590909091</v>
      </c>
      <c r="H262" s="215">
        <f t="shared" si="657"/>
        <v>2392.8522727272725</v>
      </c>
      <c r="I262" s="215">
        <f t="shared" si="657"/>
        <v>2388.8022598870057</v>
      </c>
      <c r="J262" s="215">
        <f t="shared" si="657"/>
        <v>2352.5280898876404</v>
      </c>
      <c r="K262" s="215">
        <f t="shared" si="657"/>
        <v>2312.1061452513968</v>
      </c>
      <c r="L262" s="319"/>
      <c r="M262" s="319"/>
      <c r="N262" s="319"/>
      <c r="O262" s="319"/>
      <c r="P262" s="319"/>
      <c r="Q262" s="319"/>
      <c r="R262" s="215">
        <f t="shared" ref="R262:AK262" si="658">(R256*1000)/R254</f>
        <v>2213.9516129032259</v>
      </c>
      <c r="S262" s="215">
        <f t="shared" si="658"/>
        <v>2248.4864864864867</v>
      </c>
      <c r="T262" s="215">
        <f t="shared" si="658"/>
        <v>2227.8118279569894</v>
      </c>
      <c r="U262" s="215">
        <f t="shared" si="658"/>
        <v>2214.6120218579235</v>
      </c>
      <c r="V262" s="215">
        <f t="shared" si="658"/>
        <v>2201.0218579234975</v>
      </c>
      <c r="W262" s="215">
        <f t="shared" si="658"/>
        <v>2207.8251366120217</v>
      </c>
      <c r="X262" s="215">
        <f t="shared" si="658"/>
        <v>2224.2076502732239</v>
      </c>
      <c r="Y262" s="215">
        <f t="shared" si="658"/>
        <v>2264.9441340782123</v>
      </c>
      <c r="Z262" s="215">
        <f t="shared" si="658"/>
        <v>2259.0614525139663</v>
      </c>
      <c r="AA262" s="215">
        <f t="shared" si="658"/>
        <v>2330.846590909091</v>
      </c>
      <c r="AB262" s="215">
        <f t="shared" si="658"/>
        <v>2334.5</v>
      </c>
      <c r="AC262" s="215">
        <f t="shared" si="658"/>
        <v>2392.8522727272725</v>
      </c>
      <c r="AD262" s="215">
        <f t="shared" si="658"/>
        <v>2406.7231638418079</v>
      </c>
      <c r="AE262" s="215">
        <f t="shared" si="658"/>
        <v>2388.8022598870057</v>
      </c>
      <c r="AF262" s="215">
        <f t="shared" si="658"/>
        <v>2380.4463276836159</v>
      </c>
      <c r="AG262" s="215">
        <f t="shared" si="658"/>
        <v>2352.5280898876404</v>
      </c>
      <c r="AH262" s="215">
        <f t="shared" si="658"/>
        <v>2324.8882681564246</v>
      </c>
      <c r="AI262" s="215">
        <f t="shared" si="658"/>
        <v>2312.1061452513968</v>
      </c>
      <c r="AJ262" s="319">
        <f t="shared" si="658"/>
        <v>0</v>
      </c>
      <c r="AK262" s="319">
        <f t="shared" si="658"/>
        <v>0</v>
      </c>
    </row>
    <row r="263" spans="1:37">
      <c r="B263" s="17" t="s">
        <v>265</v>
      </c>
      <c r="C263" s="199"/>
      <c r="D263" s="244">
        <f t="shared" ref="D263:K263" si="659">D262/C262-1</f>
        <v>-1.5065451730375212E-2</v>
      </c>
      <c r="E263" s="244">
        <f t="shared" si="659"/>
        <v>-3.0645933368537159E-3</v>
      </c>
      <c r="F263" s="244">
        <f t="shared" si="659"/>
        <v>2.587116004750345E-2</v>
      </c>
      <c r="G263" s="244">
        <f t="shared" si="659"/>
        <v>2.909672509768102E-2</v>
      </c>
      <c r="H263" s="244">
        <f t="shared" si="659"/>
        <v>2.6602214860480311E-2</v>
      </c>
      <c r="I263" s="244">
        <f t="shared" si="659"/>
        <v>-1.6925461243166851E-3</v>
      </c>
      <c r="J263" s="244">
        <f t="shared" si="659"/>
        <v>-1.5185086940214587E-2</v>
      </c>
      <c r="K263" s="279">
        <f t="shared" si="659"/>
        <v>-1.7182343033436021E-2</v>
      </c>
      <c r="L263" s="200"/>
      <c r="M263" s="200"/>
      <c r="N263" s="200"/>
      <c r="O263" s="200"/>
      <c r="P263" s="200"/>
      <c r="Q263" s="200"/>
      <c r="R263" s="199"/>
      <c r="S263" s="199"/>
      <c r="T263" s="244">
        <f t="shared" ref="T263:AI263" si="660">T262/R262-1</f>
        <v>6.260396556539094E-3</v>
      </c>
      <c r="U263" s="244">
        <f t="shared" si="660"/>
        <v>-1.5065451730375212E-2</v>
      </c>
      <c r="V263" s="244">
        <f t="shared" si="660"/>
        <v>-1.2025239159475842E-2</v>
      </c>
      <c r="W263" s="244">
        <f t="shared" si="660"/>
        <v>-3.0645933368537159E-3</v>
      </c>
      <c r="X263" s="244">
        <f t="shared" si="660"/>
        <v>1.0534103632937386E-2</v>
      </c>
      <c r="Y263" s="244">
        <f t="shared" si="660"/>
        <v>2.587116004750345E-2</v>
      </c>
      <c r="Z263" s="244">
        <f t="shared" si="660"/>
        <v>1.5670210574296295E-2</v>
      </c>
      <c r="AA263" s="244">
        <f t="shared" si="660"/>
        <v>2.909672509768102E-2</v>
      </c>
      <c r="AB263" s="244">
        <f t="shared" si="660"/>
        <v>3.3393756244250339E-2</v>
      </c>
      <c r="AC263" s="244">
        <f t="shared" si="660"/>
        <v>2.6602214860480311E-2</v>
      </c>
      <c r="AD263" s="244">
        <f t="shared" si="660"/>
        <v>3.0937315845709135E-2</v>
      </c>
      <c r="AE263" s="244">
        <f t="shared" si="660"/>
        <v>-1.6925461243166851E-3</v>
      </c>
      <c r="AF263" s="244">
        <f t="shared" si="660"/>
        <v>-1.0918096668935839E-2</v>
      </c>
      <c r="AG263" s="244">
        <f t="shared" si="660"/>
        <v>-1.5185086940214587E-2</v>
      </c>
      <c r="AH263" s="279">
        <f t="shared" si="660"/>
        <v>-2.3339345601315897E-2</v>
      </c>
      <c r="AI263" s="279">
        <f t="shared" si="660"/>
        <v>-1.7182343033436021E-2</v>
      </c>
      <c r="AJ263" s="200"/>
      <c r="AK263" s="200"/>
    </row>
    <row r="264" spans="1:37">
      <c r="B264" s="32"/>
      <c r="C264" s="199"/>
      <c r="D264" s="199"/>
      <c r="E264" s="199"/>
      <c r="F264" s="199"/>
      <c r="G264" s="199"/>
      <c r="H264" s="199"/>
      <c r="I264" s="199"/>
      <c r="J264" s="199"/>
      <c r="K264" s="199"/>
      <c r="L264" s="200"/>
      <c r="M264" s="200"/>
      <c r="N264" s="200"/>
      <c r="O264" s="200"/>
      <c r="P264" s="200"/>
      <c r="Q264" s="200"/>
      <c r="R264" s="199"/>
      <c r="S264" s="199"/>
      <c r="T264" s="199"/>
      <c r="U264" s="199"/>
      <c r="V264" s="199"/>
      <c r="W264" s="199"/>
      <c r="X264" s="199"/>
      <c r="Y264" s="199"/>
      <c r="Z264" s="199"/>
      <c r="AA264" s="199"/>
      <c r="AB264" s="199"/>
      <c r="AC264" s="199"/>
      <c r="AD264" s="199"/>
      <c r="AE264" s="199"/>
      <c r="AF264" s="199"/>
      <c r="AG264" s="199"/>
      <c r="AH264" s="199"/>
      <c r="AI264" s="199"/>
      <c r="AJ264" s="200"/>
      <c r="AK264" s="200"/>
    </row>
    <row r="265" spans="1:37" s="7" customFormat="1">
      <c r="A265" s="6"/>
      <c r="B265" s="25" t="s">
        <v>59</v>
      </c>
      <c r="C265" s="107">
        <v>0</v>
      </c>
      <c r="D265" s="107">
        <v>1</v>
      </c>
      <c r="E265" s="107">
        <v>0</v>
      </c>
      <c r="F265" s="107">
        <v>1</v>
      </c>
      <c r="G265" s="107">
        <v>3</v>
      </c>
      <c r="H265" s="107">
        <v>1</v>
      </c>
      <c r="I265" s="107">
        <v>2</v>
      </c>
      <c r="J265" s="107">
        <v>0</v>
      </c>
      <c r="K265" s="107">
        <v>1</v>
      </c>
      <c r="L265" s="229"/>
      <c r="M265" s="229"/>
      <c r="N265" s="229"/>
      <c r="O265" s="229"/>
      <c r="P265" s="229"/>
      <c r="Q265" s="229"/>
      <c r="R265" s="107">
        <v>0</v>
      </c>
      <c r="S265" s="107"/>
      <c r="T265" s="107">
        <v>0</v>
      </c>
      <c r="U265" s="107"/>
      <c r="V265" s="107">
        <v>0</v>
      </c>
      <c r="W265" s="107"/>
      <c r="X265" s="107">
        <v>1</v>
      </c>
      <c r="Y265" s="107"/>
      <c r="Z265" s="107">
        <v>2</v>
      </c>
      <c r="AA265" s="107"/>
      <c r="AB265" s="107">
        <v>0</v>
      </c>
      <c r="AC265" s="107"/>
      <c r="AD265" s="107">
        <v>0</v>
      </c>
      <c r="AE265" s="107"/>
      <c r="AF265" s="107">
        <v>3</v>
      </c>
      <c r="AG265" s="107"/>
      <c r="AH265" s="107">
        <v>0</v>
      </c>
      <c r="AI265" s="107"/>
      <c r="AJ265" s="229"/>
      <c r="AK265" s="229"/>
    </row>
    <row r="266" spans="1:37">
      <c r="B266" s="32"/>
      <c r="C266" s="104"/>
      <c r="D266" s="104"/>
      <c r="E266" s="104"/>
      <c r="F266" s="104"/>
      <c r="G266" s="104"/>
      <c r="H266" s="104"/>
      <c r="I266" s="104"/>
      <c r="J266" s="104"/>
      <c r="K266" s="104"/>
      <c r="L266" s="200"/>
      <c r="M266" s="200"/>
      <c r="N266" s="200"/>
      <c r="O266" s="200"/>
      <c r="P266" s="200"/>
      <c r="Q266" s="200"/>
      <c r="R266" s="199"/>
      <c r="S266" s="199"/>
      <c r="T266" s="199"/>
      <c r="U266" s="199"/>
      <c r="V266" s="199"/>
      <c r="W266" s="199"/>
      <c r="X266" s="199"/>
      <c r="Y266" s="199"/>
      <c r="Z266" s="199"/>
      <c r="AA266" s="199"/>
      <c r="AB266" s="199"/>
      <c r="AC266" s="199"/>
      <c r="AD266" s="199"/>
      <c r="AE266" s="199"/>
      <c r="AF266" s="199"/>
      <c r="AG266" s="199"/>
      <c r="AH266" s="199"/>
      <c r="AI266" s="199"/>
      <c r="AJ266" s="200"/>
      <c r="AK266" s="200"/>
    </row>
    <row r="267" spans="1:37">
      <c r="B267" s="52" t="s">
        <v>64</v>
      </c>
      <c r="C267" s="199"/>
      <c r="D267" s="199"/>
      <c r="E267" s="199"/>
      <c r="F267" s="199"/>
      <c r="G267" s="199"/>
      <c r="H267" s="28">
        <v>619</v>
      </c>
      <c r="I267" s="28">
        <v>482</v>
      </c>
      <c r="J267" s="28">
        <v>486</v>
      </c>
      <c r="K267" s="28">
        <v>489</v>
      </c>
      <c r="L267" s="216">
        <f>K267*(1+L268)</f>
        <v>513.45000000000005</v>
      </c>
      <c r="M267" s="216">
        <f t="shared" ref="M267" si="661">L267*(1+M268)</f>
        <v>539.12250000000006</v>
      </c>
      <c r="N267" s="216">
        <f t="shared" ref="N267" si="662">M267*(1+N268)</f>
        <v>566.0786250000001</v>
      </c>
      <c r="O267" s="216">
        <f t="shared" ref="O267" si="663">N267*(1+O268)</f>
        <v>594.38255625000011</v>
      </c>
      <c r="P267" s="216">
        <f t="shared" ref="P267" si="664">O267*(1+P268)</f>
        <v>624.10168406250011</v>
      </c>
      <c r="Q267" s="200"/>
      <c r="R267" s="199"/>
      <c r="S267" s="199"/>
      <c r="T267" s="199"/>
      <c r="U267" s="199"/>
      <c r="V267" s="199"/>
      <c r="W267" s="199"/>
      <c r="X267" s="199"/>
      <c r="Y267" s="199"/>
      <c r="Z267" s="199"/>
      <c r="AA267" s="199"/>
      <c r="AB267" s="199"/>
      <c r="AC267" s="199"/>
      <c r="AD267" s="28">
        <v>285</v>
      </c>
      <c r="AE267" s="27">
        <f>I267-AD267</f>
        <v>197</v>
      </c>
      <c r="AF267" s="28">
        <v>283</v>
      </c>
      <c r="AG267" s="27">
        <f>J267-AF267</f>
        <v>203</v>
      </c>
      <c r="AH267" s="28">
        <v>279</v>
      </c>
      <c r="AI267" s="27">
        <f>K267-AH267</f>
        <v>210</v>
      </c>
      <c r="AJ267" s="216">
        <f>AH267*(1+AJ268)</f>
        <v>292.95</v>
      </c>
      <c r="AK267" s="216">
        <f>L267-AJ267</f>
        <v>220.50000000000006</v>
      </c>
    </row>
    <row r="268" spans="1:37">
      <c r="B268" s="32" t="s">
        <v>265</v>
      </c>
      <c r="C268" s="199"/>
      <c r="D268" s="199"/>
      <c r="E268" s="199"/>
      <c r="F268" s="199"/>
      <c r="G268" s="199"/>
      <c r="H268" s="279"/>
      <c r="I268" s="279">
        <f>I267/H267-1</f>
        <v>-0.22132471728594505</v>
      </c>
      <c r="J268" s="279">
        <f>J267/I267-1</f>
        <v>8.2987551867219622E-3</v>
      </c>
      <c r="K268" s="279">
        <f>K267/J267-1</f>
        <v>6.1728395061728669E-3</v>
      </c>
      <c r="L268" s="160">
        <v>0.05</v>
      </c>
      <c r="M268" s="160">
        <v>0.05</v>
      </c>
      <c r="N268" s="160">
        <v>0.05</v>
      </c>
      <c r="O268" s="160">
        <v>0.05</v>
      </c>
      <c r="P268" s="160">
        <v>0.05</v>
      </c>
      <c r="Q268" s="200"/>
      <c r="R268" s="199"/>
      <c r="S268" s="199"/>
      <c r="T268" s="199"/>
      <c r="U268" s="199"/>
      <c r="V268" s="199"/>
      <c r="W268" s="199"/>
      <c r="X268" s="199"/>
      <c r="Y268" s="199"/>
      <c r="Z268" s="199"/>
      <c r="AA268" s="199"/>
      <c r="AB268" s="199"/>
      <c r="AC268" s="199"/>
      <c r="AD268" s="279"/>
      <c r="AE268" s="279"/>
      <c r="AF268" s="279">
        <f>AF267/AD267-1</f>
        <v>-7.0175438596491446E-3</v>
      </c>
      <c r="AG268" s="279">
        <f>AG267/AE267-1</f>
        <v>3.0456852791878264E-2</v>
      </c>
      <c r="AH268" s="279">
        <f>AH267/AF267-1</f>
        <v>-1.4134275618374548E-2</v>
      </c>
      <c r="AI268" s="279">
        <f>AI267/AG267-1</f>
        <v>3.4482758620689724E-2</v>
      </c>
      <c r="AJ268" s="160">
        <v>0.05</v>
      </c>
      <c r="AK268" s="166">
        <f>AK267/AI267-1</f>
        <v>5.0000000000000266E-2</v>
      </c>
    </row>
    <row r="269" spans="1:37">
      <c r="B269" s="32" t="s">
        <v>203</v>
      </c>
      <c r="C269" s="199"/>
      <c r="D269" s="199"/>
      <c r="E269" s="199"/>
      <c r="F269" s="199"/>
      <c r="G269" s="199"/>
      <c r="H269" s="279">
        <f t="shared" ref="H269:P269" si="665">H267/H207</f>
        <v>0.13969758519521552</v>
      </c>
      <c r="I269" s="279">
        <f t="shared" si="665"/>
        <v>0.10073145245559038</v>
      </c>
      <c r="J269" s="279">
        <f t="shared" si="665"/>
        <v>0.10384615384615385</v>
      </c>
      <c r="K269" s="279">
        <f t="shared" si="665"/>
        <v>0.10529715762273902</v>
      </c>
      <c r="L269" s="274">
        <f t="shared" si="665"/>
        <v>0.10957583300681466</v>
      </c>
      <c r="M269" s="274">
        <f t="shared" si="665"/>
        <v>0.11279865162466217</v>
      </c>
      <c r="N269" s="274">
        <f t="shared" si="665"/>
        <v>0.11611625902538752</v>
      </c>
      <c r="O269" s="274">
        <f t="shared" si="665"/>
        <v>0.1195314431143695</v>
      </c>
      <c r="P269" s="274">
        <f t="shared" si="665"/>
        <v>0.1230470737942039</v>
      </c>
      <c r="Q269" s="274"/>
      <c r="R269" s="199"/>
      <c r="S269" s="199"/>
      <c r="T269" s="199"/>
      <c r="U269" s="199"/>
      <c r="V269" s="199"/>
      <c r="W269" s="199"/>
      <c r="X269" s="199"/>
      <c r="Y269" s="199"/>
      <c r="Z269" s="199"/>
      <c r="AA269" s="199"/>
      <c r="AB269" s="199"/>
      <c r="AC269" s="199"/>
      <c r="AD269" s="279">
        <f t="shared" ref="AD269:AK269" si="666">AD267/AD207</f>
        <v>0.10524372230428361</v>
      </c>
      <c r="AE269" s="279">
        <f t="shared" si="666"/>
        <v>9.4848338950409242E-2</v>
      </c>
      <c r="AF269" s="279">
        <f t="shared" si="666"/>
        <v>0.10905587668593449</v>
      </c>
      <c r="AG269" s="279">
        <f t="shared" si="666"/>
        <v>9.7362110311750599E-2</v>
      </c>
      <c r="AH269" s="279">
        <f t="shared" si="666"/>
        <v>0.10797213622291021</v>
      </c>
      <c r="AI269" s="279">
        <f t="shared" si="666"/>
        <v>0.10194174757281553</v>
      </c>
      <c r="AJ269" s="274">
        <f t="shared" si="666"/>
        <v>0.11247097523219814</v>
      </c>
      <c r="AK269" s="274">
        <f t="shared" si="666"/>
        <v>0.10595236035911369</v>
      </c>
    </row>
    <row r="270" spans="1:37">
      <c r="B270" s="32" t="s">
        <v>268</v>
      </c>
      <c r="C270" s="199"/>
      <c r="D270" s="199"/>
      <c r="E270" s="199"/>
      <c r="F270" s="199"/>
      <c r="G270" s="199"/>
      <c r="H270" s="199"/>
      <c r="I270" s="279">
        <f>I269-H269</f>
        <v>-3.8966132739625139E-2</v>
      </c>
      <c r="J270" s="279">
        <f>J269-I269</f>
        <v>3.114701390563468E-3</v>
      </c>
      <c r="K270" s="279">
        <f>K269-J269</f>
        <v>1.4510037765851636E-3</v>
      </c>
      <c r="L270" s="274">
        <f t="shared" ref="L270:P270" si="667">L269-K269</f>
        <v>4.278675384075642E-3</v>
      </c>
      <c r="M270" s="274">
        <f t="shared" si="667"/>
        <v>3.2228186178475116E-3</v>
      </c>
      <c r="N270" s="274">
        <f t="shared" si="667"/>
        <v>3.3176074007253559E-3</v>
      </c>
      <c r="O270" s="274">
        <f t="shared" si="667"/>
        <v>3.4151840889819762E-3</v>
      </c>
      <c r="P270" s="274">
        <f t="shared" si="667"/>
        <v>3.5156306798344028E-3</v>
      </c>
      <c r="Q270" s="200"/>
      <c r="R270" s="199"/>
      <c r="S270" s="199"/>
      <c r="T270" s="199"/>
      <c r="U270" s="199"/>
      <c r="V270" s="199"/>
      <c r="W270" s="199"/>
      <c r="X270" s="199"/>
      <c r="Y270" s="199"/>
      <c r="Z270" s="199"/>
      <c r="AA270" s="199"/>
      <c r="AB270" s="199"/>
      <c r="AC270" s="199"/>
      <c r="AD270" s="199"/>
      <c r="AE270" s="199"/>
      <c r="AF270" s="279">
        <f>AF269-AD269</f>
        <v>3.8121543816508757E-3</v>
      </c>
      <c r="AG270" s="279">
        <f>AG269-AE269</f>
        <v>2.5137713613413576E-3</v>
      </c>
      <c r="AH270" s="279">
        <f>AH269-AF269</f>
        <v>-1.0837404630242714E-3</v>
      </c>
      <c r="AI270" s="279">
        <f>AI269-AG269</f>
        <v>4.5796372610649311E-3</v>
      </c>
      <c r="AJ270" s="274">
        <f t="shared" ref="AJ270:AK270" si="668">AJ269-AH269</f>
        <v>4.4988390092879221E-3</v>
      </c>
      <c r="AK270" s="274">
        <f t="shared" si="668"/>
        <v>4.0106127862981622E-3</v>
      </c>
    </row>
    <row r="271" spans="1:37">
      <c r="B271" s="32"/>
      <c r="C271" s="199"/>
      <c r="D271" s="199"/>
      <c r="E271" s="199"/>
      <c r="F271" s="199"/>
      <c r="G271" s="199"/>
      <c r="H271" s="199"/>
      <c r="I271" s="199"/>
      <c r="J271" s="199"/>
      <c r="K271" s="199"/>
      <c r="L271" s="200"/>
      <c r="M271" s="200"/>
      <c r="N271" s="200"/>
      <c r="O271" s="200"/>
      <c r="P271" s="200"/>
      <c r="Q271" s="200"/>
      <c r="R271" s="199"/>
      <c r="S271" s="199"/>
      <c r="T271" s="199"/>
      <c r="U271" s="199"/>
      <c r="V271" s="199"/>
      <c r="W271" s="199"/>
      <c r="X271" s="199"/>
      <c r="Y271" s="199"/>
      <c r="Z271" s="199"/>
      <c r="AA271" s="199"/>
      <c r="AB271" s="199"/>
      <c r="AC271" s="199"/>
      <c r="AD271" s="199"/>
      <c r="AE271" s="199"/>
      <c r="AF271" s="199"/>
      <c r="AG271" s="199"/>
      <c r="AH271" s="199"/>
      <c r="AI271" s="199"/>
      <c r="AJ271" s="200"/>
      <c r="AK271" s="200"/>
    </row>
    <row r="272" spans="1:37">
      <c r="B272" s="5" t="s">
        <v>71</v>
      </c>
      <c r="C272" s="167"/>
      <c r="D272" s="167"/>
      <c r="E272" s="167"/>
      <c r="F272" s="167"/>
      <c r="G272" s="167"/>
      <c r="H272" s="167"/>
      <c r="I272" s="167"/>
      <c r="J272" s="167"/>
      <c r="K272" s="167"/>
      <c r="L272" s="167"/>
      <c r="M272" s="167"/>
      <c r="N272" s="167"/>
      <c r="O272" s="167"/>
      <c r="P272" s="167"/>
      <c r="Q272" s="167"/>
      <c r="R272" s="167"/>
      <c r="S272" s="167"/>
      <c r="T272" s="167"/>
      <c r="U272" s="167"/>
      <c r="V272" s="167"/>
      <c r="W272" s="167"/>
      <c r="X272" s="167"/>
      <c r="Y272" s="167"/>
      <c r="Z272" s="167"/>
      <c r="AA272" s="167"/>
      <c r="AB272" s="167"/>
      <c r="AC272" s="167"/>
      <c r="AD272" s="167"/>
      <c r="AE272" s="167"/>
      <c r="AF272" s="167"/>
      <c r="AG272" s="167"/>
      <c r="AH272" s="167"/>
      <c r="AI272" s="167"/>
      <c r="AJ272" s="167"/>
      <c r="AK272" s="167"/>
    </row>
    <row r="273" spans="2:38">
      <c r="B273" s="25" t="s">
        <v>0</v>
      </c>
      <c r="C273" s="199"/>
      <c r="D273" s="199"/>
      <c r="E273" s="199"/>
      <c r="F273" s="199"/>
      <c r="G273" s="199"/>
      <c r="H273" s="28"/>
      <c r="I273" s="28"/>
      <c r="J273" s="28">
        <v>426</v>
      </c>
      <c r="K273" s="28">
        <v>859</v>
      </c>
      <c r="L273" s="216">
        <f>K273*(1+L274)</f>
        <v>931.00978723404251</v>
      </c>
      <c r="M273" s="216">
        <f t="shared" ref="M273" si="669">L273*(1+M274)</f>
        <v>1005.490570212766</v>
      </c>
      <c r="N273" s="216">
        <f t="shared" ref="N273" si="670">M273*(1+N274)</f>
        <v>1082.5149421951023</v>
      </c>
      <c r="O273" s="216">
        <f t="shared" ref="O273" si="671">N273*(1+O274)</f>
        <v>1162.1571129423135</v>
      </c>
      <c r="P273" s="216">
        <f t="shared" ref="P273" si="672">O273*(1+P274)</f>
        <v>1244.4929897575487</v>
      </c>
      <c r="Q273" s="200"/>
      <c r="R273" s="199"/>
      <c r="S273" s="199"/>
      <c r="T273" s="199"/>
      <c r="U273" s="199"/>
      <c r="V273" s="199"/>
      <c r="W273" s="199"/>
      <c r="X273" s="199"/>
      <c r="Y273" s="199"/>
      <c r="Z273" s="199"/>
      <c r="AA273" s="199"/>
      <c r="AB273" s="199"/>
      <c r="AC273" s="199"/>
      <c r="AD273" s="28"/>
      <c r="AE273" s="27"/>
      <c r="AF273" s="28">
        <v>0</v>
      </c>
      <c r="AG273" s="27">
        <f>J273-AF273</f>
        <v>426</v>
      </c>
      <c r="AH273" s="28">
        <v>427</v>
      </c>
      <c r="AI273" s="27">
        <f>K273-AH273</f>
        <v>432</v>
      </c>
      <c r="AJ273" s="216">
        <f>AH273*(1+AJ274)</f>
        <v>469.70000000000005</v>
      </c>
      <c r="AK273" s="216">
        <f>L273-AJ273</f>
        <v>461.30978723404246</v>
      </c>
      <c r="AL273" s="114"/>
    </row>
    <row r="274" spans="2:38">
      <c r="B274" s="32" t="s">
        <v>265</v>
      </c>
      <c r="C274" s="199"/>
      <c r="D274" s="199"/>
      <c r="E274" s="199"/>
      <c r="F274" s="199"/>
      <c r="G274" s="199"/>
      <c r="H274" s="279"/>
      <c r="I274" s="279"/>
      <c r="J274" s="279"/>
      <c r="K274" s="279">
        <f>K273/J273-1</f>
        <v>1.016431924882629</v>
      </c>
      <c r="L274" s="158">
        <f>SUM(L275:L277)</f>
        <v>8.3829787234042538E-2</v>
      </c>
      <c r="M274" s="158">
        <f t="shared" ref="M274:P274" si="673">SUM(M275:M277)</f>
        <v>8.0000000000000057E-2</v>
      </c>
      <c r="N274" s="158">
        <f t="shared" si="673"/>
        <v>7.6603773584905652E-2</v>
      </c>
      <c r="O274" s="158">
        <f t="shared" si="673"/>
        <v>7.3571428571428607E-2</v>
      </c>
      <c r="P274" s="158">
        <f t="shared" si="673"/>
        <v>7.0847457627118735E-2</v>
      </c>
      <c r="Q274" s="200"/>
      <c r="R274" s="199"/>
      <c r="S274" s="199"/>
      <c r="T274" s="199"/>
      <c r="U274" s="199"/>
      <c r="V274" s="199"/>
      <c r="W274" s="199"/>
      <c r="X274" s="199"/>
      <c r="Y274" s="199"/>
      <c r="Z274" s="199"/>
      <c r="AA274" s="199"/>
      <c r="AB274" s="199"/>
      <c r="AC274" s="199"/>
      <c r="AD274" s="279"/>
      <c r="AE274" s="279"/>
      <c r="AF274" s="279"/>
      <c r="AG274" s="279"/>
      <c r="AH274" s="279"/>
      <c r="AI274" s="279">
        <f>AI273/AG273-1</f>
        <v>1.4084507042253502E-2</v>
      </c>
      <c r="AJ274" s="160">
        <v>0.1</v>
      </c>
      <c r="AK274" s="166">
        <f>AK273/AI273-1</f>
        <v>6.784672970843153E-2</v>
      </c>
    </row>
    <row r="275" spans="2:38">
      <c r="B275" s="32" t="s">
        <v>266</v>
      </c>
      <c r="C275" s="199"/>
      <c r="D275" s="199"/>
      <c r="E275" s="199"/>
      <c r="F275" s="199"/>
      <c r="G275" s="199"/>
      <c r="H275" s="279"/>
      <c r="I275" s="279"/>
      <c r="J275" s="279"/>
      <c r="K275" s="279"/>
      <c r="L275" s="160">
        <v>0.03</v>
      </c>
      <c r="M275" s="160">
        <v>0.03</v>
      </c>
      <c r="N275" s="160">
        <v>0.03</v>
      </c>
      <c r="O275" s="160">
        <v>0.03</v>
      </c>
      <c r="P275" s="160">
        <v>0.03</v>
      </c>
      <c r="Q275" s="200"/>
      <c r="R275" s="199"/>
      <c r="S275" s="199"/>
      <c r="T275" s="199"/>
      <c r="U275" s="199"/>
      <c r="V275" s="199"/>
      <c r="W275" s="199"/>
      <c r="X275" s="199"/>
      <c r="Y275" s="199"/>
      <c r="Z275" s="199"/>
      <c r="AA275" s="199"/>
      <c r="AB275" s="199"/>
      <c r="AC275" s="199"/>
      <c r="AD275" s="279"/>
      <c r="AE275" s="279"/>
      <c r="AF275" s="279"/>
      <c r="AG275" s="279"/>
      <c r="AH275" s="279"/>
      <c r="AI275" s="279"/>
      <c r="AJ275" s="160"/>
      <c r="AK275" s="166"/>
    </row>
    <row r="276" spans="2:38">
      <c r="B276" s="32" t="s">
        <v>267</v>
      </c>
      <c r="C276" s="199"/>
      <c r="D276" s="199"/>
      <c r="E276" s="199"/>
      <c r="F276" s="199"/>
      <c r="G276" s="199"/>
      <c r="H276" s="279"/>
      <c r="I276" s="279"/>
      <c r="J276" s="279"/>
      <c r="K276" s="279"/>
      <c r="L276" s="158">
        <f>L283</f>
        <v>6.3829787234042534E-2</v>
      </c>
      <c r="M276" s="158">
        <f t="shared" ref="M276:P276" si="674">M283</f>
        <v>6.0000000000000053E-2</v>
      </c>
      <c r="N276" s="158">
        <f t="shared" si="674"/>
        <v>5.6603773584905648E-2</v>
      </c>
      <c r="O276" s="158">
        <f t="shared" si="674"/>
        <v>5.3571428571428603E-2</v>
      </c>
      <c r="P276" s="158">
        <f t="shared" si="674"/>
        <v>5.0847457627118731E-2</v>
      </c>
      <c r="Q276" s="200"/>
      <c r="R276" s="199"/>
      <c r="S276" s="199"/>
      <c r="T276" s="199"/>
      <c r="U276" s="199"/>
      <c r="V276" s="199"/>
      <c r="W276" s="199"/>
      <c r="X276" s="199"/>
      <c r="Y276" s="199"/>
      <c r="Z276" s="199"/>
      <c r="AA276" s="199"/>
      <c r="AB276" s="199"/>
      <c r="AC276" s="199"/>
      <c r="AD276" s="279"/>
      <c r="AE276" s="279"/>
      <c r="AF276" s="279"/>
      <c r="AG276" s="279"/>
      <c r="AH276" s="279"/>
      <c r="AI276" s="279"/>
      <c r="AJ276" s="160"/>
      <c r="AK276" s="166"/>
    </row>
    <row r="277" spans="2:38">
      <c r="B277" s="32" t="s">
        <v>77</v>
      </c>
      <c r="C277" s="199"/>
      <c r="D277" s="199"/>
      <c r="E277" s="199"/>
      <c r="F277" s="199"/>
      <c r="G277" s="199"/>
      <c r="H277" s="199"/>
      <c r="I277" s="199"/>
      <c r="J277" s="199"/>
      <c r="K277" s="199"/>
      <c r="L277" s="160">
        <v>-0.01</v>
      </c>
      <c r="M277" s="160">
        <v>-0.01</v>
      </c>
      <c r="N277" s="160">
        <v>-0.01</v>
      </c>
      <c r="O277" s="160">
        <v>-0.01</v>
      </c>
      <c r="P277" s="160">
        <v>-0.01</v>
      </c>
      <c r="Q277" s="200"/>
      <c r="R277" s="199"/>
      <c r="S277" s="199"/>
      <c r="T277" s="199"/>
      <c r="U277" s="199"/>
      <c r="V277" s="199"/>
      <c r="W277" s="199"/>
      <c r="X277" s="199"/>
      <c r="Y277" s="199"/>
      <c r="Z277" s="199"/>
      <c r="AA277" s="199"/>
      <c r="AB277" s="199"/>
      <c r="AC277" s="199"/>
      <c r="AD277" s="199"/>
      <c r="AE277" s="199"/>
      <c r="AF277" s="199"/>
      <c r="AG277" s="199"/>
      <c r="AH277" s="199"/>
      <c r="AI277" s="199"/>
      <c r="AJ277" s="200"/>
      <c r="AK277" s="200"/>
    </row>
    <row r="278" spans="2:38">
      <c r="B278" s="32" t="s">
        <v>499</v>
      </c>
      <c r="C278" s="199"/>
      <c r="D278" s="199"/>
      <c r="E278" s="199"/>
      <c r="F278" s="199"/>
      <c r="G278" s="199"/>
      <c r="H278" s="199"/>
      <c r="I278" s="199"/>
      <c r="J278" s="199"/>
      <c r="K278" s="275">
        <f>K273/K281</f>
        <v>3.65531914893617</v>
      </c>
      <c r="L278" s="276">
        <f>L273/L281</f>
        <v>3.7240391489361699</v>
      </c>
      <c r="M278" s="276">
        <f t="shared" ref="M278:P278" si="675">M273/M281</f>
        <v>3.7943040385387397</v>
      </c>
      <c r="N278" s="276">
        <f t="shared" si="675"/>
        <v>3.8661247935539369</v>
      </c>
      <c r="O278" s="276">
        <f t="shared" si="675"/>
        <v>3.9395156370925881</v>
      </c>
      <c r="P278" s="276">
        <f t="shared" si="675"/>
        <v>4.0144935153469312</v>
      </c>
      <c r="Q278" s="200"/>
      <c r="R278" s="199"/>
      <c r="S278" s="199"/>
      <c r="T278" s="199"/>
      <c r="U278" s="199"/>
      <c r="V278" s="199"/>
      <c r="W278" s="199"/>
      <c r="X278" s="199"/>
      <c r="Y278" s="199"/>
      <c r="Z278" s="199"/>
      <c r="AA278" s="199"/>
      <c r="AB278" s="199"/>
      <c r="AC278" s="199"/>
      <c r="AD278" s="199"/>
      <c r="AE278" s="199"/>
      <c r="AF278" s="199"/>
      <c r="AG278" s="199"/>
      <c r="AH278" s="199"/>
      <c r="AI278" s="199"/>
      <c r="AJ278" s="200"/>
      <c r="AK278" s="200"/>
    </row>
    <row r="279" spans="2:38">
      <c r="B279" s="32"/>
      <c r="C279" s="199"/>
      <c r="D279" s="199"/>
      <c r="E279" s="199"/>
      <c r="F279" s="199"/>
      <c r="G279" s="199"/>
      <c r="H279" s="199"/>
      <c r="I279" s="199"/>
      <c r="J279" s="199"/>
      <c r="K279" s="199"/>
      <c r="L279" s="200"/>
      <c r="M279" s="200"/>
      <c r="N279" s="200"/>
      <c r="O279" s="200"/>
      <c r="P279" s="200"/>
      <c r="Q279" s="200"/>
      <c r="R279" s="199"/>
      <c r="S279" s="199"/>
      <c r="T279" s="199"/>
      <c r="U279" s="199"/>
      <c r="V279" s="199"/>
      <c r="W279" s="199"/>
      <c r="X279" s="199"/>
      <c r="Y279" s="199"/>
      <c r="Z279" s="199"/>
      <c r="AA279" s="199"/>
      <c r="AB279" s="199"/>
      <c r="AC279" s="199"/>
      <c r="AD279" s="199"/>
      <c r="AE279" s="199"/>
      <c r="AF279" s="199"/>
      <c r="AG279" s="199"/>
      <c r="AH279" s="199"/>
      <c r="AI279" s="199"/>
      <c r="AJ279" s="200"/>
      <c r="AK279" s="200"/>
    </row>
    <row r="280" spans="2:38">
      <c r="B280" s="25" t="s">
        <v>494</v>
      </c>
      <c r="C280" s="199"/>
      <c r="D280" s="199"/>
      <c r="E280" s="199"/>
      <c r="F280" s="199"/>
      <c r="G280" s="199"/>
      <c r="H280" s="199"/>
      <c r="I280" s="199"/>
      <c r="J280" s="199"/>
      <c r="K280" s="199"/>
      <c r="L280" s="200"/>
      <c r="M280" s="200"/>
      <c r="N280" s="200"/>
      <c r="O280" s="200"/>
      <c r="P280" s="200"/>
      <c r="Q280" s="200"/>
      <c r="R280" s="199"/>
      <c r="S280" s="199"/>
      <c r="T280" s="199"/>
      <c r="U280" s="199"/>
      <c r="V280" s="199"/>
      <c r="W280" s="199"/>
      <c r="X280" s="199"/>
      <c r="Y280" s="199"/>
      <c r="Z280" s="199"/>
      <c r="AA280" s="199"/>
      <c r="AB280" s="199"/>
      <c r="AC280" s="199"/>
      <c r="AD280" s="199"/>
      <c r="AE280" s="199"/>
      <c r="AF280" s="199"/>
      <c r="AG280" s="199"/>
      <c r="AH280" s="199"/>
      <c r="AI280" s="199"/>
      <c r="AJ280" s="200"/>
      <c r="AK280" s="200"/>
    </row>
    <row r="281" spans="2:38">
      <c r="B281" s="25" t="s">
        <v>495</v>
      </c>
      <c r="C281" s="199"/>
      <c r="D281" s="199"/>
      <c r="E281" s="199"/>
      <c r="F281" s="199"/>
      <c r="G281" s="199"/>
      <c r="H281" s="199"/>
      <c r="I281" s="199"/>
      <c r="J281" s="28">
        <v>216</v>
      </c>
      <c r="K281" s="28">
        <v>235</v>
      </c>
      <c r="L281" s="216">
        <f>K281+L282</f>
        <v>250</v>
      </c>
      <c r="M281" s="216">
        <f t="shared" ref="M281:P281" si="676">L281+M282</f>
        <v>265</v>
      </c>
      <c r="N281" s="216">
        <f t="shared" si="676"/>
        <v>280</v>
      </c>
      <c r="O281" s="216">
        <f t="shared" si="676"/>
        <v>295</v>
      </c>
      <c r="P281" s="216">
        <f t="shared" si="676"/>
        <v>310</v>
      </c>
      <c r="Q281" s="200"/>
      <c r="R281" s="199"/>
      <c r="S281" s="199"/>
      <c r="T281" s="199"/>
      <c r="U281" s="199"/>
      <c r="V281" s="199"/>
      <c r="W281" s="199"/>
      <c r="X281" s="199"/>
      <c r="Y281" s="199"/>
      <c r="Z281" s="199"/>
      <c r="AA281" s="199"/>
      <c r="AB281" s="199"/>
      <c r="AC281" s="199"/>
      <c r="AD281" s="199"/>
      <c r="AE281" s="199"/>
      <c r="AF281" s="199"/>
      <c r="AG281" s="199"/>
      <c r="AH281" s="199"/>
      <c r="AI281" s="199"/>
      <c r="AJ281" s="200"/>
      <c r="AK281" s="200"/>
    </row>
    <row r="282" spans="2:38">
      <c r="B282" s="32" t="s">
        <v>497</v>
      </c>
      <c r="C282" s="199"/>
      <c r="D282" s="199"/>
      <c r="E282" s="199"/>
      <c r="F282" s="199"/>
      <c r="G282" s="199"/>
      <c r="H282" s="199"/>
      <c r="I282" s="199"/>
      <c r="J282" s="199"/>
      <c r="K282" s="199">
        <f>K281-J281</f>
        <v>19</v>
      </c>
      <c r="L282" s="234">
        <v>15</v>
      </c>
      <c r="M282" s="234">
        <v>15</v>
      </c>
      <c r="N282" s="234">
        <v>15</v>
      </c>
      <c r="O282" s="234">
        <v>15</v>
      </c>
      <c r="P282" s="234">
        <v>15</v>
      </c>
      <c r="Q282" s="200"/>
      <c r="R282" s="199"/>
      <c r="S282" s="199"/>
      <c r="T282" s="199"/>
      <c r="U282" s="199"/>
      <c r="V282" s="199"/>
      <c r="W282" s="199"/>
      <c r="X282" s="199"/>
      <c r="Y282" s="199"/>
      <c r="Z282" s="199"/>
      <c r="AA282" s="199"/>
      <c r="AB282" s="199"/>
      <c r="AC282" s="199"/>
      <c r="AD282" s="199"/>
      <c r="AE282" s="199"/>
      <c r="AF282" s="199"/>
      <c r="AG282" s="199"/>
      <c r="AH282" s="199"/>
      <c r="AI282" s="199"/>
      <c r="AJ282" s="200"/>
      <c r="AK282" s="200"/>
    </row>
    <row r="283" spans="2:38">
      <c r="B283" s="32" t="s">
        <v>498</v>
      </c>
      <c r="C283" s="199"/>
      <c r="D283" s="199"/>
      <c r="E283" s="199"/>
      <c r="F283" s="199"/>
      <c r="G283" s="199"/>
      <c r="H283" s="199"/>
      <c r="I283" s="199"/>
      <c r="J283" s="199"/>
      <c r="K283" s="244">
        <f>K281/J281-1</f>
        <v>8.7962962962963021E-2</v>
      </c>
      <c r="L283" s="166">
        <f t="shared" ref="L283:P283" si="677">L281/K281-1</f>
        <v>6.3829787234042534E-2</v>
      </c>
      <c r="M283" s="166">
        <f t="shared" si="677"/>
        <v>6.0000000000000053E-2</v>
      </c>
      <c r="N283" s="166">
        <f t="shared" si="677"/>
        <v>5.6603773584905648E-2</v>
      </c>
      <c r="O283" s="166">
        <f t="shared" si="677"/>
        <v>5.3571428571428603E-2</v>
      </c>
      <c r="P283" s="166">
        <f t="shared" si="677"/>
        <v>5.0847457627118731E-2</v>
      </c>
      <c r="Q283" s="200"/>
      <c r="R283" s="199"/>
      <c r="S283" s="199"/>
      <c r="T283" s="199"/>
      <c r="U283" s="199"/>
      <c r="V283" s="199"/>
      <c r="W283" s="199"/>
      <c r="X283" s="199"/>
      <c r="Y283" s="199"/>
      <c r="Z283" s="199"/>
      <c r="AA283" s="199"/>
      <c r="AB283" s="199"/>
      <c r="AC283" s="199"/>
      <c r="AD283" s="199"/>
      <c r="AE283" s="199"/>
      <c r="AF283" s="199"/>
      <c r="AG283" s="199"/>
      <c r="AH283" s="199"/>
      <c r="AI283" s="199"/>
      <c r="AJ283" s="200"/>
      <c r="AK283" s="200"/>
    </row>
    <row r="284" spans="2:38">
      <c r="B284" s="32"/>
      <c r="C284" s="199"/>
      <c r="D284" s="199"/>
      <c r="E284" s="199"/>
      <c r="F284" s="199"/>
      <c r="G284" s="199"/>
      <c r="H284" s="199"/>
      <c r="I284" s="199"/>
      <c r="J284" s="199"/>
      <c r="K284" s="199"/>
      <c r="L284" s="200"/>
      <c r="M284" s="200"/>
      <c r="N284" s="200"/>
      <c r="O284" s="200"/>
      <c r="P284" s="200"/>
      <c r="Q284" s="200"/>
      <c r="R284" s="199"/>
      <c r="S284" s="199"/>
      <c r="T284" s="199"/>
      <c r="U284" s="199"/>
      <c r="V284" s="199"/>
      <c r="W284" s="199"/>
      <c r="X284" s="199"/>
      <c r="Y284" s="199"/>
      <c r="Z284" s="199"/>
      <c r="AA284" s="199"/>
      <c r="AB284" s="199"/>
      <c r="AC284" s="199"/>
      <c r="AD284" s="199"/>
      <c r="AE284" s="199"/>
      <c r="AF284" s="199"/>
      <c r="AG284" s="199"/>
      <c r="AH284" s="199"/>
      <c r="AI284" s="199"/>
      <c r="AJ284" s="200"/>
      <c r="AK284" s="200"/>
    </row>
    <row r="285" spans="2:38">
      <c r="B285" s="25" t="s">
        <v>496</v>
      </c>
      <c r="C285" s="199"/>
      <c r="D285" s="199"/>
      <c r="E285" s="199"/>
      <c r="F285" s="199"/>
      <c r="G285" s="199"/>
      <c r="H285" s="199"/>
      <c r="I285" s="199"/>
      <c r="J285" s="28">
        <v>30</v>
      </c>
      <c r="K285" s="28">
        <v>17</v>
      </c>
      <c r="L285" s="200"/>
      <c r="M285" s="200"/>
      <c r="N285" s="200"/>
      <c r="O285" s="200"/>
      <c r="P285" s="200"/>
      <c r="Q285" s="200"/>
      <c r="R285" s="199"/>
      <c r="S285" s="199"/>
      <c r="T285" s="199"/>
      <c r="U285" s="199"/>
      <c r="V285" s="199"/>
      <c r="W285" s="199"/>
      <c r="X285" s="199"/>
      <c r="Y285" s="199"/>
      <c r="Z285" s="199"/>
      <c r="AA285" s="199"/>
      <c r="AB285" s="199"/>
      <c r="AC285" s="199"/>
      <c r="AD285" s="199"/>
      <c r="AE285" s="199"/>
      <c r="AF285" s="199"/>
      <c r="AG285" s="199"/>
      <c r="AH285" s="199"/>
      <c r="AI285" s="199"/>
      <c r="AJ285" s="200"/>
      <c r="AK285" s="200"/>
    </row>
    <row r="286" spans="2:38">
      <c r="B286" s="32" t="s">
        <v>497</v>
      </c>
      <c r="C286" s="199"/>
      <c r="D286" s="199"/>
      <c r="E286" s="199"/>
      <c r="F286" s="199"/>
      <c r="G286" s="199"/>
      <c r="H286" s="199"/>
      <c r="I286" s="199"/>
      <c r="J286" s="199"/>
      <c r="K286" s="199">
        <f>K285-J285</f>
        <v>-13</v>
      </c>
      <c r="L286" s="200"/>
      <c r="M286" s="200"/>
      <c r="N286" s="200"/>
      <c r="O286" s="200"/>
      <c r="P286" s="200"/>
      <c r="Q286" s="200"/>
      <c r="R286" s="199"/>
      <c r="S286" s="199"/>
      <c r="T286" s="199"/>
      <c r="U286" s="199"/>
      <c r="V286" s="199"/>
      <c r="W286" s="199"/>
      <c r="X286" s="199"/>
      <c r="Y286" s="199"/>
      <c r="Z286" s="199"/>
      <c r="AA286" s="199"/>
      <c r="AB286" s="199"/>
      <c r="AC286" s="199"/>
      <c r="AD286" s="199"/>
      <c r="AE286" s="199"/>
      <c r="AF286" s="199"/>
      <c r="AG286" s="199"/>
      <c r="AH286" s="199"/>
      <c r="AI286" s="199"/>
      <c r="AJ286" s="200"/>
      <c r="AK286" s="200"/>
    </row>
    <row r="287" spans="2:38">
      <c r="B287" s="32" t="s">
        <v>498</v>
      </c>
      <c r="C287" s="199"/>
      <c r="D287" s="199"/>
      <c r="E287" s="199"/>
      <c r="F287" s="199"/>
      <c r="G287" s="199"/>
      <c r="H287" s="199"/>
      <c r="I287" s="199"/>
      <c r="J287" s="199"/>
      <c r="K287" s="250">
        <f>K285/J285-1</f>
        <v>-0.43333333333333335</v>
      </c>
      <c r="L287" s="200"/>
      <c r="M287" s="200"/>
      <c r="N287" s="200"/>
      <c r="O287" s="200"/>
      <c r="P287" s="200"/>
      <c r="Q287" s="200"/>
      <c r="R287" s="199"/>
      <c r="S287" s="199"/>
      <c r="T287" s="199"/>
      <c r="U287" s="199"/>
      <c r="V287" s="199"/>
      <c r="W287" s="199"/>
      <c r="X287" s="199"/>
      <c r="Y287" s="199"/>
      <c r="Z287" s="199"/>
      <c r="AA287" s="199"/>
      <c r="AB287" s="199"/>
      <c r="AC287" s="199"/>
      <c r="AD287" s="199"/>
      <c r="AE287" s="199"/>
      <c r="AF287" s="199"/>
      <c r="AG287" s="199"/>
      <c r="AH287" s="199"/>
      <c r="AI287" s="199"/>
      <c r="AJ287" s="200"/>
      <c r="AK287" s="200"/>
    </row>
    <row r="288" spans="2:38">
      <c r="B288" s="32"/>
      <c r="C288" s="199"/>
      <c r="D288" s="199"/>
      <c r="E288" s="199"/>
      <c r="F288" s="199"/>
      <c r="G288" s="199"/>
      <c r="H288" s="199"/>
      <c r="I288" s="199"/>
      <c r="J288" s="199"/>
      <c r="K288" s="250"/>
      <c r="L288" s="200"/>
      <c r="M288" s="200"/>
      <c r="N288" s="200"/>
      <c r="O288" s="200"/>
      <c r="P288" s="200"/>
      <c r="Q288" s="200"/>
      <c r="R288" s="199"/>
      <c r="S288" s="199"/>
      <c r="T288" s="199"/>
      <c r="U288" s="199"/>
      <c r="V288" s="199"/>
      <c r="W288" s="199"/>
      <c r="X288" s="199"/>
      <c r="Y288" s="199"/>
      <c r="Z288" s="199"/>
      <c r="AA288" s="199"/>
      <c r="AB288" s="199"/>
      <c r="AC288" s="199"/>
      <c r="AD288" s="199"/>
      <c r="AE288" s="199"/>
      <c r="AF288" s="199"/>
      <c r="AG288" s="199"/>
      <c r="AH288" s="199"/>
      <c r="AI288" s="199"/>
      <c r="AJ288" s="200"/>
      <c r="AK288" s="200"/>
    </row>
    <row r="289" spans="2:38">
      <c r="B289" s="25" t="s">
        <v>500</v>
      </c>
      <c r="C289" s="199"/>
      <c r="D289" s="199"/>
      <c r="E289" s="199"/>
      <c r="F289" s="199"/>
      <c r="G289" s="199"/>
      <c r="H289" s="199"/>
      <c r="I289" s="199"/>
      <c r="J289" s="199"/>
      <c r="K289" s="250"/>
      <c r="L289" s="200"/>
      <c r="M289" s="200"/>
      <c r="N289" s="200"/>
      <c r="O289" s="200"/>
      <c r="P289" s="200"/>
      <c r="Q289" s="200"/>
      <c r="R289" s="199"/>
      <c r="S289" s="199"/>
      <c r="T289" s="199"/>
      <c r="U289" s="199"/>
      <c r="V289" s="199"/>
      <c r="W289" s="199"/>
      <c r="X289" s="199"/>
      <c r="Y289" s="199"/>
      <c r="Z289" s="199"/>
      <c r="AA289" s="199"/>
      <c r="AB289" s="199"/>
      <c r="AC289" s="199"/>
      <c r="AD289" s="199"/>
      <c r="AE289" s="199"/>
      <c r="AF289" s="199"/>
      <c r="AG289" s="199"/>
      <c r="AH289" s="199"/>
      <c r="AI289" s="199"/>
      <c r="AJ289" s="200"/>
      <c r="AK289" s="200"/>
    </row>
    <row r="290" spans="2:38">
      <c r="B290" s="32" t="s">
        <v>501</v>
      </c>
      <c r="C290" s="199"/>
      <c r="D290" s="199"/>
      <c r="E290" s="199"/>
      <c r="F290" s="199"/>
      <c r="G290" s="199"/>
      <c r="H290" s="199"/>
      <c r="I290" s="199"/>
      <c r="J290" s="20">
        <v>27</v>
      </c>
      <c r="K290" s="20">
        <v>27</v>
      </c>
      <c r="L290" s="204"/>
      <c r="M290" s="204"/>
      <c r="N290" s="204"/>
      <c r="O290" s="204"/>
      <c r="P290" s="204"/>
      <c r="Q290" s="200"/>
      <c r="R290" s="199"/>
      <c r="S290" s="199"/>
      <c r="T290" s="199"/>
      <c r="U290" s="199"/>
      <c r="V290" s="199"/>
      <c r="W290" s="199"/>
      <c r="X290" s="199"/>
      <c r="Y290" s="199"/>
      <c r="Z290" s="199"/>
      <c r="AA290" s="199"/>
      <c r="AB290" s="199"/>
      <c r="AC290" s="199"/>
      <c r="AD290" s="199"/>
      <c r="AE290" s="199"/>
      <c r="AF290" s="199"/>
      <c r="AG290" s="199"/>
      <c r="AH290" s="199"/>
      <c r="AI290" s="199"/>
      <c r="AJ290" s="200"/>
      <c r="AK290" s="200"/>
    </row>
    <row r="291" spans="2:38">
      <c r="B291" s="32" t="s">
        <v>502</v>
      </c>
      <c r="C291" s="199"/>
      <c r="D291" s="199"/>
      <c r="E291" s="199"/>
      <c r="F291" s="199"/>
      <c r="G291" s="199"/>
      <c r="H291" s="199"/>
      <c r="I291" s="199"/>
      <c r="J291" s="20">
        <v>5</v>
      </c>
      <c r="K291" s="20">
        <v>4</v>
      </c>
      <c r="L291" s="204"/>
      <c r="M291" s="204"/>
      <c r="N291" s="204"/>
      <c r="O291" s="204"/>
      <c r="P291" s="204"/>
      <c r="Q291" s="200"/>
      <c r="R291" s="199"/>
      <c r="S291" s="199"/>
      <c r="T291" s="199"/>
      <c r="U291" s="199"/>
      <c r="V291" s="199"/>
      <c r="W291" s="199"/>
      <c r="X291" s="199"/>
      <c r="Y291" s="199"/>
      <c r="Z291" s="199"/>
      <c r="AA291" s="199"/>
      <c r="AB291" s="199"/>
      <c r="AC291" s="199"/>
      <c r="AD291" s="199"/>
      <c r="AE291" s="199"/>
      <c r="AF291" s="199"/>
      <c r="AG291" s="199"/>
      <c r="AH291" s="199"/>
      <c r="AI291" s="199"/>
      <c r="AJ291" s="200"/>
      <c r="AK291" s="200"/>
    </row>
    <row r="292" spans="2:38">
      <c r="B292" s="25" t="s">
        <v>503</v>
      </c>
      <c r="C292" s="199"/>
      <c r="D292" s="199"/>
      <c r="E292" s="199"/>
      <c r="F292" s="199"/>
      <c r="G292" s="199"/>
      <c r="H292" s="199"/>
      <c r="I292" s="199"/>
      <c r="J292" s="215">
        <f>SUM(J290:J291)</f>
        <v>32</v>
      </c>
      <c r="K292" s="215">
        <f>SUM(K290:K291)</f>
        <v>31</v>
      </c>
      <c r="L292" s="216"/>
      <c r="M292" s="216"/>
      <c r="N292" s="216"/>
      <c r="O292" s="216"/>
      <c r="P292" s="216"/>
      <c r="Q292" s="200"/>
      <c r="R292" s="199"/>
      <c r="S292" s="199"/>
      <c r="T292" s="199"/>
      <c r="U292" s="199"/>
      <c r="V292" s="199"/>
      <c r="W292" s="199"/>
      <c r="X292" s="199"/>
      <c r="Y292" s="199"/>
      <c r="Z292" s="199"/>
      <c r="AA292" s="199"/>
      <c r="AB292" s="199"/>
      <c r="AC292" s="199"/>
      <c r="AD292" s="199"/>
      <c r="AE292" s="199"/>
      <c r="AF292" s="199"/>
      <c r="AG292" s="199"/>
      <c r="AH292" s="199"/>
      <c r="AI292" s="199"/>
      <c r="AJ292" s="200"/>
      <c r="AK292" s="200"/>
    </row>
    <row r="293" spans="2:38">
      <c r="B293" s="32"/>
      <c r="C293" s="199"/>
      <c r="D293" s="199"/>
      <c r="E293" s="199"/>
      <c r="F293" s="199"/>
      <c r="G293" s="199"/>
      <c r="H293" s="199"/>
      <c r="I293" s="199"/>
      <c r="J293" s="199"/>
      <c r="K293" s="199"/>
      <c r="L293" s="200"/>
      <c r="M293" s="200"/>
      <c r="N293" s="200"/>
      <c r="O293" s="200"/>
      <c r="P293" s="200"/>
      <c r="Q293" s="200"/>
      <c r="R293" s="199"/>
      <c r="S293" s="199"/>
      <c r="T293" s="199"/>
      <c r="U293" s="199"/>
      <c r="V293" s="199"/>
      <c r="W293" s="199"/>
      <c r="X293" s="199"/>
      <c r="Y293" s="199"/>
      <c r="Z293" s="199"/>
      <c r="AA293" s="199"/>
      <c r="AB293" s="199"/>
      <c r="AC293" s="199"/>
      <c r="AD293" s="199"/>
      <c r="AE293" s="199"/>
      <c r="AF293" s="199"/>
      <c r="AG293" s="199"/>
      <c r="AH293" s="199"/>
      <c r="AI293" s="199"/>
      <c r="AJ293" s="200"/>
      <c r="AK293" s="200"/>
    </row>
    <row r="294" spans="2:38">
      <c r="B294" s="25" t="s">
        <v>39</v>
      </c>
      <c r="C294" s="199"/>
      <c r="D294" s="199"/>
      <c r="E294" s="199"/>
      <c r="F294" s="199"/>
      <c r="G294" s="199"/>
      <c r="H294" s="199"/>
      <c r="I294" s="199"/>
      <c r="J294" s="28">
        <v>28</v>
      </c>
      <c r="K294" s="28">
        <v>44</v>
      </c>
      <c r="L294" s="216">
        <f>L296*L273</f>
        <v>47.688510638297871</v>
      </c>
      <c r="M294" s="216">
        <f t="shared" ref="M294:P294" si="678">M296*M273</f>
        <v>51.503591489361703</v>
      </c>
      <c r="N294" s="216">
        <f t="shared" si="678"/>
        <v>55.448960950622237</v>
      </c>
      <c r="O294" s="216">
        <f t="shared" si="678"/>
        <v>59.528420220560875</v>
      </c>
      <c r="P294" s="216">
        <f t="shared" si="678"/>
        <v>63.745857449746381</v>
      </c>
      <c r="Q294" s="200"/>
      <c r="R294" s="199"/>
      <c r="S294" s="199"/>
      <c r="T294" s="199"/>
      <c r="U294" s="199"/>
      <c r="V294" s="199"/>
      <c r="W294" s="199"/>
      <c r="X294" s="199"/>
      <c r="Y294" s="199"/>
      <c r="Z294" s="199"/>
      <c r="AA294" s="199"/>
      <c r="AB294" s="199"/>
      <c r="AC294" s="199"/>
      <c r="AD294" s="199"/>
      <c r="AE294" s="199"/>
      <c r="AF294" s="28">
        <v>0</v>
      </c>
      <c r="AG294" s="27">
        <f>J294-AF294</f>
        <v>28</v>
      </c>
      <c r="AH294" s="28">
        <v>22</v>
      </c>
      <c r="AI294" s="27">
        <f>K294-AH294</f>
        <v>22</v>
      </c>
      <c r="AJ294" s="216">
        <f>AJ296*AJ273</f>
        <v>24.200000000000003</v>
      </c>
      <c r="AK294" s="216">
        <f>L294-AJ294</f>
        <v>23.488510638297868</v>
      </c>
    </row>
    <row r="295" spans="2:38">
      <c r="B295" s="32" t="s">
        <v>270</v>
      </c>
      <c r="C295" s="199"/>
      <c r="D295" s="199"/>
      <c r="E295" s="199"/>
      <c r="F295" s="199"/>
      <c r="G295" s="199"/>
      <c r="H295" s="199"/>
      <c r="I295" s="199"/>
      <c r="J295" s="279"/>
      <c r="K295" s="279">
        <f>K294/J294-1</f>
        <v>0.5714285714285714</v>
      </c>
      <c r="L295" s="274">
        <f t="shared" ref="L295:P295" si="679">L294/K294-1</f>
        <v>8.3829787234042552E-2</v>
      </c>
      <c r="M295" s="274">
        <f t="shared" si="679"/>
        <v>8.0000000000000071E-2</v>
      </c>
      <c r="N295" s="274">
        <f t="shared" si="679"/>
        <v>7.6603773584905666E-2</v>
      </c>
      <c r="O295" s="274">
        <f t="shared" si="679"/>
        <v>7.3571428571428621E-2</v>
      </c>
      <c r="P295" s="274">
        <f t="shared" si="679"/>
        <v>7.0847457627118748E-2</v>
      </c>
      <c r="Q295" s="200"/>
      <c r="R295" s="199"/>
      <c r="S295" s="199"/>
      <c r="T295" s="199"/>
      <c r="U295" s="199"/>
      <c r="V295" s="199"/>
      <c r="W295" s="199"/>
      <c r="X295" s="199"/>
      <c r="Y295" s="199"/>
      <c r="Z295" s="199"/>
      <c r="AA295" s="199"/>
      <c r="AB295" s="199"/>
      <c r="AC295" s="199"/>
      <c r="AD295" s="199"/>
      <c r="AE295" s="199"/>
      <c r="AF295" s="199"/>
      <c r="AG295" s="199"/>
      <c r="AH295" s="279"/>
      <c r="AI295" s="279"/>
      <c r="AJ295" s="166">
        <f>AJ294/AH294-1</f>
        <v>0.10000000000000009</v>
      </c>
      <c r="AK295" s="166">
        <f>AK294/AI294-1</f>
        <v>6.7659574468084793E-2</v>
      </c>
    </row>
    <row r="296" spans="2:38">
      <c r="B296" s="32" t="s">
        <v>259</v>
      </c>
      <c r="C296" s="199"/>
      <c r="D296" s="199"/>
      <c r="E296" s="199"/>
      <c r="F296" s="199"/>
      <c r="G296" s="199"/>
      <c r="H296" s="199"/>
      <c r="I296" s="199"/>
      <c r="J296" s="279">
        <f>J294/J273</f>
        <v>6.5727699530516437E-2</v>
      </c>
      <c r="K296" s="279">
        <f>K294/K273</f>
        <v>5.1222351571594875E-2</v>
      </c>
      <c r="L296" s="277">
        <f>K296+L297</f>
        <v>5.1222351571594875E-2</v>
      </c>
      <c r="M296" s="277">
        <f t="shared" ref="M296:P296" si="680">L296+M297</f>
        <v>5.1222351571594875E-2</v>
      </c>
      <c r="N296" s="277">
        <f t="shared" si="680"/>
        <v>5.1222351571594875E-2</v>
      </c>
      <c r="O296" s="277">
        <f t="shared" si="680"/>
        <v>5.1222351571594875E-2</v>
      </c>
      <c r="P296" s="277">
        <f t="shared" si="680"/>
        <v>5.1222351571594875E-2</v>
      </c>
      <c r="Q296" s="200"/>
      <c r="R296" s="199"/>
      <c r="S296" s="199"/>
      <c r="T296" s="199"/>
      <c r="U296" s="199"/>
      <c r="V296" s="199"/>
      <c r="W296" s="199"/>
      <c r="X296" s="199"/>
      <c r="Y296" s="199"/>
      <c r="Z296" s="199"/>
      <c r="AA296" s="199"/>
      <c r="AB296" s="199"/>
      <c r="AC296" s="199"/>
      <c r="AD296" s="199"/>
      <c r="AE296" s="199"/>
      <c r="AF296" s="199"/>
      <c r="AG296" s="279">
        <f t="shared" ref="AG296:AH296" si="681">AG294/AG273</f>
        <v>6.5727699530516437E-2</v>
      </c>
      <c r="AH296" s="279">
        <f t="shared" si="681"/>
        <v>5.1522248243559721E-2</v>
      </c>
      <c r="AI296" s="279">
        <f>AI294/AI273</f>
        <v>5.0925925925925923E-2</v>
      </c>
      <c r="AJ296" s="277">
        <f>AH296+AJ297</f>
        <v>5.1522248243559721E-2</v>
      </c>
      <c r="AK296" s="274">
        <f>AK294/AK273</f>
        <v>5.091700043723791E-2</v>
      </c>
    </row>
    <row r="297" spans="2:38">
      <c r="B297" s="32" t="s">
        <v>268</v>
      </c>
      <c r="C297" s="199"/>
      <c r="D297" s="199"/>
      <c r="E297" s="199"/>
      <c r="F297" s="199"/>
      <c r="G297" s="199"/>
      <c r="H297" s="199"/>
      <c r="I297" s="199"/>
      <c r="J297" s="279"/>
      <c r="K297" s="244">
        <f>K296-J296</f>
        <v>-1.4505347958921562E-2</v>
      </c>
      <c r="L297" s="160">
        <v>0</v>
      </c>
      <c r="M297" s="160">
        <v>0</v>
      </c>
      <c r="N297" s="160">
        <v>0</v>
      </c>
      <c r="O297" s="160">
        <v>0</v>
      </c>
      <c r="P297" s="160">
        <v>0</v>
      </c>
      <c r="Q297" s="200"/>
      <c r="R297" s="199"/>
      <c r="S297" s="199"/>
      <c r="T297" s="199"/>
      <c r="U297" s="199"/>
      <c r="V297" s="199"/>
      <c r="W297" s="199"/>
      <c r="X297" s="199"/>
      <c r="Y297" s="199"/>
      <c r="Z297" s="199"/>
      <c r="AA297" s="199"/>
      <c r="AB297" s="199"/>
      <c r="AC297" s="199"/>
      <c r="AD297" s="199"/>
      <c r="AE297" s="199"/>
      <c r="AF297" s="199"/>
      <c r="AG297" s="199"/>
      <c r="AH297" s="279"/>
      <c r="AI297" s="279">
        <f>AI296-AG296</f>
        <v>-1.4801773604590514E-2</v>
      </c>
      <c r="AJ297" s="160">
        <v>0</v>
      </c>
      <c r="AK297" s="274">
        <f>AK296-AI296</f>
        <v>-8.925488688013572E-6</v>
      </c>
    </row>
    <row r="298" spans="2:38">
      <c r="B298" s="32"/>
      <c r="C298" s="199"/>
      <c r="D298" s="199"/>
      <c r="E298" s="199"/>
      <c r="F298" s="199"/>
      <c r="G298" s="199"/>
      <c r="H298" s="199"/>
      <c r="I298" s="199"/>
      <c r="J298" s="199"/>
      <c r="K298" s="199"/>
      <c r="L298" s="200"/>
      <c r="M298" s="200"/>
      <c r="N298" s="200"/>
      <c r="O298" s="200"/>
      <c r="P298" s="200"/>
      <c r="Q298" s="200"/>
      <c r="R298" s="199"/>
      <c r="S298" s="199"/>
      <c r="T298" s="199"/>
      <c r="U298" s="199"/>
      <c r="V298" s="199"/>
      <c r="W298" s="199"/>
      <c r="X298" s="199"/>
      <c r="Y298" s="199"/>
      <c r="Z298" s="199"/>
      <c r="AA298" s="199"/>
      <c r="AB298" s="199"/>
      <c r="AC298" s="199"/>
      <c r="AD298" s="199"/>
      <c r="AE298" s="199"/>
      <c r="AF298" s="199"/>
      <c r="AG298" s="199"/>
      <c r="AH298" s="199"/>
      <c r="AI298" s="199"/>
      <c r="AJ298" s="200"/>
      <c r="AK298" s="200"/>
    </row>
    <row r="299" spans="2:38">
      <c r="B299" s="5" t="s">
        <v>70</v>
      </c>
      <c r="C299" s="167"/>
      <c r="D299" s="167"/>
      <c r="E299" s="167"/>
      <c r="F299" s="167"/>
      <c r="G299" s="167"/>
      <c r="H299" s="167"/>
      <c r="I299" s="167"/>
      <c r="J299" s="167"/>
      <c r="K299" s="167"/>
      <c r="L299" s="167"/>
      <c r="M299" s="167"/>
      <c r="N299" s="167"/>
      <c r="O299" s="167"/>
      <c r="P299" s="167"/>
      <c r="Q299" s="167"/>
      <c r="R299" s="167"/>
      <c r="S299" s="167"/>
      <c r="T299" s="167"/>
      <c r="U299" s="167"/>
      <c r="V299" s="167"/>
      <c r="W299" s="167"/>
      <c r="X299" s="167"/>
      <c r="Y299" s="167"/>
      <c r="Z299" s="167"/>
      <c r="AA299" s="167"/>
      <c r="AB299" s="167"/>
      <c r="AC299" s="167"/>
      <c r="AD299" s="167"/>
      <c r="AE299" s="167"/>
      <c r="AF299" s="167"/>
      <c r="AG299" s="167"/>
      <c r="AH299" s="167"/>
      <c r="AI299" s="167"/>
      <c r="AJ299" s="167"/>
      <c r="AK299" s="167"/>
    </row>
    <row r="300" spans="2:38" hidden="1" outlineLevel="2">
      <c r="B300" s="25" t="s">
        <v>72</v>
      </c>
      <c r="C300" s="199"/>
      <c r="D300" s="199"/>
      <c r="E300" s="199"/>
      <c r="F300" s="199"/>
      <c r="G300" s="199"/>
      <c r="H300" s="199"/>
      <c r="I300" s="199"/>
      <c r="J300" s="199"/>
      <c r="K300" s="65">
        <v>443</v>
      </c>
      <c r="L300" s="216"/>
      <c r="M300" s="216"/>
      <c r="N300" s="216"/>
      <c r="O300" s="216"/>
      <c r="P300" s="216"/>
      <c r="R300" s="199"/>
      <c r="S300" s="199"/>
      <c r="T300" s="199"/>
      <c r="U300" s="199"/>
      <c r="V300" s="199"/>
      <c r="W300" s="199"/>
      <c r="X300" s="199"/>
      <c r="Y300" s="199"/>
      <c r="Z300" s="199"/>
      <c r="AA300" s="199"/>
      <c r="AB300" s="199"/>
      <c r="AC300" s="199"/>
      <c r="AD300" s="199"/>
      <c r="AE300" s="199"/>
      <c r="AF300" s="199"/>
      <c r="AG300" s="199"/>
      <c r="AH300" s="278">
        <v>246</v>
      </c>
      <c r="AI300" s="66">
        <f>K300-AH300</f>
        <v>197</v>
      </c>
      <c r="AJ300" s="216"/>
      <c r="AK300" s="216"/>
      <c r="AL300" s="114"/>
    </row>
    <row r="301" spans="2:38" hidden="1" outlineLevel="2">
      <c r="B301" s="32" t="s">
        <v>265</v>
      </c>
      <c r="C301" s="199"/>
      <c r="D301" s="199"/>
      <c r="E301" s="199"/>
      <c r="F301" s="199"/>
      <c r="G301" s="199"/>
      <c r="H301" s="199"/>
      <c r="I301" s="199"/>
      <c r="J301" s="199"/>
      <c r="K301" s="279"/>
      <c r="L301" s="160"/>
      <c r="M301" s="160"/>
      <c r="N301" s="160"/>
      <c r="O301" s="160"/>
      <c r="P301" s="160"/>
      <c r="R301" s="199"/>
      <c r="S301" s="199"/>
      <c r="T301" s="199"/>
      <c r="U301" s="199"/>
      <c r="V301" s="199"/>
      <c r="W301" s="199"/>
      <c r="X301" s="199"/>
      <c r="Y301" s="199"/>
      <c r="Z301" s="199"/>
      <c r="AA301" s="199"/>
      <c r="AB301" s="199"/>
      <c r="AC301" s="199"/>
      <c r="AD301" s="199"/>
      <c r="AE301" s="199"/>
      <c r="AF301" s="199"/>
      <c r="AG301" s="199"/>
      <c r="AH301" s="199"/>
      <c r="AI301" s="199"/>
      <c r="AJ301" s="160"/>
      <c r="AK301" s="166"/>
    </row>
    <row r="302" spans="2:38" hidden="1" outlineLevel="2">
      <c r="B302" s="32"/>
      <c r="C302" s="199"/>
      <c r="D302" s="199"/>
      <c r="E302" s="199"/>
      <c r="F302" s="199"/>
      <c r="G302" s="199"/>
      <c r="H302" s="199"/>
      <c r="I302" s="199"/>
      <c r="J302" s="199"/>
      <c r="K302" s="199"/>
      <c r="L302" s="200"/>
      <c r="M302" s="200"/>
      <c r="N302" s="200"/>
      <c r="O302" s="200"/>
      <c r="P302" s="200"/>
      <c r="R302" s="199"/>
      <c r="S302" s="199"/>
      <c r="T302" s="199"/>
      <c r="U302" s="199"/>
      <c r="V302" s="199"/>
      <c r="W302" s="199"/>
      <c r="X302" s="199"/>
      <c r="Y302" s="199"/>
      <c r="Z302" s="199"/>
      <c r="AA302" s="199"/>
      <c r="AB302" s="199"/>
      <c r="AC302" s="199"/>
      <c r="AD302" s="199"/>
      <c r="AE302" s="199"/>
      <c r="AF302" s="199"/>
      <c r="AG302" s="199"/>
      <c r="AH302" s="199"/>
      <c r="AI302" s="199"/>
    </row>
    <row r="303" spans="2:38" hidden="1" outlineLevel="2">
      <c r="B303" s="25" t="s">
        <v>0</v>
      </c>
      <c r="C303" s="199"/>
      <c r="D303" s="199"/>
      <c r="E303" s="199"/>
      <c r="F303" s="199"/>
      <c r="G303" s="199"/>
      <c r="H303" s="199"/>
      <c r="I303" s="199"/>
      <c r="J303" s="26">
        <v>114</v>
      </c>
      <c r="K303" s="26">
        <v>135</v>
      </c>
      <c r="L303" s="216"/>
      <c r="M303" s="216"/>
      <c r="N303" s="216"/>
      <c r="O303" s="216"/>
      <c r="P303" s="216"/>
      <c r="R303" s="199"/>
      <c r="S303" s="199"/>
      <c r="T303" s="199"/>
      <c r="U303" s="199"/>
      <c r="V303" s="199"/>
      <c r="W303" s="199"/>
      <c r="X303" s="199"/>
      <c r="Y303" s="199"/>
      <c r="Z303" s="199"/>
      <c r="AA303" s="199"/>
      <c r="AB303" s="199"/>
      <c r="AC303" s="199"/>
      <c r="AD303" s="199"/>
      <c r="AE303" s="199"/>
      <c r="AF303" s="26">
        <v>61</v>
      </c>
      <c r="AG303" s="201">
        <f>J303-AF303</f>
        <v>53</v>
      </c>
      <c r="AH303" s="26">
        <v>72</v>
      </c>
      <c r="AI303" s="59">
        <f>K303-AH303</f>
        <v>63</v>
      </c>
      <c r="AJ303" s="216"/>
      <c r="AK303" s="216"/>
    </row>
    <row r="304" spans="2:38" hidden="1" outlineLevel="2">
      <c r="B304" s="32" t="s">
        <v>265</v>
      </c>
      <c r="C304" s="199"/>
      <c r="D304" s="199"/>
      <c r="E304" s="199"/>
      <c r="F304" s="199"/>
      <c r="G304" s="199"/>
      <c r="H304" s="199"/>
      <c r="I304" s="199"/>
      <c r="J304" s="279"/>
      <c r="K304" s="279">
        <f>K303/J303-1</f>
        <v>0.18421052631578938</v>
      </c>
      <c r="L304" s="160"/>
      <c r="M304" s="160"/>
      <c r="N304" s="160"/>
      <c r="O304" s="160"/>
      <c r="P304" s="160"/>
      <c r="R304" s="199"/>
      <c r="S304" s="199"/>
      <c r="T304" s="199"/>
      <c r="U304" s="199"/>
      <c r="V304" s="199"/>
      <c r="W304" s="199"/>
      <c r="X304" s="199"/>
      <c r="Y304" s="199"/>
      <c r="Z304" s="199"/>
      <c r="AA304" s="199"/>
      <c r="AB304" s="199"/>
      <c r="AC304" s="199"/>
      <c r="AD304" s="199"/>
      <c r="AE304" s="199"/>
      <c r="AF304" s="199"/>
      <c r="AG304" s="199"/>
      <c r="AH304" s="279"/>
      <c r="AI304" s="279"/>
      <c r="AJ304" s="160"/>
      <c r="AK304" s="166"/>
    </row>
    <row r="305" spans="1:37" hidden="1" outlineLevel="2">
      <c r="B305" s="32" t="s">
        <v>274</v>
      </c>
      <c r="C305" s="199"/>
      <c r="D305" s="199"/>
      <c r="E305" s="199"/>
      <c r="F305" s="199"/>
      <c r="G305" s="199"/>
      <c r="H305" s="199"/>
      <c r="I305" s="199"/>
      <c r="J305" s="199"/>
      <c r="K305" s="279">
        <f>K303/K300</f>
        <v>0.30474040632054178</v>
      </c>
      <c r="L305" s="274"/>
      <c r="M305" s="274"/>
      <c r="N305" s="274"/>
      <c r="O305" s="274"/>
      <c r="P305" s="274"/>
      <c r="R305" s="199"/>
      <c r="S305" s="199"/>
      <c r="T305" s="199"/>
      <c r="U305" s="199"/>
      <c r="V305" s="199"/>
      <c r="W305" s="199"/>
      <c r="X305" s="199"/>
      <c r="Y305" s="199"/>
      <c r="Z305" s="199"/>
      <c r="AA305" s="199"/>
      <c r="AB305" s="199"/>
      <c r="AC305" s="199"/>
      <c r="AD305" s="199"/>
      <c r="AE305" s="199"/>
      <c r="AF305" s="199"/>
      <c r="AG305" s="199"/>
      <c r="AH305" s="279">
        <f>AH303/AH300</f>
        <v>0.29268292682926828</v>
      </c>
      <c r="AI305" s="279">
        <f>AI303/AI300</f>
        <v>0.31979695431472083</v>
      </c>
    </row>
    <row r="306" spans="1:37" hidden="1" outlineLevel="2">
      <c r="B306" s="32" t="s">
        <v>268</v>
      </c>
      <c r="C306" s="199"/>
      <c r="D306" s="199"/>
      <c r="E306" s="199"/>
      <c r="F306" s="199"/>
      <c r="G306" s="199"/>
      <c r="H306" s="199"/>
      <c r="I306" s="199"/>
      <c r="J306" s="199"/>
      <c r="K306" s="244"/>
      <c r="L306" s="200"/>
      <c r="M306" s="200"/>
      <c r="N306" s="200"/>
      <c r="O306" s="200"/>
      <c r="P306" s="200"/>
      <c r="R306" s="199"/>
      <c r="S306" s="199"/>
      <c r="T306" s="199"/>
      <c r="U306" s="199"/>
      <c r="V306" s="199"/>
      <c r="W306" s="199"/>
      <c r="X306" s="199"/>
      <c r="Y306" s="199"/>
      <c r="Z306" s="199"/>
      <c r="AA306" s="199"/>
      <c r="AB306" s="199"/>
      <c r="AC306" s="199"/>
      <c r="AD306" s="199"/>
      <c r="AE306" s="199"/>
      <c r="AF306" s="199"/>
      <c r="AG306" s="199"/>
      <c r="AH306" s="279"/>
      <c r="AI306" s="279"/>
    </row>
    <row r="307" spans="1:37" hidden="1" outlineLevel="2">
      <c r="B307" s="32"/>
      <c r="C307" s="199"/>
      <c r="D307" s="199"/>
      <c r="E307" s="199"/>
      <c r="F307" s="199"/>
      <c r="G307" s="199"/>
      <c r="H307" s="199"/>
      <c r="I307" s="199"/>
      <c r="J307" s="199"/>
      <c r="K307" s="199"/>
      <c r="L307" s="200"/>
      <c r="M307" s="200"/>
      <c r="N307" s="200"/>
      <c r="O307" s="200"/>
      <c r="P307" s="200"/>
      <c r="R307" s="199"/>
      <c r="S307" s="199"/>
      <c r="T307" s="199"/>
      <c r="U307" s="199"/>
      <c r="V307" s="199"/>
      <c r="W307" s="199"/>
      <c r="X307" s="199"/>
      <c r="Y307" s="199"/>
      <c r="Z307" s="199"/>
      <c r="AA307" s="199"/>
      <c r="AB307" s="199"/>
      <c r="AC307" s="199"/>
      <c r="AD307" s="199"/>
      <c r="AE307" s="199"/>
      <c r="AF307" s="199"/>
      <c r="AG307" s="199"/>
      <c r="AH307" s="199"/>
      <c r="AI307" s="199"/>
    </row>
    <row r="308" spans="1:37" hidden="1" outlineLevel="2">
      <c r="B308" s="25" t="s">
        <v>39</v>
      </c>
      <c r="C308" s="199"/>
      <c r="D308" s="199"/>
      <c r="E308" s="199"/>
      <c r="F308" s="199"/>
      <c r="G308" s="199"/>
      <c r="H308" s="199"/>
      <c r="I308" s="199"/>
      <c r="J308" s="262">
        <v>-71</v>
      </c>
      <c r="K308" s="262">
        <v>-72</v>
      </c>
      <c r="L308" s="280">
        <f>-30*0.25</f>
        <v>-7.5</v>
      </c>
      <c r="M308" s="280"/>
      <c r="N308" s="280"/>
      <c r="O308" s="280"/>
      <c r="P308" s="280"/>
      <c r="R308" s="199"/>
      <c r="S308" s="199"/>
      <c r="T308" s="199"/>
      <c r="U308" s="199"/>
      <c r="V308" s="199"/>
      <c r="W308" s="199"/>
      <c r="X308" s="199"/>
      <c r="Y308" s="199"/>
      <c r="Z308" s="199"/>
      <c r="AA308" s="199"/>
      <c r="AB308" s="199"/>
      <c r="AC308" s="199"/>
      <c r="AD308" s="199"/>
      <c r="AE308" s="199"/>
      <c r="AF308" s="26">
        <v>-39</v>
      </c>
      <c r="AG308" s="201">
        <f>J308-AF308</f>
        <v>-32</v>
      </c>
      <c r="AH308" s="262">
        <v>-36</v>
      </c>
      <c r="AI308" s="66">
        <f>K308-AH308</f>
        <v>-36</v>
      </c>
      <c r="AJ308" s="154">
        <f>L308</f>
        <v>-7.5</v>
      </c>
      <c r="AK308" s="216">
        <f>AJ308-L308</f>
        <v>0</v>
      </c>
    </row>
    <row r="309" spans="1:37" hidden="1" outlineLevel="2">
      <c r="B309" s="32" t="s">
        <v>265</v>
      </c>
      <c r="C309" s="199"/>
      <c r="D309" s="199"/>
      <c r="E309" s="199"/>
      <c r="F309" s="199"/>
      <c r="G309" s="199"/>
      <c r="H309" s="199"/>
      <c r="I309" s="199"/>
      <c r="J309" s="199"/>
      <c r="K309" s="279">
        <f>K308/J308-1</f>
        <v>1.4084507042253502E-2</v>
      </c>
      <c r="L309" s="274"/>
      <c r="M309" s="274"/>
      <c r="N309" s="274"/>
      <c r="O309" s="274"/>
      <c r="P309" s="274"/>
      <c r="R309" s="199"/>
      <c r="S309" s="199"/>
      <c r="T309" s="199"/>
      <c r="U309" s="199"/>
      <c r="V309" s="199"/>
      <c r="W309" s="199"/>
      <c r="X309" s="199"/>
      <c r="Y309" s="199"/>
      <c r="Z309" s="199"/>
      <c r="AA309" s="199"/>
      <c r="AB309" s="199"/>
      <c r="AC309" s="199"/>
      <c r="AD309" s="199"/>
      <c r="AE309" s="199"/>
      <c r="AF309" s="199"/>
      <c r="AG309" s="199"/>
      <c r="AH309" s="279"/>
      <c r="AI309" s="279"/>
      <c r="AJ309" s="166"/>
      <c r="AK309" s="166"/>
    </row>
    <row r="310" spans="1:37" hidden="1" outlineLevel="2">
      <c r="B310" s="32" t="s">
        <v>259</v>
      </c>
      <c r="C310" s="199"/>
      <c r="D310" s="199"/>
      <c r="E310" s="199"/>
      <c r="F310" s="199"/>
      <c r="G310" s="199"/>
      <c r="H310" s="199"/>
      <c r="I310" s="199"/>
      <c r="J310" s="281">
        <f>J308/J303</f>
        <v>-0.6228070175438597</v>
      </c>
      <c r="K310" s="281">
        <f>K308/K303</f>
        <v>-0.53333333333333333</v>
      </c>
      <c r="L310" s="282"/>
      <c r="M310" s="282"/>
      <c r="N310" s="282"/>
      <c r="O310" s="282"/>
      <c r="P310" s="282"/>
      <c r="R310" s="199"/>
      <c r="S310" s="199"/>
      <c r="T310" s="199"/>
      <c r="U310" s="199"/>
      <c r="V310" s="199"/>
      <c r="W310" s="199"/>
      <c r="X310" s="199"/>
      <c r="Y310" s="199"/>
      <c r="Z310" s="199"/>
      <c r="AA310" s="199"/>
      <c r="AB310" s="199"/>
      <c r="AC310" s="199"/>
      <c r="AD310" s="199"/>
      <c r="AE310" s="199"/>
      <c r="AF310" s="199"/>
      <c r="AG310" s="199"/>
      <c r="AH310" s="281">
        <f>AH308/AH303</f>
        <v>-0.5</v>
      </c>
      <c r="AI310" s="281">
        <f t="shared" ref="AI310" si="682">AI308/AI303</f>
        <v>-0.5714285714285714</v>
      </c>
    </row>
    <row r="311" spans="1:37" hidden="1" outlineLevel="2">
      <c r="B311" s="32" t="s">
        <v>268</v>
      </c>
      <c r="C311" s="199"/>
      <c r="D311" s="199"/>
      <c r="E311" s="199"/>
      <c r="F311" s="199"/>
      <c r="G311" s="199"/>
      <c r="H311" s="199"/>
      <c r="I311" s="199"/>
      <c r="J311" s="199"/>
      <c r="K311" s="244">
        <f>K310-J310</f>
        <v>8.9473684210526372E-2</v>
      </c>
      <c r="L311" s="166"/>
      <c r="M311" s="166"/>
      <c r="N311" s="166"/>
      <c r="O311" s="166"/>
      <c r="P311" s="166"/>
      <c r="R311" s="199"/>
      <c r="S311" s="199"/>
      <c r="T311" s="199"/>
      <c r="U311" s="199"/>
      <c r="V311" s="199"/>
      <c r="W311" s="199"/>
      <c r="X311" s="199"/>
      <c r="Y311" s="199"/>
      <c r="Z311" s="199"/>
      <c r="AA311" s="199"/>
      <c r="AB311" s="199"/>
      <c r="AC311" s="199"/>
      <c r="AD311" s="199"/>
      <c r="AE311" s="199"/>
      <c r="AF311" s="199"/>
      <c r="AG311" s="199"/>
      <c r="AH311" s="279"/>
      <c r="AI311" s="279"/>
    </row>
    <row r="312" spans="1:37" hidden="1" outlineLevel="1" collapsed="1">
      <c r="B312" s="32"/>
      <c r="C312" s="199"/>
      <c r="D312" s="199"/>
      <c r="E312" s="199"/>
      <c r="F312" s="199"/>
      <c r="G312" s="199"/>
      <c r="H312" s="199"/>
      <c r="I312" s="199"/>
      <c r="J312" s="199"/>
      <c r="K312" s="199"/>
      <c r="R312" s="199"/>
      <c r="S312" s="199"/>
      <c r="T312" s="199"/>
      <c r="U312" s="199"/>
      <c r="V312" s="199"/>
      <c r="W312" s="199"/>
      <c r="X312" s="199"/>
      <c r="Y312" s="199"/>
      <c r="Z312" s="199"/>
      <c r="AA312" s="199"/>
      <c r="AB312" s="199"/>
      <c r="AC312" s="199"/>
      <c r="AD312" s="199"/>
      <c r="AE312" s="199"/>
      <c r="AF312" s="199"/>
      <c r="AG312" s="199"/>
      <c r="AH312" s="199"/>
      <c r="AI312" s="199"/>
    </row>
    <row r="313" spans="1:37" collapsed="1">
      <c r="B313" s="5" t="s">
        <v>490</v>
      </c>
      <c r="C313" s="167"/>
      <c r="D313" s="167"/>
      <c r="E313" s="167"/>
      <c r="F313" s="167"/>
      <c r="G313" s="167"/>
      <c r="H313" s="167"/>
      <c r="I313" s="167"/>
      <c r="J313" s="167"/>
      <c r="K313" s="167"/>
      <c r="L313" s="167"/>
      <c r="M313" s="167"/>
      <c r="N313" s="167"/>
      <c r="O313" s="167"/>
      <c r="P313" s="167"/>
      <c r="Q313" s="167"/>
      <c r="R313" s="167"/>
      <c r="S313" s="167"/>
      <c r="T313" s="167"/>
      <c r="U313" s="167"/>
      <c r="V313" s="167"/>
      <c r="W313" s="167"/>
      <c r="X313" s="167"/>
      <c r="Y313" s="167"/>
      <c r="Z313" s="167"/>
      <c r="AA313" s="167"/>
      <c r="AB313" s="167"/>
      <c r="AC313" s="167"/>
      <c r="AD313" s="167"/>
      <c r="AE313" s="167"/>
      <c r="AF313" s="167"/>
      <c r="AG313" s="167"/>
      <c r="AH313" s="167"/>
      <c r="AI313" s="167"/>
      <c r="AJ313" s="167"/>
      <c r="AK313" s="167"/>
    </row>
    <row r="314" spans="1:37" hidden="1" outlineLevel="1">
      <c r="B314" s="25" t="s">
        <v>0</v>
      </c>
      <c r="C314" s="199"/>
      <c r="D314" s="199"/>
      <c r="E314" s="199"/>
      <c r="F314" s="199"/>
      <c r="G314" s="199"/>
      <c r="H314" s="199"/>
      <c r="I314" s="199"/>
      <c r="J314" s="199"/>
      <c r="K314" s="199"/>
      <c r="L314" s="283">
        <v>14</v>
      </c>
      <c r="R314" s="199"/>
      <c r="S314" s="199"/>
      <c r="T314" s="199"/>
      <c r="U314" s="199"/>
      <c r="V314" s="199"/>
      <c r="W314" s="199"/>
      <c r="X314" s="199"/>
      <c r="Y314" s="199"/>
      <c r="Z314" s="199"/>
      <c r="AA314" s="199"/>
      <c r="AB314" s="199"/>
      <c r="AC314" s="199"/>
      <c r="AD314" s="199"/>
      <c r="AE314" s="199"/>
      <c r="AF314" s="199"/>
      <c r="AG314" s="199"/>
      <c r="AH314" s="199"/>
      <c r="AI314" s="199"/>
      <c r="AJ314" s="283">
        <v>14</v>
      </c>
      <c r="AK314" s="216">
        <f>L314-AJ314</f>
        <v>0</v>
      </c>
    </row>
    <row r="315" spans="1:37" hidden="1" outlineLevel="1">
      <c r="B315" s="32"/>
      <c r="C315" s="199"/>
      <c r="D315" s="199"/>
      <c r="E315" s="199"/>
      <c r="F315" s="199"/>
      <c r="G315" s="199"/>
      <c r="H315" s="199"/>
      <c r="I315" s="199"/>
      <c r="J315" s="199"/>
      <c r="K315" s="199"/>
      <c r="R315" s="199"/>
      <c r="S315" s="199"/>
      <c r="T315" s="199"/>
      <c r="U315" s="199"/>
      <c r="V315" s="199"/>
      <c r="W315" s="199"/>
      <c r="X315" s="199"/>
      <c r="Y315" s="199"/>
      <c r="Z315" s="199"/>
      <c r="AA315" s="199"/>
      <c r="AB315" s="199"/>
      <c r="AC315" s="199"/>
      <c r="AD315" s="199"/>
      <c r="AE315" s="199"/>
      <c r="AF315" s="199"/>
      <c r="AG315" s="199"/>
      <c r="AH315" s="199"/>
      <c r="AI315" s="199"/>
    </row>
    <row r="316" spans="1:37" collapsed="1">
      <c r="B316" s="5" t="s">
        <v>40</v>
      </c>
      <c r="C316" s="167"/>
      <c r="D316" s="167"/>
      <c r="E316" s="167"/>
      <c r="F316" s="167"/>
      <c r="G316" s="167"/>
      <c r="H316" s="167"/>
      <c r="I316" s="167"/>
      <c r="J316" s="167"/>
      <c r="K316" s="167"/>
      <c r="L316" s="167"/>
      <c r="M316" s="167"/>
      <c r="N316" s="167"/>
      <c r="O316" s="167"/>
      <c r="P316" s="167"/>
      <c r="Q316" s="167"/>
      <c r="R316" s="167"/>
      <c r="S316" s="167"/>
      <c r="T316" s="167"/>
      <c r="U316" s="167"/>
      <c r="V316" s="167"/>
      <c r="W316" s="167"/>
      <c r="X316" s="167"/>
      <c r="Y316" s="167"/>
      <c r="Z316" s="167"/>
      <c r="AA316" s="167"/>
      <c r="AB316" s="167"/>
      <c r="AC316" s="167"/>
      <c r="AD316" s="167"/>
      <c r="AE316" s="167"/>
      <c r="AF316" s="167"/>
      <c r="AG316" s="167"/>
      <c r="AH316" s="167"/>
      <c r="AI316" s="167"/>
      <c r="AJ316" s="167"/>
      <c r="AK316" s="167"/>
    </row>
    <row r="317" spans="1:37">
      <c r="B317" s="25" t="s">
        <v>0</v>
      </c>
      <c r="C317" s="199"/>
      <c r="D317" s="199"/>
      <c r="E317" s="199"/>
      <c r="F317" s="199"/>
      <c r="G317" s="26">
        <v>985</v>
      </c>
      <c r="H317" s="28">
        <v>3684</v>
      </c>
      <c r="I317" s="28">
        <v>4324</v>
      </c>
      <c r="J317" s="28">
        <v>5594</v>
      </c>
      <c r="K317" s="28">
        <v>5743</v>
      </c>
      <c r="L317" s="216">
        <f>K317*(1+L318)</f>
        <v>5944.0049999999992</v>
      </c>
      <c r="M317" s="216">
        <f t="shared" ref="M317" si="683">L317*(1+M318)</f>
        <v>6241.2052499999991</v>
      </c>
      <c r="N317" s="216">
        <f t="shared" ref="N317" si="684">M317*(1+N318)</f>
        <v>6553.2655124999992</v>
      </c>
      <c r="O317" s="216">
        <f t="shared" ref="O317" si="685">N317*(1+O318)</f>
        <v>6880.9287881249993</v>
      </c>
      <c r="P317" s="216">
        <f t="shared" ref="P317" si="686">O317*(1+P318)</f>
        <v>7224.9752275312494</v>
      </c>
      <c r="Q317" s="200"/>
      <c r="R317" s="199"/>
      <c r="S317" s="199"/>
      <c r="T317" s="199"/>
      <c r="U317" s="199"/>
      <c r="V317" s="199"/>
      <c r="W317" s="199"/>
      <c r="X317" s="199"/>
      <c r="Y317" s="199"/>
      <c r="Z317" s="26">
        <v>631</v>
      </c>
      <c r="AA317" s="59">
        <f>G317-Z317</f>
        <v>354</v>
      </c>
      <c r="AB317" s="26">
        <v>1979</v>
      </c>
      <c r="AC317" s="59">
        <f>H317-AB317</f>
        <v>1705</v>
      </c>
      <c r="AD317" s="28">
        <v>2433</v>
      </c>
      <c r="AE317" s="56">
        <f>I317-AD317</f>
        <v>1891</v>
      </c>
      <c r="AF317" s="28">
        <v>2828</v>
      </c>
      <c r="AG317" s="56">
        <f>J317-AF317</f>
        <v>2766</v>
      </c>
      <c r="AH317" s="28">
        <v>2982</v>
      </c>
      <c r="AI317" s="56">
        <f>K317-AH317</f>
        <v>2761</v>
      </c>
      <c r="AJ317" s="216">
        <f>AH317*(1+AJ318)</f>
        <v>3101.28</v>
      </c>
      <c r="AK317" s="216">
        <f>L317-AJ317</f>
        <v>2842.724999999999</v>
      </c>
    </row>
    <row r="318" spans="1:37">
      <c r="A318" s="6" t="s">
        <v>366</v>
      </c>
      <c r="B318" s="32" t="s">
        <v>265</v>
      </c>
      <c r="C318" s="199"/>
      <c r="D318" s="199"/>
      <c r="E318" s="199"/>
      <c r="F318" s="199"/>
      <c r="G318" s="279"/>
      <c r="H318" s="279">
        <f>H317/G317-1</f>
        <v>2.7401015228426395</v>
      </c>
      <c r="I318" s="279">
        <f>I317/H317-1</f>
        <v>0.17372421281216077</v>
      </c>
      <c r="J318" s="279">
        <f>J317/I317-1</f>
        <v>0.29370952821461604</v>
      </c>
      <c r="K318" s="279">
        <f>K317/J317-1</f>
        <v>2.663568108687886E-2</v>
      </c>
      <c r="L318" s="160">
        <v>3.5000000000000003E-2</v>
      </c>
      <c r="M318" s="160">
        <v>0.05</v>
      </c>
      <c r="N318" s="160">
        <v>0.05</v>
      </c>
      <c r="O318" s="160">
        <v>0.05</v>
      </c>
      <c r="P318" s="160">
        <v>0.05</v>
      </c>
      <c r="Q318" s="200"/>
      <c r="R318" s="199"/>
      <c r="S318" s="199"/>
      <c r="T318" s="199"/>
      <c r="U318" s="199"/>
      <c r="V318" s="199"/>
      <c r="W318" s="199"/>
      <c r="X318" s="199"/>
      <c r="Y318" s="199"/>
      <c r="Z318" s="279"/>
      <c r="AA318" s="279"/>
      <c r="AB318" s="279">
        <f t="shared" ref="AB318:AI318" si="687">AB317/Z317-1</f>
        <v>2.1362916006339145</v>
      </c>
      <c r="AC318" s="279">
        <f t="shared" si="687"/>
        <v>3.8163841807909602</v>
      </c>
      <c r="AD318" s="279">
        <f t="shared" si="687"/>
        <v>0.22940879231935329</v>
      </c>
      <c r="AE318" s="279">
        <f t="shared" si="687"/>
        <v>0.10909090909090913</v>
      </c>
      <c r="AF318" s="279">
        <f t="shared" si="687"/>
        <v>0.16235100698725846</v>
      </c>
      <c r="AG318" s="279">
        <f t="shared" si="687"/>
        <v>0.46271813855103128</v>
      </c>
      <c r="AH318" s="279">
        <f t="shared" si="687"/>
        <v>5.4455445544554504E-2</v>
      </c>
      <c r="AI318" s="279">
        <f t="shared" si="687"/>
        <v>-1.8076644974692746E-3</v>
      </c>
      <c r="AJ318" s="160">
        <v>0.04</v>
      </c>
      <c r="AK318" s="166">
        <f>AK317/AI317-1</f>
        <v>2.9599782687431686E-2</v>
      </c>
    </row>
    <row r="319" spans="1:37">
      <c r="B319" s="32"/>
      <c r="C319" s="199"/>
      <c r="D319" s="199"/>
      <c r="E319" s="199"/>
      <c r="F319" s="199"/>
      <c r="G319" s="199"/>
      <c r="H319" s="199"/>
      <c r="I319" s="199"/>
      <c r="J319" s="199"/>
      <c r="K319" s="199"/>
      <c r="L319" s="200"/>
      <c r="M319" s="200"/>
      <c r="N319" s="200"/>
      <c r="O319" s="200"/>
      <c r="P319" s="200"/>
      <c r="Q319" s="200"/>
      <c r="R319" s="199"/>
      <c r="S319" s="199"/>
      <c r="T319" s="199"/>
      <c r="U319" s="199"/>
      <c r="V319" s="199"/>
      <c r="W319" s="199"/>
      <c r="X319" s="199"/>
      <c r="Y319" s="199"/>
      <c r="Z319" s="199"/>
      <c r="AA319" s="199"/>
      <c r="AB319" s="199"/>
      <c r="AC319" s="199"/>
      <c r="AD319" s="199"/>
      <c r="AE319" s="199"/>
      <c r="AF319" s="199"/>
      <c r="AG319" s="199"/>
      <c r="AH319" s="199"/>
      <c r="AI319" s="199"/>
      <c r="AJ319" s="200"/>
      <c r="AK319" s="200"/>
    </row>
    <row r="320" spans="1:37">
      <c r="B320" s="25" t="s">
        <v>39</v>
      </c>
      <c r="C320" s="199"/>
      <c r="D320" s="199"/>
      <c r="E320" s="199"/>
      <c r="F320" s="199"/>
      <c r="G320" s="65">
        <v>28</v>
      </c>
      <c r="H320" s="67">
        <v>56</v>
      </c>
      <c r="I320" s="67">
        <v>63</v>
      </c>
      <c r="J320" s="67">
        <v>122</v>
      </c>
      <c r="K320" s="67">
        <v>137</v>
      </c>
      <c r="L320" s="216">
        <f>L322*L317</f>
        <v>147.73900499999999</v>
      </c>
      <c r="M320" s="216">
        <f t="shared" ref="M320:P320" si="688">M322*M317</f>
        <v>161.36716049999998</v>
      </c>
      <c r="N320" s="216">
        <f t="shared" si="688"/>
        <v>169.43551852499999</v>
      </c>
      <c r="O320" s="216">
        <f t="shared" si="688"/>
        <v>177.90729445125001</v>
      </c>
      <c r="P320" s="216">
        <f t="shared" si="688"/>
        <v>186.80265917381251</v>
      </c>
      <c r="Q320" s="200"/>
      <c r="R320" s="199"/>
      <c r="S320" s="199"/>
      <c r="T320" s="199"/>
      <c r="U320" s="199"/>
      <c r="V320" s="199"/>
      <c r="W320" s="199"/>
      <c r="X320" s="199"/>
      <c r="Y320" s="199"/>
      <c r="Z320" s="65">
        <v>9</v>
      </c>
      <c r="AA320" s="66">
        <f>G320-Z320</f>
        <v>19</v>
      </c>
      <c r="AB320" s="65">
        <v>18</v>
      </c>
      <c r="AC320" s="66">
        <f>H320-AB320</f>
        <v>38</v>
      </c>
      <c r="AD320" s="67">
        <v>38</v>
      </c>
      <c r="AE320" s="68">
        <f>I320-AD320</f>
        <v>25</v>
      </c>
      <c r="AF320" s="67">
        <v>71</v>
      </c>
      <c r="AG320" s="68">
        <f>J320-AF320</f>
        <v>51</v>
      </c>
      <c r="AH320" s="67">
        <v>78</v>
      </c>
      <c r="AI320" s="68">
        <f>K320-AH320</f>
        <v>59</v>
      </c>
      <c r="AJ320" s="216">
        <f>AJ322*AJ317</f>
        <v>84.221280000000007</v>
      </c>
      <c r="AK320" s="216">
        <f>L320-AJ320</f>
        <v>63.517724999999984</v>
      </c>
    </row>
    <row r="321" spans="1:47">
      <c r="B321" s="32" t="s">
        <v>270</v>
      </c>
      <c r="C321" s="199"/>
      <c r="D321" s="199"/>
      <c r="E321" s="199"/>
      <c r="F321" s="199"/>
      <c r="G321" s="199"/>
      <c r="H321" s="279">
        <f>H320/G320-1</f>
        <v>1</v>
      </c>
      <c r="I321" s="279">
        <f>I320/H320-1</f>
        <v>0.125</v>
      </c>
      <c r="J321" s="279">
        <f>J320/I320-1</f>
        <v>0.93650793650793651</v>
      </c>
      <c r="K321" s="279">
        <f>K320/J320-1</f>
        <v>0.12295081967213117</v>
      </c>
      <c r="L321" s="274">
        <f t="shared" ref="L321" si="689">L320/K320-1</f>
        <v>7.8386897810218903E-2</v>
      </c>
      <c r="M321" s="274">
        <f t="shared" ref="M321" si="690">M320/L320-1</f>
        <v>9.2244803598074743E-2</v>
      </c>
      <c r="N321" s="274">
        <f t="shared" ref="N321" si="691">N320/M320-1</f>
        <v>5.0000000000000044E-2</v>
      </c>
      <c r="O321" s="274">
        <f t="shared" ref="O321" si="692">O320/N320-1</f>
        <v>5.0000000000000044E-2</v>
      </c>
      <c r="P321" s="274">
        <f t="shared" ref="P321" si="693">P320/O320-1</f>
        <v>5.0000000000000044E-2</v>
      </c>
      <c r="Q321" s="200"/>
      <c r="R321" s="199"/>
      <c r="S321" s="199"/>
      <c r="T321" s="199"/>
      <c r="U321" s="199"/>
      <c r="V321" s="199"/>
      <c r="W321" s="199"/>
      <c r="X321" s="199"/>
      <c r="Y321" s="199"/>
      <c r="Z321" s="199"/>
      <c r="AA321" s="199"/>
      <c r="AB321" s="279">
        <f t="shared" ref="AB321:AK321" si="694">AB320/Z320-1</f>
        <v>1</v>
      </c>
      <c r="AC321" s="279">
        <f t="shared" si="694"/>
        <v>1</v>
      </c>
      <c r="AD321" s="279">
        <f t="shared" si="694"/>
        <v>1.1111111111111112</v>
      </c>
      <c r="AE321" s="279">
        <f t="shared" si="694"/>
        <v>-0.34210526315789469</v>
      </c>
      <c r="AF321" s="279">
        <f t="shared" si="694"/>
        <v>0.86842105263157898</v>
      </c>
      <c r="AG321" s="279">
        <f t="shared" si="694"/>
        <v>1.04</v>
      </c>
      <c r="AH321" s="279">
        <f t="shared" si="694"/>
        <v>9.8591549295774739E-2</v>
      </c>
      <c r="AI321" s="279">
        <f t="shared" si="694"/>
        <v>0.15686274509803932</v>
      </c>
      <c r="AJ321" s="166">
        <f t="shared" si="694"/>
        <v>7.9760000000000053E-2</v>
      </c>
      <c r="AK321" s="166">
        <f t="shared" si="694"/>
        <v>7.6571610169491322E-2</v>
      </c>
    </row>
    <row r="322" spans="1:47">
      <c r="B322" s="32" t="s">
        <v>259</v>
      </c>
      <c r="C322" s="199"/>
      <c r="D322" s="199"/>
      <c r="E322" s="199"/>
      <c r="F322" s="199"/>
      <c r="G322" s="281">
        <f>G320/G317</f>
        <v>2.8426395939086295E-2</v>
      </c>
      <c r="H322" s="281">
        <f>H320/H317</f>
        <v>1.5200868621064061E-2</v>
      </c>
      <c r="I322" s="281">
        <f>I320/I317</f>
        <v>1.4569842738205366E-2</v>
      </c>
      <c r="J322" s="281">
        <f>J320/J317</f>
        <v>2.1809081158383984E-2</v>
      </c>
      <c r="K322" s="281">
        <f>K320/K317</f>
        <v>2.3855127981890999E-2</v>
      </c>
      <c r="L322" s="254">
        <f>K322+L323</f>
        <v>2.4855127981891E-2</v>
      </c>
      <c r="M322" s="254">
        <f t="shared" ref="M322:P322" si="695">L322+M323</f>
        <v>2.5855127981891001E-2</v>
      </c>
      <c r="N322" s="254">
        <f t="shared" si="695"/>
        <v>2.5855127981891001E-2</v>
      </c>
      <c r="O322" s="254">
        <f t="shared" si="695"/>
        <v>2.5855127981891001E-2</v>
      </c>
      <c r="P322" s="254">
        <f t="shared" si="695"/>
        <v>2.5855127981891001E-2</v>
      </c>
      <c r="Q322" s="200"/>
      <c r="R322" s="199"/>
      <c r="S322" s="199"/>
      <c r="T322" s="199"/>
      <c r="U322" s="199"/>
      <c r="V322" s="199"/>
      <c r="W322" s="199"/>
      <c r="X322" s="199"/>
      <c r="Y322" s="199"/>
      <c r="Z322" s="281">
        <f t="shared" ref="Z322:AI322" si="696">Z320/Z317</f>
        <v>1.4263074484944533E-2</v>
      </c>
      <c r="AA322" s="281">
        <f t="shared" si="696"/>
        <v>5.3672316384180789E-2</v>
      </c>
      <c r="AB322" s="281">
        <f t="shared" si="696"/>
        <v>9.0955027791814053E-3</v>
      </c>
      <c r="AC322" s="281">
        <f t="shared" si="696"/>
        <v>2.2287390029325515E-2</v>
      </c>
      <c r="AD322" s="281">
        <f t="shared" si="696"/>
        <v>1.5618577887381833E-2</v>
      </c>
      <c r="AE322" s="281">
        <f t="shared" si="696"/>
        <v>1.3220518244315178E-2</v>
      </c>
      <c r="AF322" s="281">
        <f t="shared" si="696"/>
        <v>2.5106082036775106E-2</v>
      </c>
      <c r="AG322" s="281">
        <f t="shared" si="696"/>
        <v>1.843817787418655E-2</v>
      </c>
      <c r="AH322" s="281">
        <f t="shared" si="696"/>
        <v>2.6156941649899398E-2</v>
      </c>
      <c r="AI322" s="281">
        <f t="shared" si="696"/>
        <v>2.1369069177834116E-2</v>
      </c>
      <c r="AJ322" s="277">
        <f>AH322+AJ323</f>
        <v>2.7156941649899399E-2</v>
      </c>
      <c r="AK322" s="274">
        <f>AK320/AK317</f>
        <v>2.2343956942722214E-2</v>
      </c>
    </row>
    <row r="323" spans="1:47">
      <c r="B323" s="32" t="s">
        <v>268</v>
      </c>
      <c r="C323" s="199"/>
      <c r="D323" s="199"/>
      <c r="E323" s="199"/>
      <c r="F323" s="199"/>
      <c r="G323" s="199"/>
      <c r="H323" s="256">
        <f>H322-G322</f>
        <v>-1.3225527318022234E-2</v>
      </c>
      <c r="I323" s="256">
        <f>I322-H322</f>
        <v>-6.3102588285869447E-4</v>
      </c>
      <c r="J323" s="256">
        <f>J322-I322</f>
        <v>7.2392384201786179E-3</v>
      </c>
      <c r="K323" s="256">
        <f>K322-J322</f>
        <v>2.0460468235070153E-3</v>
      </c>
      <c r="L323" s="255">
        <v>1E-3</v>
      </c>
      <c r="M323" s="255">
        <v>1E-3</v>
      </c>
      <c r="N323" s="255">
        <v>0</v>
      </c>
      <c r="O323" s="255">
        <v>0</v>
      </c>
      <c r="P323" s="255">
        <v>0</v>
      </c>
      <c r="Q323" s="200"/>
      <c r="R323" s="199"/>
      <c r="S323" s="199"/>
      <c r="T323" s="199"/>
      <c r="U323" s="199"/>
      <c r="V323" s="199"/>
      <c r="W323" s="199"/>
      <c r="X323" s="199"/>
      <c r="Y323" s="199"/>
      <c r="Z323" s="199"/>
      <c r="AA323" s="199"/>
      <c r="AB323" s="244">
        <f t="shared" ref="AB323:AI323" si="697">AB322-Z322</f>
        <v>-5.1675717057631278E-3</v>
      </c>
      <c r="AC323" s="244">
        <f t="shared" si="697"/>
        <v>-3.1384926354855278E-2</v>
      </c>
      <c r="AD323" s="244">
        <f t="shared" si="697"/>
        <v>6.5230751082004275E-3</v>
      </c>
      <c r="AE323" s="244">
        <f t="shared" si="697"/>
        <v>-9.0668717850103369E-3</v>
      </c>
      <c r="AF323" s="244">
        <f t="shared" si="697"/>
        <v>9.4875041493932728E-3</v>
      </c>
      <c r="AG323" s="244">
        <f t="shared" si="697"/>
        <v>5.2176596298713716E-3</v>
      </c>
      <c r="AH323" s="244">
        <f t="shared" si="697"/>
        <v>1.0508596131242921E-3</v>
      </c>
      <c r="AI323" s="244">
        <f t="shared" si="697"/>
        <v>2.9308913036475669E-3</v>
      </c>
      <c r="AJ323" s="160">
        <v>1E-3</v>
      </c>
      <c r="AK323" s="274">
        <f>AK322-AI322</f>
        <v>9.7488776488809797E-4</v>
      </c>
    </row>
    <row r="324" spans="1:47">
      <c r="B324" s="32"/>
      <c r="C324" s="199"/>
      <c r="D324" s="199"/>
      <c r="E324" s="199"/>
      <c r="F324" s="199"/>
      <c r="G324" s="199"/>
      <c r="H324" s="199"/>
      <c r="I324" s="199"/>
      <c r="J324" s="199"/>
      <c r="K324" s="199"/>
      <c r="L324" s="200"/>
      <c r="M324" s="200"/>
      <c r="N324" s="200"/>
      <c r="O324" s="200"/>
      <c r="P324" s="200"/>
      <c r="Q324" s="200"/>
      <c r="R324" s="199"/>
      <c r="S324" s="199"/>
      <c r="T324" s="199"/>
      <c r="U324" s="199"/>
      <c r="V324" s="199"/>
      <c r="W324" s="199"/>
      <c r="X324" s="199"/>
      <c r="Y324" s="199"/>
      <c r="Z324" s="199"/>
      <c r="AA324" s="199"/>
      <c r="AB324" s="199"/>
      <c r="AC324" s="199"/>
      <c r="AD324" s="199"/>
      <c r="AE324" s="199"/>
      <c r="AF324" s="199"/>
      <c r="AG324" s="199"/>
      <c r="AH324" s="199"/>
      <c r="AI324" s="199"/>
      <c r="AJ324" s="200"/>
      <c r="AK324" s="200"/>
    </row>
    <row r="325" spans="1:47">
      <c r="B325" s="53" t="s">
        <v>73</v>
      </c>
      <c r="C325" s="199"/>
      <c r="D325" s="199"/>
      <c r="E325" s="199"/>
      <c r="F325" s="199"/>
      <c r="G325" s="69">
        <f>G317-G326</f>
        <v>381</v>
      </c>
      <c r="H325" s="69">
        <f>H317-H326</f>
        <v>2599</v>
      </c>
      <c r="I325" s="20">
        <v>3126</v>
      </c>
      <c r="J325" s="20">
        <v>3305</v>
      </c>
      <c r="K325" s="20">
        <v>3485</v>
      </c>
      <c r="L325" s="200"/>
      <c r="M325" s="200"/>
      <c r="N325" s="200"/>
      <c r="O325" s="200"/>
      <c r="P325" s="200"/>
      <c r="Q325" s="200"/>
      <c r="R325" s="199"/>
      <c r="S325" s="199"/>
      <c r="T325" s="199"/>
      <c r="U325" s="199"/>
      <c r="V325" s="199"/>
      <c r="W325" s="199"/>
      <c r="X325" s="199"/>
      <c r="Y325" s="199"/>
      <c r="Z325" s="199"/>
      <c r="AA325" s="199"/>
      <c r="AB325" s="69">
        <f t="shared" ref="AB325:AE325" si="698">AB317-AB326</f>
        <v>1426</v>
      </c>
      <c r="AC325" s="69">
        <f t="shared" si="698"/>
        <v>1173</v>
      </c>
      <c r="AD325" s="69">
        <f t="shared" si="698"/>
        <v>1802</v>
      </c>
      <c r="AE325" s="69">
        <f t="shared" si="698"/>
        <v>1324</v>
      </c>
      <c r="AF325" s="20">
        <v>1667</v>
      </c>
      <c r="AG325" s="43">
        <f>J325-AF325</f>
        <v>1638</v>
      </c>
      <c r="AH325" s="20">
        <v>1780</v>
      </c>
      <c r="AI325" s="43">
        <f>K325-AH325</f>
        <v>1705</v>
      </c>
      <c r="AJ325" s="200"/>
      <c r="AK325" s="200"/>
    </row>
    <row r="326" spans="1:47">
      <c r="B326" s="53" t="s">
        <v>74</v>
      </c>
      <c r="C326" s="199"/>
      <c r="D326" s="199"/>
      <c r="E326" s="199"/>
      <c r="F326" s="199"/>
      <c r="G326" s="42">
        <v>604</v>
      </c>
      <c r="H326" s="20">
        <v>1085</v>
      </c>
      <c r="I326" s="20">
        <v>1198</v>
      </c>
      <c r="J326" s="19">
        <f>J317-J325</f>
        <v>2289</v>
      </c>
      <c r="K326" s="19">
        <f>K317-K325</f>
        <v>2258</v>
      </c>
      <c r="L326" s="200"/>
      <c r="M326" s="200"/>
      <c r="N326" s="200"/>
      <c r="O326" s="200"/>
      <c r="P326" s="200"/>
      <c r="Q326" s="200"/>
      <c r="R326" s="199"/>
      <c r="S326" s="199"/>
      <c r="T326" s="199"/>
      <c r="U326" s="199"/>
      <c r="V326" s="199"/>
      <c r="W326" s="199"/>
      <c r="X326" s="199"/>
      <c r="Y326" s="199"/>
      <c r="Z326" s="199"/>
      <c r="AA326" s="199"/>
      <c r="AB326" s="42">
        <v>553</v>
      </c>
      <c r="AC326" s="69">
        <f>H326-AB326</f>
        <v>532</v>
      </c>
      <c r="AD326" s="20">
        <v>631</v>
      </c>
      <c r="AE326" s="43">
        <f>I326-AD326</f>
        <v>567</v>
      </c>
      <c r="AF326" s="20">
        <v>1161</v>
      </c>
      <c r="AG326" s="43">
        <f>J326-AF326</f>
        <v>1128</v>
      </c>
      <c r="AH326" s="20">
        <v>1202</v>
      </c>
      <c r="AI326" s="19">
        <f>AI317-AI325</f>
        <v>1056</v>
      </c>
      <c r="AJ326" s="200"/>
      <c r="AK326" s="200"/>
    </row>
    <row r="327" spans="1:47">
      <c r="B327" s="32"/>
      <c r="C327" s="199"/>
      <c r="D327" s="199"/>
      <c r="E327" s="199"/>
      <c r="F327" s="199"/>
      <c r="G327" s="199"/>
      <c r="H327" s="199"/>
      <c r="I327" s="199"/>
      <c r="J327" s="199"/>
      <c r="K327" s="199"/>
      <c r="L327" s="200"/>
      <c r="M327" s="200"/>
      <c r="N327" s="200"/>
      <c r="O327" s="200"/>
      <c r="P327" s="200"/>
      <c r="Q327" s="200"/>
      <c r="R327" s="199"/>
      <c r="S327" s="199"/>
      <c r="T327" s="199"/>
      <c r="U327" s="199"/>
      <c r="V327" s="199"/>
      <c r="W327" s="199"/>
      <c r="X327" s="199"/>
      <c r="Y327" s="199"/>
      <c r="Z327" s="199"/>
      <c r="AA327" s="199"/>
      <c r="AB327" s="199"/>
      <c r="AC327" s="199"/>
      <c r="AD327" s="199"/>
      <c r="AE327" s="199"/>
      <c r="AF327" s="199"/>
      <c r="AG327" s="199"/>
      <c r="AH327" s="199"/>
      <c r="AI327" s="199"/>
      <c r="AJ327" s="200"/>
      <c r="AK327" s="200"/>
    </row>
    <row r="328" spans="1:47">
      <c r="B328" s="5" t="s">
        <v>77</v>
      </c>
      <c r="C328" s="167"/>
      <c r="D328" s="167"/>
      <c r="E328" s="167"/>
      <c r="F328" s="167"/>
      <c r="G328" s="167"/>
      <c r="H328" s="167"/>
      <c r="I328" s="167"/>
      <c r="J328" s="167"/>
      <c r="K328" s="167"/>
      <c r="L328" s="167"/>
      <c r="M328" s="167"/>
      <c r="N328" s="167"/>
      <c r="O328" s="167"/>
      <c r="P328" s="167"/>
      <c r="Q328" s="167"/>
      <c r="R328" s="167"/>
      <c r="S328" s="167"/>
      <c r="T328" s="167"/>
      <c r="U328" s="167"/>
      <c r="V328" s="167"/>
      <c r="W328" s="167"/>
      <c r="X328" s="167"/>
      <c r="Y328" s="167"/>
      <c r="Z328" s="167"/>
      <c r="AA328" s="167"/>
      <c r="AB328" s="167"/>
      <c r="AC328" s="167"/>
      <c r="AD328" s="167"/>
      <c r="AE328" s="167"/>
      <c r="AF328" s="167"/>
      <c r="AG328" s="167"/>
      <c r="AH328" s="167"/>
      <c r="AI328" s="167"/>
      <c r="AJ328" s="167"/>
      <c r="AK328" s="167"/>
    </row>
    <row r="329" spans="1:47">
      <c r="B329" s="25" t="s">
        <v>0</v>
      </c>
      <c r="C329" s="18"/>
      <c r="D329" s="20"/>
      <c r="E329" s="20"/>
      <c r="F329" s="20"/>
      <c r="G329" s="20"/>
      <c r="H329" s="20"/>
      <c r="I329" s="20"/>
      <c r="J329" s="22"/>
      <c r="K329" s="22"/>
      <c r="L329" s="200"/>
      <c r="M329" s="200"/>
      <c r="N329" s="200"/>
      <c r="O329" s="200"/>
      <c r="P329" s="200"/>
      <c r="Q329" s="200"/>
      <c r="R329" s="18"/>
      <c r="S329" s="19"/>
      <c r="T329" s="18"/>
      <c r="U329" s="19"/>
      <c r="V329" s="20"/>
      <c r="W329" s="19"/>
      <c r="X329" s="20"/>
      <c r="Y329" s="19"/>
      <c r="Z329" s="20"/>
      <c r="AA329" s="19"/>
      <c r="AB329" s="20"/>
      <c r="AC329" s="19"/>
      <c r="AD329" s="20"/>
      <c r="AE329" s="21"/>
      <c r="AF329" s="22"/>
      <c r="AG329" s="21"/>
      <c r="AH329" s="22"/>
      <c r="AI329" s="21"/>
      <c r="AJ329" s="200"/>
      <c r="AK329" s="200"/>
    </row>
    <row r="330" spans="1:47">
      <c r="B330" s="32" t="s">
        <v>555</v>
      </c>
      <c r="C330" s="199"/>
      <c r="D330" s="199"/>
      <c r="E330" s="199"/>
      <c r="F330" s="199"/>
      <c r="G330" s="199"/>
      <c r="H330" s="199"/>
      <c r="I330" s="199"/>
      <c r="J330" s="199">
        <v>214</v>
      </c>
      <c r="K330" s="199">
        <v>238</v>
      </c>
      <c r="L330" s="200"/>
      <c r="M330" s="200"/>
      <c r="N330" s="200"/>
      <c r="O330" s="200"/>
      <c r="P330" s="200"/>
      <c r="Q330" s="200"/>
      <c r="R330" s="199"/>
      <c r="S330" s="199"/>
      <c r="T330" s="199"/>
      <c r="U330" s="199"/>
      <c r="V330" s="199"/>
      <c r="W330" s="199"/>
      <c r="X330" s="199"/>
      <c r="Y330" s="199"/>
      <c r="Z330" s="199"/>
      <c r="AA330" s="199"/>
      <c r="AB330" s="199"/>
      <c r="AC330" s="199"/>
      <c r="AD330" s="199"/>
      <c r="AE330" s="199"/>
      <c r="AF330" s="199"/>
      <c r="AG330" s="199"/>
      <c r="AH330" s="199"/>
      <c r="AI330" s="199"/>
      <c r="AJ330" s="200"/>
      <c r="AK330" s="200"/>
    </row>
    <row r="331" spans="1:47">
      <c r="B331" s="32" t="s">
        <v>556</v>
      </c>
      <c r="C331" s="199"/>
      <c r="D331" s="199"/>
      <c r="E331" s="199"/>
      <c r="F331" s="199"/>
      <c r="G331" s="199"/>
      <c r="H331" s="199"/>
      <c r="I331" s="199"/>
      <c r="J331" s="199">
        <v>12</v>
      </c>
      <c r="K331" s="199">
        <v>8</v>
      </c>
      <c r="L331" s="200"/>
      <c r="M331" s="200"/>
      <c r="N331" s="200"/>
      <c r="O331" s="200"/>
      <c r="P331" s="200"/>
      <c r="Q331" s="200"/>
      <c r="R331" s="199"/>
      <c r="S331" s="199"/>
      <c r="T331" s="199"/>
      <c r="U331" s="199"/>
      <c r="V331" s="199"/>
      <c r="W331" s="199"/>
      <c r="X331" s="199"/>
      <c r="Y331" s="199"/>
      <c r="Z331" s="199"/>
      <c r="AA331" s="199"/>
      <c r="AB331" s="199"/>
      <c r="AC331" s="199"/>
      <c r="AD331" s="199"/>
      <c r="AE331" s="199"/>
      <c r="AF331" s="199"/>
      <c r="AG331" s="199"/>
      <c r="AH331" s="199"/>
      <c r="AI331" s="199"/>
      <c r="AJ331" s="200"/>
      <c r="AK331" s="200"/>
    </row>
    <row r="332" spans="1:47" s="7" customFormat="1">
      <c r="B332" s="25" t="s">
        <v>256</v>
      </c>
      <c r="C332" s="228"/>
      <c r="D332" s="228"/>
      <c r="E332" s="228"/>
      <c r="F332" s="228"/>
      <c r="G332" s="28">
        <v>-233</v>
      </c>
      <c r="H332" s="28">
        <v>-98</v>
      </c>
      <c r="I332" s="28">
        <v>-102</v>
      </c>
      <c r="J332" s="228">
        <f>SUM(J330:J331)</f>
        <v>226</v>
      </c>
      <c r="K332" s="228">
        <f>SUM(K330:K331)</f>
        <v>246</v>
      </c>
      <c r="L332" s="358">
        <f>K332*1.1</f>
        <v>270.60000000000002</v>
      </c>
      <c r="M332" s="358">
        <f t="shared" ref="M332" si="699">L332*1.03</f>
        <v>278.71800000000002</v>
      </c>
      <c r="N332" s="358">
        <f t="shared" ref="N332" si="700">M332*1.03</f>
        <v>287.07954000000001</v>
      </c>
      <c r="O332" s="358">
        <f t="shared" ref="O332" si="701">N332*1.03</f>
        <v>295.69192620000001</v>
      </c>
      <c r="P332" s="358">
        <f t="shared" ref="P332" si="702">O332*1.03</f>
        <v>304.56268398600002</v>
      </c>
      <c r="Q332" s="229"/>
      <c r="R332" s="228"/>
      <c r="S332" s="228"/>
      <c r="T332" s="228"/>
      <c r="U332" s="228"/>
      <c r="V332" s="228"/>
      <c r="W332" s="228"/>
      <c r="X332" s="228"/>
      <c r="Y332" s="228"/>
      <c r="Z332" s="28">
        <v>-130</v>
      </c>
      <c r="AA332" s="27">
        <f>G332-Z332</f>
        <v>-103</v>
      </c>
      <c r="AB332" s="28">
        <v>-51</v>
      </c>
      <c r="AC332" s="27">
        <f>H332-AB332</f>
        <v>-47</v>
      </c>
      <c r="AD332" s="28">
        <v>-60</v>
      </c>
      <c r="AE332" s="39">
        <f>I332-AD332</f>
        <v>-42</v>
      </c>
      <c r="AF332" s="40">
        <v>112</v>
      </c>
      <c r="AG332" s="39">
        <f>J332-AF332</f>
        <v>114</v>
      </c>
      <c r="AH332" s="40">
        <v>120</v>
      </c>
      <c r="AI332" s="39">
        <f>K332-AH332</f>
        <v>126</v>
      </c>
      <c r="AJ332" s="154">
        <f>AH332*1.1</f>
        <v>132</v>
      </c>
      <c r="AK332" s="155">
        <f>L332-AJ332</f>
        <v>138.60000000000002</v>
      </c>
    </row>
    <row r="333" spans="1:47">
      <c r="B333" s="32"/>
      <c r="C333" s="199"/>
      <c r="D333" s="199"/>
      <c r="E333" s="199"/>
      <c r="F333" s="199"/>
      <c r="G333" s="199"/>
      <c r="H333" s="199"/>
      <c r="I333" s="199"/>
      <c r="J333" s="199"/>
      <c r="K333" s="199"/>
      <c r="L333" s="200"/>
      <c r="M333" s="200"/>
      <c r="N333" s="200"/>
      <c r="O333" s="200"/>
      <c r="P333" s="200"/>
      <c r="Q333" s="200"/>
      <c r="R333" s="199"/>
      <c r="S333" s="199"/>
      <c r="T333" s="199"/>
      <c r="U333" s="199"/>
      <c r="V333" s="199"/>
      <c r="W333" s="199"/>
      <c r="X333" s="199"/>
      <c r="Y333" s="199"/>
      <c r="Z333" s="199"/>
      <c r="AA333" s="199"/>
      <c r="AB333" s="199"/>
      <c r="AC333" s="199"/>
      <c r="AD333" s="199"/>
      <c r="AE333" s="199"/>
      <c r="AF333" s="199"/>
      <c r="AG333" s="199"/>
      <c r="AH333" s="199"/>
      <c r="AI333" s="199"/>
      <c r="AJ333" s="200"/>
      <c r="AK333" s="200"/>
    </row>
    <row r="334" spans="1:47">
      <c r="A334" s="6" t="s">
        <v>415</v>
      </c>
      <c r="B334" s="351" t="s">
        <v>558</v>
      </c>
      <c r="C334" s="127"/>
      <c r="D334" s="129"/>
      <c r="E334" s="129"/>
      <c r="F334" s="129"/>
      <c r="G334" s="129"/>
      <c r="H334" s="130"/>
      <c r="I334" s="130"/>
      <c r="J334" s="130"/>
      <c r="K334" s="130"/>
      <c r="L334" s="253"/>
      <c r="M334" s="253"/>
      <c r="N334" s="253"/>
      <c r="O334" s="253"/>
      <c r="P334" s="253"/>
      <c r="Q334" s="200"/>
      <c r="R334" s="126"/>
      <c r="S334" s="128"/>
      <c r="T334" s="128"/>
      <c r="U334" s="128"/>
      <c r="V334" s="129"/>
      <c r="W334" s="128"/>
      <c r="X334" s="129"/>
      <c r="Y334" s="128"/>
      <c r="Z334" s="129"/>
      <c r="AA334" s="128"/>
      <c r="AB334" s="129"/>
      <c r="AC334" s="128"/>
      <c r="AD334" s="130"/>
      <c r="AE334" s="131"/>
      <c r="AF334" s="130"/>
      <c r="AG334" s="131"/>
      <c r="AH334" s="130"/>
      <c r="AI334" s="131"/>
      <c r="AJ334" s="147"/>
      <c r="AK334" s="148"/>
      <c r="AL334" s="114"/>
      <c r="AU334" s="115"/>
    </row>
    <row r="335" spans="1:47">
      <c r="B335" s="32" t="s">
        <v>557</v>
      </c>
      <c r="C335" s="199"/>
      <c r="D335" s="199"/>
      <c r="E335" s="199"/>
      <c r="F335" s="199"/>
      <c r="G335" s="199"/>
      <c r="H335" s="199"/>
      <c r="I335" s="199"/>
      <c r="J335" s="199">
        <v>50</v>
      </c>
      <c r="K335" s="199">
        <v>0</v>
      </c>
      <c r="L335" s="200"/>
      <c r="M335" s="200"/>
      <c r="N335" s="200"/>
      <c r="O335" s="200"/>
      <c r="P335" s="200"/>
      <c r="Q335" s="200"/>
      <c r="R335" s="199"/>
      <c r="S335" s="199"/>
      <c r="T335" s="199"/>
      <c r="U335" s="199"/>
      <c r="V335" s="199"/>
      <c r="W335" s="199"/>
      <c r="X335" s="199"/>
      <c r="Y335" s="199"/>
      <c r="Z335" s="199"/>
      <c r="AA335" s="199"/>
      <c r="AB335" s="199"/>
      <c r="AC335" s="199"/>
      <c r="AD335" s="199"/>
      <c r="AE335" s="199"/>
      <c r="AF335" s="199"/>
      <c r="AG335" s="199"/>
      <c r="AH335" s="199"/>
      <c r="AI335" s="199"/>
      <c r="AJ335" s="200"/>
      <c r="AK335" s="200"/>
    </row>
    <row r="336" spans="1:47">
      <c r="B336" s="32" t="s">
        <v>77</v>
      </c>
      <c r="C336" s="127"/>
      <c r="D336" s="129"/>
      <c r="E336" s="129"/>
      <c r="F336" s="129"/>
      <c r="G336" s="129"/>
      <c r="H336" s="130"/>
      <c r="I336" s="130"/>
      <c r="J336" s="199">
        <v>-170</v>
      </c>
      <c r="K336" s="199">
        <v>-211</v>
      </c>
      <c r="L336" s="200"/>
      <c r="M336" s="200"/>
      <c r="N336" s="200"/>
      <c r="O336" s="200"/>
      <c r="P336" s="200"/>
      <c r="Q336" s="200"/>
      <c r="R336" s="199"/>
      <c r="S336" s="199"/>
      <c r="T336" s="199"/>
      <c r="U336" s="199"/>
      <c r="V336" s="199"/>
      <c r="W336" s="199"/>
      <c r="X336" s="199"/>
      <c r="Y336" s="199"/>
      <c r="Z336" s="199"/>
      <c r="AA336" s="199"/>
      <c r="AB336" s="199"/>
      <c r="AC336" s="199"/>
      <c r="AD336" s="199"/>
      <c r="AE336" s="199"/>
      <c r="AF336" s="199"/>
      <c r="AG336" s="199"/>
      <c r="AH336" s="199"/>
      <c r="AI336" s="199"/>
      <c r="AJ336" s="200"/>
      <c r="AK336" s="200"/>
    </row>
    <row r="337" spans="1:37" s="7" customFormat="1">
      <c r="B337" s="25" t="s">
        <v>559</v>
      </c>
      <c r="C337" s="127">
        <v>-154.30000000000001</v>
      </c>
      <c r="D337" s="129">
        <v>-136</v>
      </c>
      <c r="E337" s="129">
        <v>-62</v>
      </c>
      <c r="F337" s="129">
        <v>-151</v>
      </c>
      <c r="G337" s="129">
        <v>-169</v>
      </c>
      <c r="H337" s="130">
        <v>-123</v>
      </c>
      <c r="I337" s="130">
        <v>-185</v>
      </c>
      <c r="J337" s="228">
        <f>SUM(J335:J336)</f>
        <v>-120</v>
      </c>
      <c r="K337" s="228">
        <f>SUM(K335:K336)</f>
        <v>-211</v>
      </c>
      <c r="L337" s="352">
        <v>-240</v>
      </c>
      <c r="M337" s="352">
        <f>L337*1.03</f>
        <v>-247.20000000000002</v>
      </c>
      <c r="N337" s="352">
        <f>M337*1.03</f>
        <v>-254.61600000000001</v>
      </c>
      <c r="O337" s="352">
        <f>N337*1.03</f>
        <v>-262.25448</v>
      </c>
      <c r="P337" s="352">
        <f>O337*1.03</f>
        <v>-270.12211439999999</v>
      </c>
      <c r="Q337" s="229"/>
      <c r="R337" s="353">
        <v>-79.599999999999994</v>
      </c>
      <c r="S337" s="354"/>
      <c r="T337" s="354">
        <v>-72</v>
      </c>
      <c r="U337" s="354">
        <f>D337-T337</f>
        <v>-64</v>
      </c>
      <c r="V337" s="355">
        <v>-98</v>
      </c>
      <c r="W337" s="354">
        <f>E337-V337</f>
        <v>36</v>
      </c>
      <c r="X337" s="355">
        <v>-71</v>
      </c>
      <c r="Y337" s="354">
        <f>F337-X337</f>
        <v>-80</v>
      </c>
      <c r="Z337" s="355">
        <v>-86</v>
      </c>
      <c r="AA337" s="354">
        <f>G337-Z337</f>
        <v>-83</v>
      </c>
      <c r="AB337" s="355">
        <v>-69</v>
      </c>
      <c r="AC337" s="354">
        <f>H337-AB337</f>
        <v>-54</v>
      </c>
      <c r="AD337" s="356">
        <v>-85</v>
      </c>
      <c r="AE337" s="357">
        <f>I337-AD337</f>
        <v>-100</v>
      </c>
      <c r="AF337" s="356">
        <v>-54</v>
      </c>
      <c r="AG337" s="357">
        <f>J337-AF337</f>
        <v>-66</v>
      </c>
      <c r="AH337" s="356">
        <v>-106</v>
      </c>
      <c r="AI337" s="357">
        <f>K337-AH337</f>
        <v>-105</v>
      </c>
      <c r="AJ337" s="154">
        <v>-120</v>
      </c>
      <c r="AK337" s="155">
        <f>L337-AJ337</f>
        <v>-120</v>
      </c>
    </row>
    <row r="338" spans="1:37">
      <c r="B338" s="32"/>
      <c r="C338" s="199"/>
      <c r="D338" s="199"/>
      <c r="E338" s="199"/>
      <c r="F338" s="199"/>
      <c r="G338" s="199"/>
      <c r="H338" s="199"/>
      <c r="I338" s="199"/>
      <c r="J338" s="199"/>
      <c r="K338" s="199"/>
      <c r="L338" s="200"/>
      <c r="M338" s="200"/>
      <c r="N338" s="200"/>
      <c r="O338" s="200"/>
      <c r="P338" s="200"/>
      <c r="Q338" s="200"/>
      <c r="R338" s="199"/>
      <c r="S338" s="199"/>
      <c r="T338" s="199"/>
      <c r="U338" s="199"/>
      <c r="V338" s="199"/>
      <c r="W338" s="199"/>
      <c r="X338" s="199"/>
      <c r="Y338" s="199"/>
      <c r="Z338" s="199"/>
      <c r="AA338" s="199"/>
      <c r="AB338" s="199"/>
      <c r="AC338" s="199"/>
      <c r="AD338" s="199"/>
      <c r="AE338" s="199"/>
      <c r="AF338" s="199"/>
      <c r="AG338" s="199"/>
      <c r="AH338" s="199"/>
      <c r="AI338" s="199"/>
      <c r="AJ338" s="200"/>
      <c r="AK338" s="200"/>
    </row>
    <row r="339" spans="1:37">
      <c r="B339" s="5" t="s">
        <v>223</v>
      </c>
      <c r="C339" s="167"/>
      <c r="D339" s="167"/>
      <c r="E339" s="167"/>
      <c r="F339" s="167"/>
      <c r="G339" s="167"/>
      <c r="H339" s="167"/>
      <c r="I339" s="167"/>
      <c r="J339" s="167"/>
      <c r="K339" s="167"/>
      <c r="L339" s="167"/>
      <c r="M339" s="167"/>
      <c r="N339" s="167"/>
      <c r="O339" s="167"/>
      <c r="P339" s="167"/>
      <c r="Q339" s="167"/>
      <c r="R339" s="167"/>
      <c r="S339" s="167"/>
      <c r="T339" s="167"/>
      <c r="U339" s="167"/>
      <c r="V339" s="167"/>
      <c r="W339" s="167"/>
      <c r="X339" s="167"/>
      <c r="Y339" s="167"/>
      <c r="Z339" s="167"/>
      <c r="AA339" s="167"/>
      <c r="AB339" s="167"/>
      <c r="AC339" s="167"/>
      <c r="AD339" s="167"/>
      <c r="AE339" s="167"/>
      <c r="AF339" s="167"/>
      <c r="AG339" s="167"/>
      <c r="AH339" s="167"/>
      <c r="AI339" s="167"/>
      <c r="AJ339" s="167"/>
      <c r="AK339" s="167"/>
    </row>
    <row r="340" spans="1:37" hidden="1" outlineLevel="1">
      <c r="B340" s="25" t="s">
        <v>0</v>
      </c>
      <c r="C340" s="26">
        <v>7913</v>
      </c>
      <c r="D340" s="28">
        <v>8271</v>
      </c>
      <c r="E340" s="28">
        <v>8590</v>
      </c>
      <c r="F340" s="28">
        <f>9275</f>
        <v>9275</v>
      </c>
      <c r="G340" s="28">
        <f>10167</f>
        <v>10167</v>
      </c>
      <c r="H340" s="46"/>
      <c r="I340" s="46"/>
      <c r="J340" s="46"/>
      <c r="K340" s="46"/>
      <c r="L340" s="284"/>
      <c r="R340" s="26">
        <v>4319.3</v>
      </c>
      <c r="S340" s="27">
        <v>3593.7</v>
      </c>
      <c r="T340" s="26">
        <v>4513</v>
      </c>
      <c r="U340" s="27">
        <f>D340-T340</f>
        <v>3758</v>
      </c>
      <c r="V340" s="28">
        <v>4560</v>
      </c>
      <c r="W340" s="27">
        <f>E340-V340</f>
        <v>4030</v>
      </c>
      <c r="X340" s="28">
        <f>4775-X277</f>
        <v>4775</v>
      </c>
      <c r="Y340" s="27">
        <f>F340-X340</f>
        <v>4500</v>
      </c>
      <c r="Z340" s="28">
        <f>5683</f>
        <v>5683</v>
      </c>
      <c r="AA340" s="27">
        <f>G340-Z340</f>
        <v>4484</v>
      </c>
      <c r="AB340" s="199"/>
      <c r="AC340" s="199"/>
      <c r="AD340" s="46"/>
      <c r="AE340" s="46"/>
      <c r="AF340" s="46"/>
      <c r="AG340" s="46"/>
      <c r="AH340" s="46"/>
      <c r="AI340" s="46"/>
      <c r="AJ340" s="285"/>
      <c r="AK340" s="284"/>
    </row>
    <row r="341" spans="1:37" hidden="1" outlineLevel="1">
      <c r="B341" s="25"/>
      <c r="C341" s="215"/>
      <c r="D341" s="215"/>
      <c r="E341" s="215"/>
      <c r="F341" s="215"/>
      <c r="G341" s="215"/>
      <c r="H341" s="199"/>
      <c r="I341" s="199"/>
      <c r="J341" s="199"/>
      <c r="K341" s="199"/>
      <c r="R341" s="215"/>
      <c r="S341" s="215"/>
      <c r="T341" s="215"/>
      <c r="U341" s="215"/>
      <c r="V341" s="215"/>
      <c r="W341" s="215"/>
      <c r="X341" s="215"/>
      <c r="Y341" s="215"/>
      <c r="Z341" s="215"/>
      <c r="AA341" s="215"/>
      <c r="AB341" s="199"/>
      <c r="AC341" s="199"/>
      <c r="AD341" s="199"/>
      <c r="AE341" s="199"/>
      <c r="AF341" s="199"/>
      <c r="AG341" s="199"/>
      <c r="AH341" s="199"/>
      <c r="AI341" s="199"/>
    </row>
    <row r="342" spans="1:37" hidden="1" outlineLevel="1">
      <c r="B342" s="25" t="s">
        <v>39</v>
      </c>
      <c r="C342" s="26">
        <v>503</v>
      </c>
      <c r="D342" s="28">
        <v>516</v>
      </c>
      <c r="E342" s="28">
        <v>504</v>
      </c>
      <c r="F342" s="28">
        <v>569</v>
      </c>
      <c r="G342" s="28">
        <v>669</v>
      </c>
      <c r="H342" s="20"/>
      <c r="I342" s="199"/>
      <c r="J342" s="199"/>
      <c r="K342" s="199"/>
      <c r="R342" s="26">
        <v>302.3</v>
      </c>
      <c r="S342" s="27">
        <v>200.7</v>
      </c>
      <c r="T342" s="26">
        <v>309</v>
      </c>
      <c r="U342" s="27">
        <f>D342-T342</f>
        <v>207</v>
      </c>
      <c r="V342" s="28">
        <v>294</v>
      </c>
      <c r="W342" s="27">
        <f>E342-V342</f>
        <v>210</v>
      </c>
      <c r="X342" s="28">
        <v>338</v>
      </c>
      <c r="Y342" s="27">
        <f>F342-X342</f>
        <v>231</v>
      </c>
      <c r="Z342" s="28">
        <v>419</v>
      </c>
      <c r="AA342" s="27">
        <f>G342-Z342</f>
        <v>250</v>
      </c>
      <c r="AB342" s="20"/>
      <c r="AC342" s="19"/>
      <c r="AD342" s="199"/>
      <c r="AE342" s="199"/>
      <c r="AF342" s="199"/>
      <c r="AG342" s="199"/>
      <c r="AH342" s="199"/>
      <c r="AI342" s="199"/>
    </row>
    <row r="343" spans="1:37" hidden="1" outlineLevel="1">
      <c r="B343" s="32"/>
      <c r="C343" s="199"/>
      <c r="D343" s="199"/>
      <c r="E343" s="199"/>
      <c r="F343" s="199"/>
      <c r="G343" s="199"/>
      <c r="H343" s="199"/>
      <c r="I343" s="199"/>
      <c r="J343" s="199"/>
      <c r="K343" s="199"/>
      <c r="R343" s="199"/>
      <c r="S343" s="199"/>
      <c r="T343" s="199"/>
      <c r="U343" s="199"/>
      <c r="V343" s="199"/>
      <c r="W343" s="199"/>
      <c r="X343" s="199"/>
      <c r="Y343" s="199"/>
      <c r="Z343" s="199"/>
      <c r="AA343" s="199"/>
      <c r="AB343" s="199"/>
      <c r="AC343" s="199"/>
      <c r="AD343" s="199"/>
      <c r="AE343" s="199"/>
      <c r="AF343" s="199"/>
      <c r="AG343" s="199"/>
      <c r="AH343" s="199"/>
      <c r="AI343" s="199"/>
    </row>
    <row r="344" spans="1:37" s="7" customFormat="1" collapsed="1">
      <c r="A344" s="6"/>
      <c r="B344" s="5" t="s">
        <v>75</v>
      </c>
      <c r="C344" s="286"/>
      <c r="D344" s="286"/>
      <c r="E344" s="286"/>
      <c r="F344" s="286"/>
      <c r="G344" s="286"/>
      <c r="H344" s="286"/>
      <c r="I344" s="286"/>
      <c r="J344" s="286"/>
      <c r="K344" s="286"/>
      <c r="L344" s="286"/>
      <c r="M344" s="286"/>
      <c r="N344" s="286"/>
      <c r="O344" s="286"/>
      <c r="P344" s="286"/>
      <c r="Q344" s="286"/>
      <c r="R344" s="286"/>
      <c r="S344" s="286"/>
      <c r="T344" s="286"/>
      <c r="U344" s="286"/>
      <c r="V344" s="286"/>
      <c r="W344" s="286"/>
      <c r="X344" s="286"/>
      <c r="Y344" s="286"/>
      <c r="Z344" s="286"/>
      <c r="AA344" s="286"/>
      <c r="AB344" s="286"/>
      <c r="AC344" s="286"/>
      <c r="AD344" s="286"/>
      <c r="AE344" s="286"/>
      <c r="AF344" s="286"/>
      <c r="AG344" s="286"/>
      <c r="AH344" s="286"/>
      <c r="AI344" s="286"/>
      <c r="AJ344" s="286"/>
      <c r="AK344" s="286"/>
    </row>
    <row r="345" spans="1:37" hidden="1" outlineLevel="1">
      <c r="B345" s="25" t="s">
        <v>0</v>
      </c>
      <c r="C345" s="80">
        <v>1553</v>
      </c>
      <c r="D345" s="40">
        <v>1612</v>
      </c>
      <c r="E345" s="40">
        <v>1671</v>
      </c>
      <c r="F345" s="40">
        <v>1320</v>
      </c>
      <c r="G345" s="40">
        <v>1417</v>
      </c>
      <c r="H345" s="199"/>
      <c r="I345" s="199"/>
      <c r="J345" s="199"/>
      <c r="K345" s="199"/>
      <c r="R345" s="80">
        <v>828.5</v>
      </c>
      <c r="S345" s="39">
        <v>724.5</v>
      </c>
      <c r="T345" s="80">
        <v>861</v>
      </c>
      <c r="U345" s="39">
        <f>D345-T345</f>
        <v>751</v>
      </c>
      <c r="V345" s="40">
        <v>865</v>
      </c>
      <c r="W345" s="39">
        <f>E345-V345</f>
        <v>806</v>
      </c>
      <c r="X345" s="40">
        <v>919</v>
      </c>
      <c r="Y345" s="39">
        <f>F345-X345</f>
        <v>401</v>
      </c>
      <c r="Z345" s="40">
        <v>667</v>
      </c>
      <c r="AA345" s="39">
        <f>G345-Z345</f>
        <v>750</v>
      </c>
      <c r="AB345" s="199"/>
      <c r="AC345" s="199"/>
      <c r="AD345" s="199"/>
      <c r="AE345" s="199"/>
      <c r="AF345" s="199"/>
      <c r="AG345" s="199"/>
      <c r="AH345" s="199"/>
      <c r="AI345" s="199"/>
    </row>
    <row r="346" spans="1:37" hidden="1" outlineLevel="1">
      <c r="B346" s="25"/>
      <c r="C346" s="228"/>
      <c r="D346" s="228"/>
      <c r="E346" s="228"/>
      <c r="F346" s="228"/>
      <c r="G346" s="228"/>
      <c r="H346" s="199"/>
      <c r="I346" s="199"/>
      <c r="J346" s="199"/>
      <c r="K346" s="199"/>
      <c r="R346" s="228"/>
      <c r="S346" s="228"/>
      <c r="T346" s="228"/>
      <c r="U346" s="228"/>
      <c r="V346" s="228"/>
      <c r="W346" s="228"/>
      <c r="X346" s="228"/>
      <c r="Y346" s="228"/>
      <c r="Z346" s="228"/>
      <c r="AA346" s="228"/>
      <c r="AB346" s="199"/>
      <c r="AC346" s="199"/>
      <c r="AD346" s="199"/>
      <c r="AE346" s="199"/>
      <c r="AF346" s="199"/>
      <c r="AG346" s="199"/>
      <c r="AH346" s="199"/>
      <c r="AI346" s="199"/>
    </row>
    <row r="347" spans="1:37" hidden="1" outlineLevel="1">
      <c r="B347" s="25" t="s">
        <v>39</v>
      </c>
      <c r="C347" s="80">
        <v>232.9</v>
      </c>
      <c r="D347" s="40">
        <v>259</v>
      </c>
      <c r="E347" s="40">
        <v>261</v>
      </c>
      <c r="F347" s="40">
        <v>172</v>
      </c>
      <c r="G347" s="40">
        <v>261</v>
      </c>
      <c r="H347" s="199"/>
      <c r="I347" s="199"/>
      <c r="J347" s="199"/>
      <c r="K347" s="199"/>
      <c r="R347" s="80">
        <v>139.30000000000001</v>
      </c>
      <c r="S347" s="39">
        <v>93.6</v>
      </c>
      <c r="T347" s="80">
        <v>163</v>
      </c>
      <c r="U347" s="39">
        <f>D347-T347</f>
        <v>96</v>
      </c>
      <c r="V347" s="40">
        <v>161</v>
      </c>
      <c r="W347" s="39">
        <f>E347-V347</f>
        <v>100</v>
      </c>
      <c r="X347" s="40">
        <v>224</v>
      </c>
      <c r="Y347" s="39">
        <f>F347-X347</f>
        <v>-52</v>
      </c>
      <c r="Z347" s="40">
        <v>122</v>
      </c>
      <c r="AA347" s="39">
        <f>G347-Z347</f>
        <v>139</v>
      </c>
      <c r="AB347" s="199"/>
      <c r="AC347" s="199"/>
      <c r="AD347" s="199"/>
      <c r="AE347" s="199"/>
      <c r="AF347" s="199"/>
      <c r="AG347" s="199"/>
      <c r="AH347" s="199"/>
      <c r="AI347" s="199"/>
    </row>
    <row r="348" spans="1:37" hidden="1" outlineLevel="1">
      <c r="B348" s="32"/>
      <c r="C348" s="199"/>
      <c r="D348" s="199"/>
      <c r="E348" s="199"/>
      <c r="F348" s="199"/>
      <c r="G348" s="199"/>
      <c r="H348" s="199"/>
      <c r="I348" s="199"/>
      <c r="J348" s="199"/>
      <c r="K348" s="199"/>
      <c r="R348" s="199"/>
      <c r="S348" s="199"/>
      <c r="T348" s="199"/>
      <c r="U348" s="199"/>
      <c r="V348" s="199"/>
      <c r="W348" s="199"/>
      <c r="X348" s="199"/>
      <c r="Y348" s="199"/>
      <c r="Z348" s="199"/>
      <c r="AA348" s="199"/>
      <c r="AB348" s="199"/>
      <c r="AC348" s="199"/>
      <c r="AD348" s="199"/>
      <c r="AE348" s="199"/>
      <c r="AF348" s="199"/>
      <c r="AG348" s="199"/>
      <c r="AH348" s="199"/>
      <c r="AI348" s="199"/>
    </row>
    <row r="349" spans="1:37" s="7" customFormat="1" collapsed="1">
      <c r="A349" s="6"/>
      <c r="B349" s="5" t="s">
        <v>113</v>
      </c>
      <c r="C349" s="286"/>
      <c r="D349" s="286"/>
      <c r="E349" s="286"/>
      <c r="F349" s="286"/>
      <c r="G349" s="286"/>
      <c r="H349" s="286"/>
      <c r="I349" s="286"/>
      <c r="J349" s="286"/>
      <c r="K349" s="286"/>
      <c r="L349" s="286"/>
      <c r="M349" s="286"/>
      <c r="N349" s="286"/>
      <c r="O349" s="286"/>
      <c r="P349" s="286"/>
      <c r="Q349" s="286"/>
      <c r="R349" s="286"/>
      <c r="S349" s="286"/>
      <c r="T349" s="286"/>
      <c r="U349" s="286"/>
      <c r="V349" s="286"/>
      <c r="W349" s="286"/>
      <c r="X349" s="286"/>
      <c r="Y349" s="286"/>
      <c r="Z349" s="286"/>
      <c r="AA349" s="286"/>
      <c r="AB349" s="286"/>
      <c r="AC349" s="286"/>
      <c r="AD349" s="286"/>
      <c r="AE349" s="286"/>
      <c r="AF349" s="286"/>
      <c r="AG349" s="286"/>
      <c r="AH349" s="286"/>
      <c r="AI349" s="286"/>
      <c r="AJ349" s="286"/>
      <c r="AK349" s="286"/>
    </row>
    <row r="350" spans="1:37" hidden="1" outlineLevel="1">
      <c r="B350" s="70" t="s">
        <v>96</v>
      </c>
      <c r="C350" s="39">
        <f t="shared" ref="C350:K350" si="703">SUM(C351:C355)</f>
        <v>1361.3799999999999</v>
      </c>
      <c r="D350" s="39">
        <f t="shared" si="703"/>
        <v>1335.8899999999999</v>
      </c>
      <c r="E350" s="39">
        <f t="shared" si="703"/>
        <v>1283</v>
      </c>
      <c r="F350" s="39">
        <f t="shared" si="703"/>
        <v>1104</v>
      </c>
      <c r="G350" s="39">
        <f t="shared" si="703"/>
        <v>1230</v>
      </c>
      <c r="H350" s="39">
        <f t="shared" si="703"/>
        <v>1396</v>
      </c>
      <c r="I350" s="39">
        <f t="shared" si="703"/>
        <v>1371</v>
      </c>
      <c r="J350" s="39">
        <f t="shared" si="703"/>
        <v>1551</v>
      </c>
      <c r="K350" s="39">
        <f t="shared" si="703"/>
        <v>1549</v>
      </c>
      <c r="L350" s="200"/>
      <c r="M350" s="200"/>
      <c r="N350" s="200"/>
      <c r="O350" s="200"/>
      <c r="P350" s="200"/>
      <c r="Q350" s="200"/>
      <c r="R350" s="199"/>
      <c r="S350" s="199"/>
      <c r="T350" s="39"/>
      <c r="U350" s="39"/>
      <c r="V350" s="39"/>
      <c r="W350" s="39"/>
      <c r="X350" s="39"/>
      <c r="Y350" s="39"/>
      <c r="Z350" s="39">
        <f>SUM(Z351:Z355)</f>
        <v>515</v>
      </c>
      <c r="AA350" s="39">
        <f t="shared" ref="AA350:AA366" si="704">G350-Z350</f>
        <v>715</v>
      </c>
      <c r="AB350" s="39">
        <f>SUM(AB351:AB355)</f>
        <v>587</v>
      </c>
      <c r="AC350" s="39">
        <f t="shared" ref="AC350:AC366" si="705">H350-AB350</f>
        <v>809</v>
      </c>
      <c r="AD350" s="39">
        <f>SUM(AD351:AD355)</f>
        <v>645</v>
      </c>
      <c r="AE350" s="39">
        <f t="shared" ref="AE350:AE360" si="706">G350-AD350</f>
        <v>585</v>
      </c>
      <c r="AF350" s="39">
        <f>SUM(AF351:AF355)</f>
        <v>702</v>
      </c>
      <c r="AG350" s="39">
        <f t="shared" ref="AG350:AG360" si="707">I350-AF350</f>
        <v>669</v>
      </c>
      <c r="AH350" s="39">
        <f>SUM(AH351:AH355)</f>
        <v>762</v>
      </c>
      <c r="AI350" s="39">
        <f t="shared" ref="AI350:AI360" si="708">K350-AH350</f>
        <v>787</v>
      </c>
      <c r="AJ350" s="200"/>
      <c r="AK350" s="200"/>
    </row>
    <row r="351" spans="1:37" hidden="1" outlineLevel="1">
      <c r="B351" s="71" t="s">
        <v>97</v>
      </c>
      <c r="C351" s="22">
        <v>253.28</v>
      </c>
      <c r="D351" s="22">
        <f>0.17*1691</f>
        <v>287.47000000000003</v>
      </c>
      <c r="E351" s="22">
        <v>351</v>
      </c>
      <c r="F351" s="22">
        <v>335</v>
      </c>
      <c r="G351" s="22">
        <v>215</v>
      </c>
      <c r="H351" s="20">
        <v>242</v>
      </c>
      <c r="I351" s="20">
        <v>317</v>
      </c>
      <c r="J351" s="20">
        <v>344</v>
      </c>
      <c r="K351" s="20">
        <v>385</v>
      </c>
      <c r="L351" s="200"/>
      <c r="M351" s="200"/>
      <c r="N351" s="200"/>
      <c r="O351" s="200"/>
      <c r="P351" s="200"/>
      <c r="Q351" s="200"/>
      <c r="R351" s="199"/>
      <c r="S351" s="199"/>
      <c r="T351" s="21"/>
      <c r="U351" s="21"/>
      <c r="V351" s="21"/>
      <c r="W351" s="21"/>
      <c r="X351" s="21"/>
      <c r="Y351" s="21"/>
      <c r="Z351" s="21">
        <v>90</v>
      </c>
      <c r="AA351" s="21">
        <f t="shared" si="704"/>
        <v>125</v>
      </c>
      <c r="AB351" s="20">
        <v>112</v>
      </c>
      <c r="AC351" s="21">
        <f t="shared" si="705"/>
        <v>130</v>
      </c>
      <c r="AD351" s="20">
        <v>157</v>
      </c>
      <c r="AE351" s="21">
        <f t="shared" si="706"/>
        <v>58</v>
      </c>
      <c r="AF351" s="20">
        <v>158</v>
      </c>
      <c r="AG351" s="21">
        <f t="shared" si="707"/>
        <v>159</v>
      </c>
      <c r="AH351" s="20">
        <v>170</v>
      </c>
      <c r="AI351" s="21">
        <f t="shared" si="708"/>
        <v>215</v>
      </c>
      <c r="AJ351" s="200"/>
      <c r="AK351" s="200"/>
    </row>
    <row r="352" spans="1:37" hidden="1" outlineLevel="1">
      <c r="B352" s="71" t="s">
        <v>98</v>
      </c>
      <c r="C352" s="22">
        <v>459.07</v>
      </c>
      <c r="D352" s="22">
        <f>0.35*1691</f>
        <v>591.84999999999991</v>
      </c>
      <c r="E352" s="22">
        <v>462</v>
      </c>
      <c r="F352" s="22">
        <v>364</v>
      </c>
      <c r="G352" s="22">
        <v>352</v>
      </c>
      <c r="H352" s="20">
        <v>423</v>
      </c>
      <c r="I352" s="20">
        <v>364</v>
      </c>
      <c r="J352" s="20">
        <v>435</v>
      </c>
      <c r="K352" s="20">
        <v>570</v>
      </c>
      <c r="L352" s="200"/>
      <c r="M352" s="200"/>
      <c r="N352" s="200"/>
      <c r="O352" s="200"/>
      <c r="P352" s="200"/>
      <c r="Q352" s="200"/>
      <c r="R352" s="199"/>
      <c r="S352" s="199"/>
      <c r="T352" s="21"/>
      <c r="U352" s="21"/>
      <c r="V352" s="21"/>
      <c r="W352" s="21"/>
      <c r="X352" s="21"/>
      <c r="Y352" s="21"/>
      <c r="Z352" s="21">
        <v>177</v>
      </c>
      <c r="AA352" s="21">
        <f t="shared" si="704"/>
        <v>175</v>
      </c>
      <c r="AB352" s="20">
        <v>174</v>
      </c>
      <c r="AC352" s="21">
        <f t="shared" si="705"/>
        <v>249</v>
      </c>
      <c r="AD352" s="20">
        <v>185</v>
      </c>
      <c r="AE352" s="21">
        <f t="shared" si="706"/>
        <v>167</v>
      </c>
      <c r="AF352" s="20">
        <v>193</v>
      </c>
      <c r="AG352" s="21">
        <f t="shared" si="707"/>
        <v>171</v>
      </c>
      <c r="AH352" s="20">
        <v>297</v>
      </c>
      <c r="AI352" s="21">
        <f t="shared" si="708"/>
        <v>273</v>
      </c>
      <c r="AJ352" s="200"/>
      <c r="AK352" s="200"/>
    </row>
    <row r="353" spans="2:37" hidden="1" outlineLevel="1">
      <c r="B353" s="71" t="s">
        <v>99</v>
      </c>
      <c r="C353" s="22">
        <v>205.79000000000002</v>
      </c>
      <c r="D353" s="22">
        <f>0.04*1691</f>
        <v>67.64</v>
      </c>
      <c r="E353" s="22">
        <v>166</v>
      </c>
      <c r="F353" s="22">
        <v>104</v>
      </c>
      <c r="G353" s="22">
        <v>234</v>
      </c>
      <c r="H353" s="20">
        <v>358</v>
      </c>
      <c r="I353" s="20">
        <v>254</v>
      </c>
      <c r="J353" s="20">
        <v>311</v>
      </c>
      <c r="K353" s="20">
        <v>189</v>
      </c>
      <c r="L353" s="200"/>
      <c r="M353" s="200"/>
      <c r="N353" s="200"/>
      <c r="O353" s="200"/>
      <c r="P353" s="200"/>
      <c r="Q353" s="200"/>
      <c r="R353" s="199"/>
      <c r="S353" s="199"/>
      <c r="T353" s="21"/>
      <c r="U353" s="21"/>
      <c r="V353" s="21"/>
      <c r="W353" s="21"/>
      <c r="X353" s="21"/>
      <c r="Y353" s="21"/>
      <c r="Z353" s="21">
        <v>58</v>
      </c>
      <c r="AA353" s="21">
        <f t="shared" si="704"/>
        <v>176</v>
      </c>
      <c r="AB353" s="20">
        <v>136</v>
      </c>
      <c r="AC353" s="21">
        <f t="shared" si="705"/>
        <v>222</v>
      </c>
      <c r="AD353" s="20">
        <v>105</v>
      </c>
      <c r="AE353" s="21">
        <f t="shared" si="706"/>
        <v>129</v>
      </c>
      <c r="AF353" s="20">
        <v>125</v>
      </c>
      <c r="AG353" s="21">
        <f t="shared" si="707"/>
        <v>129</v>
      </c>
      <c r="AH353" s="20">
        <v>97</v>
      </c>
      <c r="AI353" s="21">
        <f t="shared" si="708"/>
        <v>92</v>
      </c>
      <c r="AJ353" s="200"/>
      <c r="AK353" s="200"/>
    </row>
    <row r="354" spans="2:37" hidden="1" outlineLevel="1">
      <c r="B354" s="71" t="s">
        <v>100</v>
      </c>
      <c r="C354" s="22">
        <v>443.23999999999984</v>
      </c>
      <c r="D354" s="22">
        <f>0.23*1691</f>
        <v>388.93</v>
      </c>
      <c r="E354" s="22">
        <v>177</v>
      </c>
      <c r="F354" s="22">
        <v>177</v>
      </c>
      <c r="G354" s="22">
        <v>253</v>
      </c>
      <c r="H354" s="20">
        <v>197</v>
      </c>
      <c r="I354" s="20">
        <v>274</v>
      </c>
      <c r="J354" s="20">
        <v>279</v>
      </c>
      <c r="K354" s="20">
        <v>246</v>
      </c>
      <c r="L354" s="200"/>
      <c r="M354" s="200"/>
      <c r="N354" s="200"/>
      <c r="O354" s="200"/>
      <c r="P354" s="200"/>
      <c r="Q354" s="200"/>
      <c r="R354" s="199"/>
      <c r="S354" s="199"/>
      <c r="T354" s="21"/>
      <c r="U354" s="21"/>
      <c r="V354" s="21"/>
      <c r="W354" s="21"/>
      <c r="X354" s="21"/>
      <c r="Y354" s="21"/>
      <c r="Z354" s="21">
        <v>115</v>
      </c>
      <c r="AA354" s="21">
        <f t="shared" si="704"/>
        <v>138</v>
      </c>
      <c r="AB354" s="20">
        <v>87</v>
      </c>
      <c r="AC354" s="21">
        <f t="shared" si="705"/>
        <v>110</v>
      </c>
      <c r="AD354" s="20">
        <v>129</v>
      </c>
      <c r="AE354" s="21">
        <f t="shared" si="706"/>
        <v>124</v>
      </c>
      <c r="AF354" s="20">
        <v>131</v>
      </c>
      <c r="AG354" s="21">
        <f t="shared" si="707"/>
        <v>143</v>
      </c>
      <c r="AH354" s="20">
        <v>117</v>
      </c>
      <c r="AI354" s="21">
        <f t="shared" si="708"/>
        <v>129</v>
      </c>
      <c r="AJ354" s="200"/>
      <c r="AK354" s="200"/>
    </row>
    <row r="355" spans="2:37" hidden="1" outlineLevel="1">
      <c r="B355" s="71" t="s">
        <v>101</v>
      </c>
      <c r="C355" s="22"/>
      <c r="D355" s="22"/>
      <c r="E355" s="22">
        <v>127</v>
      </c>
      <c r="F355" s="22">
        <v>124</v>
      </c>
      <c r="G355" s="22">
        <v>176</v>
      </c>
      <c r="H355" s="20">
        <v>176</v>
      </c>
      <c r="I355" s="20">
        <v>162</v>
      </c>
      <c r="J355" s="20">
        <v>182</v>
      </c>
      <c r="K355" s="20">
        <v>159</v>
      </c>
      <c r="L355" s="200"/>
      <c r="M355" s="200"/>
      <c r="N355" s="200"/>
      <c r="O355" s="200"/>
      <c r="P355" s="200"/>
      <c r="Q355" s="200"/>
      <c r="R355" s="199"/>
      <c r="S355" s="199"/>
      <c r="T355" s="21"/>
      <c r="U355" s="21"/>
      <c r="V355" s="21"/>
      <c r="W355" s="21"/>
      <c r="X355" s="21"/>
      <c r="Y355" s="21"/>
      <c r="Z355" s="21">
        <v>75</v>
      </c>
      <c r="AA355" s="21">
        <f t="shared" si="704"/>
        <v>101</v>
      </c>
      <c r="AB355" s="20">
        <v>78</v>
      </c>
      <c r="AC355" s="21">
        <f t="shared" si="705"/>
        <v>98</v>
      </c>
      <c r="AD355" s="20">
        <v>69</v>
      </c>
      <c r="AE355" s="21">
        <f t="shared" si="706"/>
        <v>107</v>
      </c>
      <c r="AF355" s="20">
        <v>95</v>
      </c>
      <c r="AG355" s="21">
        <f t="shared" si="707"/>
        <v>67</v>
      </c>
      <c r="AH355" s="20">
        <v>81</v>
      </c>
      <c r="AI355" s="21">
        <f t="shared" si="708"/>
        <v>78</v>
      </c>
      <c r="AJ355" s="200"/>
      <c r="AK355" s="200"/>
    </row>
    <row r="356" spans="2:37" hidden="1" outlineLevel="1">
      <c r="B356" s="72" t="s">
        <v>102</v>
      </c>
      <c r="C356" s="40"/>
      <c r="D356" s="39">
        <f>SUM(D357:D360)</f>
        <v>355.11</v>
      </c>
      <c r="E356" s="39">
        <f>SUM(E357:E360)</f>
        <v>452</v>
      </c>
      <c r="F356" s="39">
        <f>SUM(F357:F360)</f>
        <v>540</v>
      </c>
      <c r="G356" s="39">
        <v>528</v>
      </c>
      <c r="H356" s="27">
        <v>525</v>
      </c>
      <c r="I356" s="27">
        <f>SUM(I357:I360)</f>
        <v>517</v>
      </c>
      <c r="J356" s="27">
        <f>SUM(J357:J360)</f>
        <v>460</v>
      </c>
      <c r="K356" s="27">
        <f>SUM(K357:K360)</f>
        <v>475</v>
      </c>
      <c r="L356" s="200"/>
      <c r="M356" s="200"/>
      <c r="N356" s="200"/>
      <c r="O356" s="200"/>
      <c r="P356" s="200"/>
      <c r="Q356" s="200"/>
      <c r="R356" s="199"/>
      <c r="S356" s="199"/>
      <c r="T356" s="39"/>
      <c r="U356" s="39"/>
      <c r="V356" s="39"/>
      <c r="W356" s="39"/>
      <c r="X356" s="39"/>
      <c r="Y356" s="39"/>
      <c r="Z356" s="39">
        <v>215</v>
      </c>
      <c r="AA356" s="39">
        <f t="shared" si="704"/>
        <v>313</v>
      </c>
      <c r="AB356" s="27">
        <v>235</v>
      </c>
      <c r="AC356" s="39">
        <f t="shared" si="705"/>
        <v>290</v>
      </c>
      <c r="AD356" s="27">
        <f t="shared" ref="AD356:AH356" si="709">SUM(AD357:AD360)</f>
        <v>283</v>
      </c>
      <c r="AE356" s="39">
        <f t="shared" si="706"/>
        <v>245</v>
      </c>
      <c r="AF356" s="27">
        <f t="shared" si="709"/>
        <v>205</v>
      </c>
      <c r="AG356" s="39">
        <f t="shared" si="707"/>
        <v>312</v>
      </c>
      <c r="AH356" s="27">
        <f t="shared" si="709"/>
        <v>239</v>
      </c>
      <c r="AI356" s="39">
        <f t="shared" si="708"/>
        <v>236</v>
      </c>
      <c r="AJ356" s="200"/>
      <c r="AK356" s="200"/>
    </row>
    <row r="357" spans="2:37" hidden="1" outlineLevel="1">
      <c r="B357" s="71" t="s">
        <v>103</v>
      </c>
      <c r="C357" s="22" t="s">
        <v>224</v>
      </c>
      <c r="D357" s="22">
        <f>0.08*1691</f>
        <v>135.28</v>
      </c>
      <c r="E357" s="22">
        <v>94</v>
      </c>
      <c r="F357" s="22">
        <v>162</v>
      </c>
      <c r="G357" s="22">
        <v>110</v>
      </c>
      <c r="H357" s="19">
        <v>110</v>
      </c>
      <c r="I357" s="20">
        <v>124</v>
      </c>
      <c r="J357" s="20">
        <v>100</v>
      </c>
      <c r="K357" s="20">
        <v>97</v>
      </c>
      <c r="L357" s="200"/>
      <c r="M357" s="200"/>
      <c r="N357" s="200"/>
      <c r="O357" s="200"/>
      <c r="P357" s="200"/>
      <c r="Q357" s="200"/>
      <c r="R357" s="199"/>
      <c r="S357" s="199"/>
      <c r="T357" s="21"/>
      <c r="U357" s="21"/>
      <c r="V357" s="21"/>
      <c r="W357" s="21"/>
      <c r="X357" s="21"/>
      <c r="Y357" s="21"/>
      <c r="Z357" s="21">
        <v>54</v>
      </c>
      <c r="AA357" s="21">
        <f t="shared" si="704"/>
        <v>56</v>
      </c>
      <c r="AB357" s="20">
        <v>45</v>
      </c>
      <c r="AC357" s="21">
        <f t="shared" si="705"/>
        <v>65</v>
      </c>
      <c r="AD357" s="20">
        <v>73</v>
      </c>
      <c r="AE357" s="21">
        <f t="shared" si="706"/>
        <v>37</v>
      </c>
      <c r="AF357" s="20">
        <v>55</v>
      </c>
      <c r="AG357" s="21">
        <f t="shared" si="707"/>
        <v>69</v>
      </c>
      <c r="AH357" s="20">
        <v>42</v>
      </c>
      <c r="AI357" s="21">
        <f t="shared" si="708"/>
        <v>55</v>
      </c>
      <c r="AJ357" s="200"/>
      <c r="AK357" s="200"/>
    </row>
    <row r="358" spans="2:37" hidden="1" outlineLevel="1">
      <c r="B358" s="71" t="s">
        <v>104</v>
      </c>
      <c r="C358" s="22"/>
      <c r="D358" s="22"/>
      <c r="E358" s="22">
        <v>127</v>
      </c>
      <c r="F358" s="22">
        <v>102</v>
      </c>
      <c r="G358" s="22">
        <v>140</v>
      </c>
      <c r="H358" s="19">
        <v>121</v>
      </c>
      <c r="I358" s="20">
        <v>151</v>
      </c>
      <c r="J358" s="20">
        <v>138</v>
      </c>
      <c r="K358" s="20">
        <v>129</v>
      </c>
      <c r="L358" s="200"/>
      <c r="M358" s="200"/>
      <c r="N358" s="200"/>
      <c r="O358" s="200"/>
      <c r="P358" s="200"/>
      <c r="Q358" s="200"/>
      <c r="R358" s="199"/>
      <c r="S358" s="199"/>
      <c r="T358" s="21"/>
      <c r="U358" s="21"/>
      <c r="V358" s="21"/>
      <c r="W358" s="21"/>
      <c r="X358" s="21"/>
      <c r="Y358" s="21"/>
      <c r="Z358" s="21">
        <v>62</v>
      </c>
      <c r="AA358" s="21">
        <f t="shared" si="704"/>
        <v>78</v>
      </c>
      <c r="AB358" s="20">
        <v>55</v>
      </c>
      <c r="AC358" s="21">
        <f t="shared" si="705"/>
        <v>66</v>
      </c>
      <c r="AD358" s="20">
        <v>72</v>
      </c>
      <c r="AE358" s="21">
        <f t="shared" si="706"/>
        <v>68</v>
      </c>
      <c r="AF358" s="20">
        <v>54</v>
      </c>
      <c r="AG358" s="21">
        <f t="shared" si="707"/>
        <v>97</v>
      </c>
      <c r="AH358" s="20">
        <v>49</v>
      </c>
      <c r="AI358" s="21">
        <f t="shared" si="708"/>
        <v>80</v>
      </c>
      <c r="AJ358" s="200"/>
      <c r="AK358" s="200"/>
    </row>
    <row r="359" spans="2:37" hidden="1" outlineLevel="1">
      <c r="B359" s="71" t="s">
        <v>105</v>
      </c>
      <c r="C359" s="22"/>
      <c r="D359" s="22"/>
      <c r="E359" s="22"/>
      <c r="F359" s="22">
        <v>58</v>
      </c>
      <c r="G359" s="22">
        <v>85</v>
      </c>
      <c r="H359" s="19">
        <v>147</v>
      </c>
      <c r="I359" s="20">
        <v>123</v>
      </c>
      <c r="J359" s="20">
        <v>117</v>
      </c>
      <c r="K359" s="20">
        <v>147</v>
      </c>
      <c r="L359" s="200"/>
      <c r="M359" s="200"/>
      <c r="N359" s="200"/>
      <c r="O359" s="200"/>
      <c r="P359" s="200"/>
      <c r="Q359" s="200"/>
      <c r="R359" s="199"/>
      <c r="S359" s="199"/>
      <c r="T359" s="21"/>
      <c r="U359" s="21"/>
      <c r="V359" s="21"/>
      <c r="W359" s="21"/>
      <c r="X359" s="21"/>
      <c r="Y359" s="21"/>
      <c r="Z359" s="21">
        <v>38</v>
      </c>
      <c r="AA359" s="21">
        <f t="shared" si="704"/>
        <v>47</v>
      </c>
      <c r="AB359" s="20">
        <v>68</v>
      </c>
      <c r="AC359" s="21">
        <f t="shared" si="705"/>
        <v>79</v>
      </c>
      <c r="AD359" s="20">
        <v>69</v>
      </c>
      <c r="AE359" s="21">
        <f t="shared" si="706"/>
        <v>16</v>
      </c>
      <c r="AF359" s="20">
        <v>43</v>
      </c>
      <c r="AG359" s="21">
        <f t="shared" si="707"/>
        <v>80</v>
      </c>
      <c r="AH359" s="20">
        <v>85</v>
      </c>
      <c r="AI359" s="21">
        <f t="shared" si="708"/>
        <v>62</v>
      </c>
      <c r="AJ359" s="200"/>
      <c r="AK359" s="200"/>
    </row>
    <row r="360" spans="2:37" hidden="1" outlineLevel="1">
      <c r="B360" s="71" t="s">
        <v>106</v>
      </c>
      <c r="C360" s="22">
        <v>79.150000000000006</v>
      </c>
      <c r="D360" s="22">
        <f>0.13*1691</f>
        <v>219.83</v>
      </c>
      <c r="E360" s="22">
        <v>231</v>
      </c>
      <c r="F360" s="22">
        <v>218</v>
      </c>
      <c r="G360" s="22">
        <v>193</v>
      </c>
      <c r="H360" s="19">
        <v>146</v>
      </c>
      <c r="I360" s="20">
        <v>119</v>
      </c>
      <c r="J360" s="20">
        <v>105</v>
      </c>
      <c r="K360" s="20">
        <v>102</v>
      </c>
      <c r="L360" s="200"/>
      <c r="M360" s="200"/>
      <c r="N360" s="200"/>
      <c r="O360" s="200"/>
      <c r="P360" s="200"/>
      <c r="Q360" s="200"/>
      <c r="R360" s="199"/>
      <c r="S360" s="199"/>
      <c r="T360" s="21"/>
      <c r="U360" s="21"/>
      <c r="V360" s="21"/>
      <c r="W360" s="21"/>
      <c r="X360" s="21"/>
      <c r="Y360" s="21"/>
      <c r="Z360" s="21">
        <v>61</v>
      </c>
      <c r="AA360" s="21">
        <f t="shared" si="704"/>
        <v>132</v>
      </c>
      <c r="AB360" s="20">
        <v>67</v>
      </c>
      <c r="AC360" s="21">
        <f t="shared" si="705"/>
        <v>79</v>
      </c>
      <c r="AD360" s="20">
        <v>69</v>
      </c>
      <c r="AE360" s="21">
        <f t="shared" si="706"/>
        <v>124</v>
      </c>
      <c r="AF360" s="20">
        <v>53</v>
      </c>
      <c r="AG360" s="21">
        <f t="shared" si="707"/>
        <v>66</v>
      </c>
      <c r="AH360" s="20">
        <v>63</v>
      </c>
      <c r="AI360" s="21">
        <f t="shared" si="708"/>
        <v>39</v>
      </c>
      <c r="AJ360" s="200"/>
      <c r="AK360" s="200"/>
    </row>
    <row r="361" spans="2:37" hidden="1" outlineLevel="1">
      <c r="B361" s="72" t="s">
        <v>107</v>
      </c>
      <c r="C361" s="40">
        <v>1583</v>
      </c>
      <c r="D361" s="39">
        <f t="shared" ref="D361:K361" si="710">D350+D356</f>
        <v>1691</v>
      </c>
      <c r="E361" s="39">
        <f t="shared" si="710"/>
        <v>1735</v>
      </c>
      <c r="F361" s="39">
        <f t="shared" si="710"/>
        <v>1644</v>
      </c>
      <c r="G361" s="39">
        <f t="shared" si="710"/>
        <v>1758</v>
      </c>
      <c r="H361" s="27">
        <f t="shared" si="710"/>
        <v>1921</v>
      </c>
      <c r="I361" s="27">
        <f t="shared" si="710"/>
        <v>1888</v>
      </c>
      <c r="J361" s="27">
        <f t="shared" si="710"/>
        <v>2011</v>
      </c>
      <c r="K361" s="27">
        <f t="shared" si="710"/>
        <v>2024</v>
      </c>
      <c r="L361" s="200"/>
      <c r="M361" s="200"/>
      <c r="N361" s="200"/>
      <c r="O361" s="200"/>
      <c r="P361" s="200"/>
      <c r="Q361" s="200"/>
      <c r="R361" s="199"/>
      <c r="S361" s="199"/>
      <c r="T361" s="39"/>
      <c r="U361" s="39"/>
      <c r="V361" s="39"/>
      <c r="W361" s="39"/>
      <c r="X361" s="39"/>
      <c r="Y361" s="27"/>
      <c r="Z361" s="39">
        <f>Z350+Z356</f>
        <v>730</v>
      </c>
      <c r="AA361" s="39">
        <f t="shared" si="704"/>
        <v>1028</v>
      </c>
      <c r="AB361" s="27">
        <f>AB350+AB356</f>
        <v>822</v>
      </c>
      <c r="AC361" s="27">
        <f t="shared" si="705"/>
        <v>1099</v>
      </c>
      <c r="AD361" s="27">
        <f t="shared" ref="AD361:AI361" si="711">AD350+AD356</f>
        <v>928</v>
      </c>
      <c r="AE361" s="27">
        <f t="shared" ref="AE361:AG361" si="712">AE350+AE356</f>
        <v>830</v>
      </c>
      <c r="AF361" s="27">
        <f>AF350+AF356</f>
        <v>907</v>
      </c>
      <c r="AG361" s="27">
        <f t="shared" si="712"/>
        <v>981</v>
      </c>
      <c r="AH361" s="27">
        <f t="shared" si="711"/>
        <v>1001</v>
      </c>
      <c r="AI361" s="27">
        <f t="shared" si="711"/>
        <v>1023</v>
      </c>
      <c r="AJ361" s="200"/>
      <c r="AK361" s="200"/>
    </row>
    <row r="362" spans="2:37" hidden="1" outlineLevel="1">
      <c r="B362" s="71" t="s">
        <v>108</v>
      </c>
      <c r="C362" s="22">
        <v>258</v>
      </c>
      <c r="D362" s="22">
        <v>245</v>
      </c>
      <c r="E362" s="22">
        <v>369</v>
      </c>
      <c r="F362" s="22">
        <v>499</v>
      </c>
      <c r="G362" s="22">
        <v>418</v>
      </c>
      <c r="H362" s="19">
        <v>537</v>
      </c>
      <c r="I362" s="20">
        <v>594</v>
      </c>
      <c r="J362" s="20">
        <v>543</v>
      </c>
      <c r="K362" s="20">
        <v>451</v>
      </c>
      <c r="L362" s="200"/>
      <c r="M362" s="200"/>
      <c r="N362" s="200"/>
      <c r="O362" s="200"/>
      <c r="P362" s="200"/>
      <c r="Q362" s="200"/>
      <c r="R362" s="199"/>
      <c r="S362" s="199"/>
      <c r="T362" s="21"/>
      <c r="U362" s="21"/>
      <c r="V362" s="21"/>
      <c r="W362" s="21"/>
      <c r="X362" s="21"/>
      <c r="Y362" s="21"/>
      <c r="Z362" s="21">
        <v>155</v>
      </c>
      <c r="AA362" s="21">
        <f t="shared" si="704"/>
        <v>263</v>
      </c>
      <c r="AB362" s="20">
        <v>313</v>
      </c>
      <c r="AC362" s="21">
        <f t="shared" si="705"/>
        <v>224</v>
      </c>
      <c r="AD362" s="20">
        <v>322</v>
      </c>
      <c r="AE362" s="21">
        <f>G362-AD362</f>
        <v>96</v>
      </c>
      <c r="AF362" s="20">
        <v>378</v>
      </c>
      <c r="AG362" s="21">
        <f>I362-AF362</f>
        <v>216</v>
      </c>
      <c r="AH362" s="20">
        <v>198</v>
      </c>
      <c r="AI362" s="21">
        <f>K362-AH362</f>
        <v>253</v>
      </c>
      <c r="AJ362" s="200"/>
      <c r="AK362" s="200"/>
    </row>
    <row r="363" spans="2:37" hidden="1" outlineLevel="1">
      <c r="B363" s="71" t="s">
        <v>109</v>
      </c>
      <c r="C363" s="22"/>
      <c r="D363" s="22"/>
      <c r="E363" s="22"/>
      <c r="F363" s="22">
        <v>86</v>
      </c>
      <c r="G363" s="22">
        <v>0</v>
      </c>
      <c r="H363" s="19">
        <v>0</v>
      </c>
      <c r="I363" s="19">
        <v>0</v>
      </c>
      <c r="J363" s="19">
        <v>0</v>
      </c>
      <c r="K363" s="19">
        <v>0</v>
      </c>
      <c r="L363" s="200"/>
      <c r="M363" s="200"/>
      <c r="N363" s="200"/>
      <c r="O363" s="200"/>
      <c r="P363" s="200"/>
      <c r="Q363" s="200"/>
      <c r="R363" s="199"/>
      <c r="S363" s="199"/>
      <c r="T363" s="21"/>
      <c r="U363" s="21"/>
      <c r="V363" s="21"/>
      <c r="W363" s="21"/>
      <c r="X363" s="21"/>
      <c r="Y363" s="21"/>
      <c r="Z363" s="21"/>
      <c r="AA363" s="21">
        <f t="shared" si="704"/>
        <v>0</v>
      </c>
      <c r="AB363" s="20">
        <v>0</v>
      </c>
      <c r="AC363" s="21">
        <f t="shared" si="705"/>
        <v>0</v>
      </c>
      <c r="AD363" s="20">
        <v>0</v>
      </c>
      <c r="AE363" s="21">
        <f>G363-AD363</f>
        <v>0</v>
      </c>
      <c r="AF363" s="20">
        <v>0</v>
      </c>
      <c r="AG363" s="21">
        <f>I363-AF363</f>
        <v>0</v>
      </c>
      <c r="AH363" s="20">
        <v>0</v>
      </c>
      <c r="AI363" s="21">
        <f>K363-AH363</f>
        <v>0</v>
      </c>
      <c r="AJ363" s="200"/>
      <c r="AK363" s="200"/>
    </row>
    <row r="364" spans="2:37" hidden="1" outlineLevel="1">
      <c r="B364" s="72" t="s">
        <v>110</v>
      </c>
      <c r="C364" s="40">
        <v>1841</v>
      </c>
      <c r="D364" s="39">
        <f t="shared" ref="D364" si="713">SUM(D361:D363)</f>
        <v>1936</v>
      </c>
      <c r="E364" s="39">
        <f t="shared" ref="E364:K364" si="714">SUM(E361:E363)</f>
        <v>2104</v>
      </c>
      <c r="F364" s="39">
        <f t="shared" si="714"/>
        <v>2229</v>
      </c>
      <c r="G364" s="39">
        <f t="shared" si="714"/>
        <v>2176</v>
      </c>
      <c r="H364" s="27">
        <f t="shared" si="714"/>
        <v>2458</v>
      </c>
      <c r="I364" s="27">
        <f t="shared" si="714"/>
        <v>2482</v>
      </c>
      <c r="J364" s="27">
        <f t="shared" si="714"/>
        <v>2554</v>
      </c>
      <c r="K364" s="27">
        <f t="shared" si="714"/>
        <v>2475</v>
      </c>
      <c r="L364" s="216">
        <f>L374</f>
        <v>2430</v>
      </c>
      <c r="M364" s="216">
        <f t="shared" ref="M364:P364" si="715">M374</f>
        <v>2430</v>
      </c>
      <c r="N364" s="216">
        <f t="shared" si="715"/>
        <v>2430</v>
      </c>
      <c r="O364" s="216">
        <f t="shared" si="715"/>
        <v>2430</v>
      </c>
      <c r="P364" s="216">
        <f t="shared" si="715"/>
        <v>2430</v>
      </c>
      <c r="Q364" s="200"/>
      <c r="R364" s="199"/>
      <c r="S364" s="199"/>
      <c r="T364" s="39"/>
      <c r="U364" s="39"/>
      <c r="V364" s="39"/>
      <c r="W364" s="39"/>
      <c r="X364" s="39"/>
      <c r="Y364" s="39"/>
      <c r="Z364" s="39">
        <f>SUM(Z361:Z363)</f>
        <v>885</v>
      </c>
      <c r="AA364" s="39">
        <f t="shared" si="704"/>
        <v>1291</v>
      </c>
      <c r="AB364" s="27">
        <f t="shared" ref="AB364" si="716">SUM(AB361:AB363)</f>
        <v>1135</v>
      </c>
      <c r="AC364" s="39">
        <f t="shared" si="705"/>
        <v>1323</v>
      </c>
      <c r="AD364" s="27">
        <f t="shared" ref="AD364:AH364" si="717">SUM(AD361:AD363)</f>
        <v>1250</v>
      </c>
      <c r="AE364" s="39">
        <f>G364-AD364</f>
        <v>926</v>
      </c>
      <c r="AF364" s="27">
        <f>SUM(AF361:AF363)</f>
        <v>1285</v>
      </c>
      <c r="AG364" s="39">
        <f>I364-AF364</f>
        <v>1197</v>
      </c>
      <c r="AH364" s="27">
        <f t="shared" si="717"/>
        <v>1199</v>
      </c>
      <c r="AI364" s="39">
        <f>K364-AH364</f>
        <v>1276</v>
      </c>
      <c r="AJ364" s="200"/>
      <c r="AK364" s="200"/>
    </row>
    <row r="365" spans="2:37" hidden="1" outlineLevel="1">
      <c r="B365" s="71" t="s">
        <v>111</v>
      </c>
      <c r="C365" s="22">
        <v>-273</v>
      </c>
      <c r="D365" s="22">
        <v>-90</v>
      </c>
      <c r="E365" s="22">
        <v>-164</v>
      </c>
      <c r="F365" s="22">
        <v>-269</v>
      </c>
      <c r="G365" s="22">
        <v>-320</v>
      </c>
      <c r="H365" s="19">
        <v>-332</v>
      </c>
      <c r="I365" s="20">
        <v>-361</v>
      </c>
      <c r="J365" s="20">
        <v>-340</v>
      </c>
      <c r="K365" s="20">
        <v>-294</v>
      </c>
      <c r="L365" s="234">
        <v>-250</v>
      </c>
      <c r="M365" s="234">
        <v>-250</v>
      </c>
      <c r="N365" s="234">
        <v>-250</v>
      </c>
      <c r="O365" s="234">
        <v>-250</v>
      </c>
      <c r="P365" s="234">
        <v>-250</v>
      </c>
      <c r="Q365" s="200"/>
      <c r="R365" s="199"/>
      <c r="S365" s="199"/>
      <c r="T365" s="21"/>
      <c r="U365" s="21"/>
      <c r="V365" s="21"/>
      <c r="W365" s="21"/>
      <c r="X365" s="21"/>
      <c r="Y365" s="21"/>
      <c r="Z365" s="21">
        <v>-225</v>
      </c>
      <c r="AA365" s="21">
        <f t="shared" si="704"/>
        <v>-95</v>
      </c>
      <c r="AB365" s="19">
        <v>-195</v>
      </c>
      <c r="AC365" s="21">
        <f t="shared" si="705"/>
        <v>-137</v>
      </c>
      <c r="AD365" s="20">
        <v>-130</v>
      </c>
      <c r="AE365" s="21">
        <f>G365-AD365</f>
        <v>-190</v>
      </c>
      <c r="AF365" s="20">
        <f>AF311</f>
        <v>0</v>
      </c>
      <c r="AG365" s="21">
        <f>I365-AF365</f>
        <v>-361</v>
      </c>
      <c r="AH365" s="20">
        <v>-141</v>
      </c>
      <c r="AI365" s="21">
        <f>K365-AH365</f>
        <v>-153</v>
      </c>
      <c r="AJ365" s="200"/>
      <c r="AK365" s="200"/>
    </row>
    <row r="366" spans="2:37" hidden="1" outlineLevel="1">
      <c r="B366" s="72" t="s">
        <v>112</v>
      </c>
      <c r="C366" s="40">
        <v>1568</v>
      </c>
      <c r="D366" s="39">
        <f t="shared" ref="D366" si="718">D364+D365</f>
        <v>1846</v>
      </c>
      <c r="E366" s="39">
        <f t="shared" ref="E366:K366" si="719">E364+E365</f>
        <v>1940</v>
      </c>
      <c r="F366" s="39">
        <f t="shared" si="719"/>
        <v>1960</v>
      </c>
      <c r="G366" s="39">
        <f t="shared" si="719"/>
        <v>1856</v>
      </c>
      <c r="H366" s="27">
        <f t="shared" si="719"/>
        <v>2126</v>
      </c>
      <c r="I366" s="27">
        <f t="shared" si="719"/>
        <v>2121</v>
      </c>
      <c r="J366" s="27">
        <f t="shared" si="719"/>
        <v>2214</v>
      </c>
      <c r="K366" s="27">
        <f t="shared" si="719"/>
        <v>2181</v>
      </c>
      <c r="L366" s="216">
        <f t="shared" ref="L366:P366" si="720">L364+L365</f>
        <v>2180</v>
      </c>
      <c r="M366" s="216">
        <f t="shared" si="720"/>
        <v>2180</v>
      </c>
      <c r="N366" s="216">
        <f t="shared" si="720"/>
        <v>2180</v>
      </c>
      <c r="O366" s="216">
        <f t="shared" si="720"/>
        <v>2180</v>
      </c>
      <c r="P366" s="216">
        <f t="shared" si="720"/>
        <v>2180</v>
      </c>
      <c r="Q366" s="200"/>
      <c r="R366" s="199"/>
      <c r="S366" s="199"/>
      <c r="T366" s="39"/>
      <c r="U366" s="39"/>
      <c r="V366" s="39"/>
      <c r="W366" s="39"/>
      <c r="X366" s="39"/>
      <c r="Y366" s="39"/>
      <c r="Z366" s="39">
        <f>Z364+Z365</f>
        <v>660</v>
      </c>
      <c r="AA366" s="39">
        <f t="shared" si="704"/>
        <v>1196</v>
      </c>
      <c r="AB366" s="27">
        <f t="shared" ref="AB366" si="721">AB364+AB365</f>
        <v>940</v>
      </c>
      <c r="AC366" s="39">
        <f t="shared" si="705"/>
        <v>1186</v>
      </c>
      <c r="AD366" s="27">
        <f t="shared" ref="AD366:AH366" si="722">AD364+AD365</f>
        <v>1120</v>
      </c>
      <c r="AE366" s="39">
        <f>AE364+AE365</f>
        <v>736</v>
      </c>
      <c r="AF366" s="27">
        <f t="shared" si="722"/>
        <v>1285</v>
      </c>
      <c r="AG366" s="39">
        <f>AG364+AG365</f>
        <v>836</v>
      </c>
      <c r="AH366" s="27">
        <f t="shared" si="722"/>
        <v>1058</v>
      </c>
      <c r="AI366" s="39">
        <f>AI364+AI365</f>
        <v>1123</v>
      </c>
      <c r="AJ366" s="200"/>
      <c r="AK366" s="200"/>
    </row>
    <row r="367" spans="2:37" hidden="1" outlineLevel="1">
      <c r="B367" s="32"/>
      <c r="C367" s="201"/>
      <c r="D367" s="201"/>
      <c r="E367" s="201"/>
      <c r="F367" s="201"/>
      <c r="G367" s="201"/>
      <c r="H367" s="201"/>
      <c r="I367" s="201"/>
      <c r="J367" s="201"/>
      <c r="K367" s="201"/>
      <c r="L367" s="200"/>
      <c r="M367" s="200"/>
      <c r="N367" s="200"/>
      <c r="O367" s="200"/>
      <c r="P367" s="200"/>
      <c r="Q367" s="200"/>
      <c r="R367" s="199"/>
      <c r="S367" s="199"/>
      <c r="T367" s="201"/>
      <c r="U367" s="201"/>
      <c r="V367" s="201"/>
      <c r="W367" s="201"/>
      <c r="X367" s="201"/>
      <c r="Y367" s="201"/>
      <c r="Z367" s="201"/>
      <c r="AA367" s="201"/>
      <c r="AB367" s="201"/>
      <c r="AC367" s="201"/>
      <c r="AD367" s="201"/>
      <c r="AE367" s="201"/>
      <c r="AF367" s="201"/>
      <c r="AG367" s="201"/>
      <c r="AH367" s="201"/>
      <c r="AI367" s="201"/>
      <c r="AJ367" s="200"/>
      <c r="AK367" s="200"/>
    </row>
    <row r="368" spans="2:37" hidden="1" outlineLevel="1">
      <c r="B368" s="25" t="s">
        <v>275</v>
      </c>
      <c r="C368" s="201"/>
      <c r="D368" s="201"/>
      <c r="E368" s="201"/>
      <c r="F368" s="201"/>
      <c r="G368" s="201"/>
      <c r="H368" s="201"/>
      <c r="I368" s="201"/>
      <c r="J368" s="201"/>
      <c r="K368" s="201"/>
      <c r="L368" s="200"/>
      <c r="M368" s="200"/>
      <c r="N368" s="200"/>
      <c r="O368" s="200"/>
      <c r="P368" s="200"/>
      <c r="Q368" s="200"/>
      <c r="R368" s="199"/>
      <c r="S368" s="199"/>
      <c r="T368" s="201"/>
      <c r="U368" s="201"/>
      <c r="V368" s="201"/>
      <c r="W368" s="201"/>
      <c r="X368" s="201"/>
      <c r="Y368" s="201"/>
      <c r="Z368" s="201"/>
      <c r="AA368" s="201"/>
      <c r="AB368" s="201"/>
      <c r="AC368" s="201"/>
      <c r="AD368" s="201"/>
      <c r="AE368" s="201"/>
      <c r="AF368" s="201"/>
      <c r="AG368" s="201"/>
      <c r="AH368" s="201"/>
      <c r="AI368" s="201"/>
      <c r="AJ368" s="200"/>
      <c r="AK368" s="200"/>
    </row>
    <row r="369" spans="2:37" hidden="1" outlineLevel="1">
      <c r="B369" s="73" t="s">
        <v>1</v>
      </c>
      <c r="C369" s="201"/>
      <c r="D369" s="22">
        <v>1179</v>
      </c>
      <c r="E369" s="22">
        <v>1040</v>
      </c>
      <c r="F369" s="22">
        <v>1017</v>
      </c>
      <c r="G369" s="22">
        <v>1209</v>
      </c>
      <c r="H369" s="22">
        <v>1320</v>
      </c>
      <c r="I369" s="22">
        <v>1162</v>
      </c>
      <c r="J369" s="22">
        <v>1282</v>
      </c>
      <c r="K369" s="22">
        <v>1330</v>
      </c>
      <c r="L369" s="234">
        <v>1300</v>
      </c>
      <c r="M369" s="234">
        <v>1300</v>
      </c>
      <c r="N369" s="234">
        <v>1300</v>
      </c>
      <c r="O369" s="234">
        <v>1300</v>
      </c>
      <c r="P369" s="234">
        <v>1300</v>
      </c>
      <c r="Q369" s="200"/>
      <c r="R369" s="199"/>
      <c r="S369" s="199"/>
      <c r="T369" s="201"/>
      <c r="U369" s="201"/>
      <c r="V369" s="21"/>
      <c r="W369" s="21"/>
      <c r="X369" s="21"/>
      <c r="Y369" s="21"/>
      <c r="Z369" s="21"/>
      <c r="AA369" s="21"/>
      <c r="AB369" s="21"/>
      <c r="AC369" s="21"/>
      <c r="AD369" s="21"/>
      <c r="AE369" s="21">
        <f t="shared" ref="AE369:AE374" si="723">G369-AD369</f>
        <v>1209</v>
      </c>
      <c r="AF369" s="21"/>
      <c r="AG369" s="21">
        <f t="shared" ref="AG369:AG374" si="724">I369-AF369</f>
        <v>1162</v>
      </c>
      <c r="AH369" s="22">
        <v>655</v>
      </c>
      <c r="AI369" s="21">
        <f t="shared" ref="AI369:AI374" si="725">K369-AH369</f>
        <v>675</v>
      </c>
      <c r="AJ369" s="200"/>
      <c r="AK369" s="200"/>
    </row>
    <row r="370" spans="2:37" hidden="1" outlineLevel="1">
      <c r="B370" s="73" t="s">
        <v>40</v>
      </c>
      <c r="C370" s="201"/>
      <c r="D370" s="22"/>
      <c r="E370" s="22"/>
      <c r="F370" s="22"/>
      <c r="G370" s="22"/>
      <c r="H370" s="22">
        <v>81</v>
      </c>
      <c r="I370" s="22">
        <v>58</v>
      </c>
      <c r="J370" s="22">
        <v>61</v>
      </c>
      <c r="K370" s="22">
        <v>49</v>
      </c>
      <c r="L370" s="234">
        <v>50</v>
      </c>
      <c r="M370" s="234">
        <v>50</v>
      </c>
      <c r="N370" s="234">
        <v>50</v>
      </c>
      <c r="O370" s="234">
        <v>50</v>
      </c>
      <c r="P370" s="234">
        <v>50</v>
      </c>
      <c r="Q370" s="200"/>
      <c r="R370" s="199"/>
      <c r="S370" s="199"/>
      <c r="T370" s="201"/>
      <c r="U370" s="201"/>
      <c r="V370" s="21"/>
      <c r="W370" s="21"/>
      <c r="X370" s="21"/>
      <c r="Y370" s="21"/>
      <c r="Z370" s="21"/>
      <c r="AA370" s="21"/>
      <c r="AB370" s="21"/>
      <c r="AC370" s="21"/>
      <c r="AD370" s="21"/>
      <c r="AE370" s="21">
        <f t="shared" si="723"/>
        <v>0</v>
      </c>
      <c r="AF370" s="21"/>
      <c r="AG370" s="21">
        <f t="shared" si="724"/>
        <v>58</v>
      </c>
      <c r="AH370" s="22">
        <v>21</v>
      </c>
      <c r="AI370" s="21">
        <f t="shared" si="725"/>
        <v>28</v>
      </c>
      <c r="AJ370" s="200"/>
      <c r="AK370" s="200"/>
    </row>
    <row r="371" spans="2:37" hidden="1" outlineLevel="1">
      <c r="B371" s="73" t="s">
        <v>114</v>
      </c>
      <c r="C371" s="201"/>
      <c r="D371" s="22">
        <v>197</v>
      </c>
      <c r="E371" s="22">
        <v>176</v>
      </c>
      <c r="F371" s="22">
        <v>212</v>
      </c>
      <c r="G371" s="22">
        <v>322</v>
      </c>
      <c r="H371" s="22">
        <v>274</v>
      </c>
      <c r="I371" s="22">
        <v>255</v>
      </c>
      <c r="J371" s="22">
        <v>323</v>
      </c>
      <c r="K371" s="22">
        <v>254</v>
      </c>
      <c r="L371" s="234">
        <v>250</v>
      </c>
      <c r="M371" s="234">
        <v>250</v>
      </c>
      <c r="N371" s="234">
        <v>250</v>
      </c>
      <c r="O371" s="234">
        <v>250</v>
      </c>
      <c r="P371" s="234">
        <v>250</v>
      </c>
      <c r="Q371" s="200"/>
      <c r="R371" s="199"/>
      <c r="S371" s="199"/>
      <c r="T371" s="201"/>
      <c r="U371" s="201"/>
      <c r="V371" s="21"/>
      <c r="W371" s="21"/>
      <c r="X371" s="21"/>
      <c r="Y371" s="21"/>
      <c r="Z371" s="21"/>
      <c r="AA371" s="21"/>
      <c r="AB371" s="21"/>
      <c r="AC371" s="21"/>
      <c r="AD371" s="21"/>
      <c r="AE371" s="21">
        <f t="shared" si="723"/>
        <v>322</v>
      </c>
      <c r="AF371" s="21"/>
      <c r="AG371" s="21">
        <f t="shared" si="724"/>
        <v>255</v>
      </c>
      <c r="AH371" s="22">
        <v>141</v>
      </c>
      <c r="AI371" s="21">
        <f t="shared" si="725"/>
        <v>113</v>
      </c>
      <c r="AJ371" s="200"/>
      <c r="AK371" s="200"/>
    </row>
    <row r="372" spans="2:37" hidden="1" outlineLevel="1">
      <c r="B372" s="73" t="s">
        <v>115</v>
      </c>
      <c r="C372" s="201"/>
      <c r="D372" s="22">
        <v>80</v>
      </c>
      <c r="E372" s="22">
        <v>110</v>
      </c>
      <c r="F372" s="22">
        <v>64</v>
      </c>
      <c r="G372" s="22">
        <v>102</v>
      </c>
      <c r="H372" s="22">
        <v>148</v>
      </c>
      <c r="I372" s="22">
        <v>135</v>
      </c>
      <c r="J372" s="22">
        <v>103</v>
      </c>
      <c r="K372" s="22">
        <v>133</v>
      </c>
      <c r="L372" s="234">
        <v>130</v>
      </c>
      <c r="M372" s="234">
        <v>130</v>
      </c>
      <c r="N372" s="234">
        <v>130</v>
      </c>
      <c r="O372" s="234">
        <v>130</v>
      </c>
      <c r="P372" s="234">
        <v>130</v>
      </c>
      <c r="Q372" s="200"/>
      <c r="R372" s="199"/>
      <c r="S372" s="199"/>
      <c r="T372" s="201"/>
      <c r="U372" s="201"/>
      <c r="V372" s="21"/>
      <c r="W372" s="21"/>
      <c r="X372" s="21"/>
      <c r="Y372" s="21"/>
      <c r="Z372" s="21"/>
      <c r="AA372" s="21"/>
      <c r="AB372" s="21"/>
      <c r="AC372" s="21"/>
      <c r="AD372" s="21"/>
      <c r="AE372" s="21">
        <f t="shared" si="723"/>
        <v>102</v>
      </c>
      <c r="AF372" s="21"/>
      <c r="AG372" s="21">
        <f t="shared" si="724"/>
        <v>135</v>
      </c>
      <c r="AH372" s="22">
        <v>64</v>
      </c>
      <c r="AI372" s="21">
        <f t="shared" si="725"/>
        <v>69</v>
      </c>
      <c r="AJ372" s="200"/>
      <c r="AK372" s="200"/>
    </row>
    <row r="373" spans="2:37" hidden="1" outlineLevel="1">
      <c r="B373" s="73" t="s">
        <v>77</v>
      </c>
      <c r="C373" s="201"/>
      <c r="D373" s="22">
        <v>44</v>
      </c>
      <c r="E373" s="22">
        <v>471</v>
      </c>
      <c r="F373" s="22">
        <v>620</v>
      </c>
      <c r="G373" s="22">
        <v>541</v>
      </c>
      <c r="H373" s="22">
        <v>584</v>
      </c>
      <c r="I373" s="22">
        <v>872</v>
      </c>
      <c r="J373" s="22">
        <v>785</v>
      </c>
      <c r="K373" s="22">
        <v>709</v>
      </c>
      <c r="L373" s="234">
        <v>700</v>
      </c>
      <c r="M373" s="234">
        <v>700</v>
      </c>
      <c r="N373" s="234">
        <v>700</v>
      </c>
      <c r="O373" s="234">
        <v>700</v>
      </c>
      <c r="P373" s="234">
        <v>700</v>
      </c>
      <c r="Q373" s="200"/>
      <c r="R373" s="199"/>
      <c r="S373" s="199"/>
      <c r="T373" s="201"/>
      <c r="U373" s="201"/>
      <c r="V373" s="21"/>
      <c r="W373" s="21"/>
      <c r="X373" s="21"/>
      <c r="Y373" s="21"/>
      <c r="Z373" s="21"/>
      <c r="AA373" s="21"/>
      <c r="AB373" s="21"/>
      <c r="AC373" s="21"/>
      <c r="AD373" s="21"/>
      <c r="AE373" s="21">
        <f t="shared" si="723"/>
        <v>541</v>
      </c>
      <c r="AF373" s="21"/>
      <c r="AG373" s="21">
        <f t="shared" si="724"/>
        <v>872</v>
      </c>
      <c r="AH373" s="22">
        <v>318</v>
      </c>
      <c r="AI373" s="21">
        <f t="shared" si="725"/>
        <v>391</v>
      </c>
      <c r="AJ373" s="200"/>
      <c r="AK373" s="200"/>
    </row>
    <row r="374" spans="2:37" hidden="1" outlineLevel="1">
      <c r="B374" s="72"/>
      <c r="C374" s="201"/>
      <c r="D374" s="39">
        <f t="shared" ref="D374:L374" si="726">SUM(D369:D373)</f>
        <v>1500</v>
      </c>
      <c r="E374" s="39">
        <f t="shared" si="726"/>
        <v>1797</v>
      </c>
      <c r="F374" s="39">
        <f t="shared" si="726"/>
        <v>1913</v>
      </c>
      <c r="G374" s="39">
        <f t="shared" si="726"/>
        <v>2174</v>
      </c>
      <c r="H374" s="39">
        <f t="shared" si="726"/>
        <v>2407</v>
      </c>
      <c r="I374" s="39">
        <f t="shared" si="726"/>
        <v>2482</v>
      </c>
      <c r="J374" s="39">
        <f t="shared" si="726"/>
        <v>2554</v>
      </c>
      <c r="K374" s="39">
        <f>SUM(K369:K373)</f>
        <v>2475</v>
      </c>
      <c r="L374" s="216">
        <f t="shared" si="726"/>
        <v>2430</v>
      </c>
      <c r="M374" s="216">
        <f t="shared" ref="M374:P374" si="727">SUM(M369:M373)</f>
        <v>2430</v>
      </c>
      <c r="N374" s="216">
        <f t="shared" si="727"/>
        <v>2430</v>
      </c>
      <c r="O374" s="216">
        <f t="shared" si="727"/>
        <v>2430</v>
      </c>
      <c r="P374" s="216">
        <f t="shared" si="727"/>
        <v>2430</v>
      </c>
      <c r="Q374" s="200"/>
      <c r="R374" s="199"/>
      <c r="S374" s="199"/>
      <c r="T374" s="201"/>
      <c r="U374" s="201"/>
      <c r="V374" s="39"/>
      <c r="W374" s="39"/>
      <c r="X374" s="39"/>
      <c r="Y374" s="21"/>
      <c r="Z374" s="39"/>
      <c r="AA374" s="21"/>
      <c r="AB374" s="39"/>
      <c r="AC374" s="39"/>
      <c r="AD374" s="39"/>
      <c r="AE374" s="39">
        <f t="shared" si="723"/>
        <v>2174</v>
      </c>
      <c r="AF374" s="39"/>
      <c r="AG374" s="39">
        <f t="shared" si="724"/>
        <v>2482</v>
      </c>
      <c r="AH374" s="39">
        <f>SUM(AH369:AH373)</f>
        <v>1199</v>
      </c>
      <c r="AI374" s="39">
        <f t="shared" si="725"/>
        <v>1276</v>
      </c>
      <c r="AJ374" s="200"/>
      <c r="AK374" s="200"/>
    </row>
    <row r="375" spans="2:37" hidden="1" outlineLevel="1">
      <c r="B375" s="72" t="s">
        <v>276</v>
      </c>
      <c r="C375" s="201"/>
      <c r="D375" s="39"/>
      <c r="E375" s="39"/>
      <c r="F375" s="39"/>
      <c r="G375" s="39"/>
      <c r="H375" s="39"/>
      <c r="I375" s="39"/>
      <c r="J375" s="39"/>
      <c r="K375" s="39"/>
      <c r="L375" s="200"/>
      <c r="M375" s="200"/>
      <c r="N375" s="200"/>
      <c r="O375" s="200"/>
      <c r="P375" s="200"/>
      <c r="Q375" s="200"/>
      <c r="R375" s="199"/>
      <c r="S375" s="199"/>
      <c r="T375" s="201"/>
      <c r="U375" s="201"/>
      <c r="V375" s="39"/>
      <c r="W375" s="39"/>
      <c r="X375" s="39"/>
      <c r="Y375" s="39"/>
      <c r="Z375" s="39"/>
      <c r="AA375" s="39"/>
      <c r="AB375" s="39"/>
      <c r="AC375" s="39"/>
      <c r="AD375" s="39"/>
      <c r="AE375" s="39"/>
      <c r="AF375" s="39"/>
      <c r="AG375" s="39"/>
      <c r="AH375" s="39"/>
      <c r="AI375" s="39"/>
      <c r="AJ375" s="200"/>
      <c r="AK375" s="200"/>
    </row>
    <row r="376" spans="2:37" hidden="1" outlineLevel="1">
      <c r="B376" s="73" t="s">
        <v>116</v>
      </c>
      <c r="C376" s="201"/>
      <c r="D376" s="201"/>
      <c r="E376" s="201"/>
      <c r="F376" s="22">
        <v>169</v>
      </c>
      <c r="G376" s="22">
        <v>151</v>
      </c>
      <c r="H376" s="201"/>
      <c r="I376" s="201"/>
      <c r="J376" s="201"/>
      <c r="K376" s="201"/>
      <c r="L376" s="200"/>
      <c r="M376" s="200"/>
      <c r="N376" s="200"/>
      <c r="O376" s="200"/>
      <c r="P376" s="200"/>
      <c r="Q376" s="200"/>
      <c r="R376" s="199"/>
      <c r="S376" s="199"/>
      <c r="T376" s="201"/>
      <c r="U376" s="201"/>
      <c r="V376" s="201"/>
      <c r="W376" s="201"/>
      <c r="X376" s="201"/>
      <c r="Y376" s="201"/>
      <c r="Z376" s="21"/>
      <c r="AA376" s="21"/>
      <c r="AB376" s="201"/>
      <c r="AC376" s="201"/>
      <c r="AD376" s="201"/>
      <c r="AE376" s="201"/>
      <c r="AF376" s="201"/>
      <c r="AG376" s="201"/>
      <c r="AH376" s="201"/>
      <c r="AI376" s="201"/>
      <c r="AJ376" s="200"/>
      <c r="AK376" s="200"/>
    </row>
    <row r="377" spans="2:37" hidden="1" outlineLevel="1">
      <c r="B377" s="73" t="s">
        <v>4</v>
      </c>
      <c r="C377" s="201"/>
      <c r="D377" s="201"/>
      <c r="E377" s="201"/>
      <c r="F377" s="22">
        <v>141</v>
      </c>
      <c r="G377" s="22">
        <v>149</v>
      </c>
      <c r="H377" s="201"/>
      <c r="I377" s="201"/>
      <c r="J377" s="201"/>
      <c r="K377" s="201"/>
      <c r="L377" s="200"/>
      <c r="M377" s="200"/>
      <c r="N377" s="200"/>
      <c r="O377" s="200"/>
      <c r="P377" s="200"/>
      <c r="Q377" s="200"/>
      <c r="R377" s="199"/>
      <c r="S377" s="199"/>
      <c r="T377" s="201"/>
      <c r="U377" s="201"/>
      <c r="V377" s="201"/>
      <c r="W377" s="201"/>
      <c r="X377" s="201"/>
      <c r="Y377" s="201"/>
      <c r="Z377" s="21"/>
      <c r="AA377" s="21"/>
      <c r="AB377" s="201"/>
      <c r="AC377" s="201"/>
      <c r="AD377" s="201"/>
      <c r="AE377" s="201"/>
      <c r="AF377" s="201"/>
      <c r="AG377" s="201"/>
      <c r="AH377" s="201"/>
      <c r="AI377" s="201"/>
      <c r="AJ377" s="200"/>
      <c r="AK377" s="200"/>
    </row>
    <row r="378" spans="2:37" hidden="1" outlineLevel="1">
      <c r="B378" s="73" t="s">
        <v>5</v>
      </c>
      <c r="C378" s="201"/>
      <c r="D378" s="201"/>
      <c r="E378" s="201"/>
      <c r="F378" s="22">
        <v>6</v>
      </c>
      <c r="G378" s="22">
        <v>3</v>
      </c>
      <c r="H378" s="201"/>
      <c r="I378" s="201"/>
      <c r="J378" s="201"/>
      <c r="K378" s="201"/>
      <c r="L378" s="200"/>
      <c r="M378" s="200"/>
      <c r="N378" s="200"/>
      <c r="O378" s="200"/>
      <c r="P378" s="200"/>
      <c r="Q378" s="200"/>
      <c r="R378" s="199"/>
      <c r="S378" s="199"/>
      <c r="T378" s="201"/>
      <c r="U378" s="201"/>
      <c r="V378" s="201"/>
      <c r="W378" s="201"/>
      <c r="X378" s="201"/>
      <c r="Y378" s="201"/>
      <c r="Z378" s="21"/>
      <c r="AA378" s="21"/>
      <c r="AB378" s="201"/>
      <c r="AC378" s="201"/>
      <c r="AD378" s="201"/>
      <c r="AE378" s="201"/>
      <c r="AF378" s="201"/>
      <c r="AG378" s="201"/>
      <c r="AH378" s="201"/>
      <c r="AI378" s="201"/>
      <c r="AJ378" s="200"/>
      <c r="AK378" s="200"/>
    </row>
    <row r="379" spans="2:37" hidden="1" outlineLevel="1">
      <c r="B379" s="72" t="s">
        <v>58</v>
      </c>
      <c r="C379" s="201"/>
      <c r="D379" s="201"/>
      <c r="E379" s="201"/>
      <c r="F379" s="39">
        <f>SUM(F374:F378)</f>
        <v>2229</v>
      </c>
      <c r="G379" s="39">
        <f t="shared" ref="G379" si="728">SUM(G374:G378)</f>
        <v>2477</v>
      </c>
      <c r="H379" s="201"/>
      <c r="I379" s="201"/>
      <c r="J379" s="201"/>
      <c r="K379" s="201"/>
      <c r="L379" s="200"/>
      <c r="M379" s="200"/>
      <c r="N379" s="200"/>
      <c r="O379" s="200"/>
      <c r="P379" s="200"/>
      <c r="Q379" s="200"/>
      <c r="R379" s="199"/>
      <c r="S379" s="199"/>
      <c r="T379" s="201"/>
      <c r="U379" s="201"/>
      <c r="V379" s="201"/>
      <c r="W379" s="201"/>
      <c r="X379" s="201"/>
      <c r="Y379" s="201"/>
      <c r="Z379" s="39"/>
      <c r="AA379" s="39"/>
      <c r="AB379" s="201"/>
      <c r="AC379" s="201"/>
      <c r="AD379" s="201"/>
      <c r="AE379" s="201"/>
      <c r="AF379" s="201"/>
      <c r="AG379" s="201"/>
      <c r="AH379" s="201"/>
      <c r="AI379" s="201"/>
      <c r="AJ379" s="200"/>
      <c r="AK379" s="200"/>
    </row>
    <row r="380" spans="2:37" collapsed="1">
      <c r="B380" s="5" t="s">
        <v>554</v>
      </c>
      <c r="C380" s="167"/>
      <c r="D380" s="167"/>
      <c r="E380" s="167"/>
      <c r="F380" s="167"/>
      <c r="G380" s="167"/>
      <c r="H380" s="167"/>
      <c r="I380" s="167"/>
      <c r="J380" s="167"/>
      <c r="K380" s="167"/>
      <c r="L380" s="167"/>
      <c r="M380" s="167"/>
      <c r="N380" s="167"/>
      <c r="O380" s="167"/>
      <c r="P380" s="167"/>
      <c r="Q380" s="167"/>
      <c r="R380" s="167"/>
      <c r="S380" s="167"/>
      <c r="T380" s="167"/>
      <c r="U380" s="167"/>
      <c r="V380" s="167"/>
      <c r="W380" s="167"/>
      <c r="X380" s="167"/>
      <c r="Y380" s="167"/>
      <c r="Z380" s="167"/>
      <c r="AA380" s="167"/>
      <c r="AB380" s="167"/>
      <c r="AC380" s="167"/>
      <c r="AD380" s="167"/>
      <c r="AE380" s="167"/>
      <c r="AF380" s="167"/>
      <c r="AG380" s="167"/>
      <c r="AH380" s="167"/>
      <c r="AI380" s="167"/>
      <c r="AJ380" s="167"/>
      <c r="AK380" s="167"/>
    </row>
    <row r="381" spans="2:37">
      <c r="B381" s="25" t="s">
        <v>519</v>
      </c>
      <c r="C381" s="199"/>
      <c r="D381" s="199"/>
      <c r="E381" s="199"/>
      <c r="F381" s="199"/>
      <c r="G381" s="199"/>
      <c r="H381" s="199"/>
      <c r="I381" s="199"/>
      <c r="J381" s="199"/>
      <c r="K381" s="199"/>
      <c r="L381" s="200"/>
      <c r="M381" s="200"/>
      <c r="N381" s="200"/>
      <c r="O381" s="200"/>
      <c r="P381" s="200"/>
      <c r="Q381" s="200"/>
      <c r="AF381" s="199"/>
      <c r="AG381" s="199"/>
      <c r="AH381" s="199"/>
      <c r="AI381" s="199"/>
      <c r="AJ381" s="200"/>
      <c r="AK381" s="200"/>
    </row>
    <row r="382" spans="2:37">
      <c r="B382" s="16" t="s">
        <v>1</v>
      </c>
      <c r="C382" s="199"/>
      <c r="D382" s="199"/>
      <c r="E382" s="287"/>
      <c r="F382" s="287">
        <f t="shared" ref="F382:P382" si="729">F62</f>
        <v>-311</v>
      </c>
      <c r="G382" s="287">
        <f t="shared" si="729"/>
        <v>-327.1358991436727</v>
      </c>
      <c r="H382" s="287">
        <f t="shared" si="729"/>
        <v>-340.30053001982685</v>
      </c>
      <c r="I382" s="287">
        <f t="shared" si="729"/>
        <v>-353.64595633535095</v>
      </c>
      <c r="J382" s="287">
        <f t="shared" si="729"/>
        <v>-369.42276452437557</v>
      </c>
      <c r="K382" s="287">
        <f t="shared" si="729"/>
        <v>-382.5005298967821</v>
      </c>
      <c r="L382" s="288">
        <f t="shared" si="729"/>
        <v>-399.11207931960479</v>
      </c>
      <c r="M382" s="288">
        <f t="shared" si="729"/>
        <v>-416.374029322686</v>
      </c>
      <c r="N382" s="288">
        <f t="shared" si="729"/>
        <v>-434.31042059455513</v>
      </c>
      <c r="O382" s="288">
        <f t="shared" si="729"/>
        <v>-452.94615000147814</v>
      </c>
      <c r="P382" s="288">
        <f t="shared" si="729"/>
        <v>-472.30700030443006</v>
      </c>
      <c r="Q382" s="200"/>
      <c r="AF382" s="199"/>
      <c r="AG382" s="199"/>
      <c r="AH382" s="199"/>
      <c r="AI382" s="199"/>
      <c r="AJ382" s="200"/>
      <c r="AK382" s="200"/>
    </row>
    <row r="383" spans="2:37">
      <c r="B383" s="16" t="s">
        <v>390</v>
      </c>
      <c r="C383" s="199"/>
      <c r="D383" s="199"/>
      <c r="E383" s="287"/>
      <c r="F383" s="287"/>
      <c r="G383" s="287"/>
      <c r="H383" s="289">
        <f t="shared" ref="H383:P383" si="730">H317*-1%</f>
        <v>-36.840000000000003</v>
      </c>
      <c r="I383" s="289">
        <f t="shared" si="730"/>
        <v>-43.24</v>
      </c>
      <c r="J383" s="289">
        <f t="shared" si="730"/>
        <v>-55.94</v>
      </c>
      <c r="K383" s="289">
        <f t="shared" si="730"/>
        <v>-57.43</v>
      </c>
      <c r="L383" s="290">
        <f t="shared" si="730"/>
        <v>-59.440049999999992</v>
      </c>
      <c r="M383" s="290">
        <f t="shared" si="730"/>
        <v>-62.412052499999994</v>
      </c>
      <c r="N383" s="290">
        <f t="shared" si="730"/>
        <v>-65.532655124999991</v>
      </c>
      <c r="O383" s="290">
        <f t="shared" si="730"/>
        <v>-68.80928788125</v>
      </c>
      <c r="P383" s="290">
        <f t="shared" si="730"/>
        <v>-72.249752275312503</v>
      </c>
      <c r="Q383" s="200"/>
      <c r="AF383" s="199"/>
      <c r="AG383" s="199"/>
      <c r="AH383" s="199"/>
      <c r="AI383" s="199"/>
      <c r="AJ383" s="200"/>
      <c r="AK383" s="200"/>
    </row>
    <row r="384" spans="2:37">
      <c r="B384" s="16" t="s">
        <v>3</v>
      </c>
      <c r="C384" s="199"/>
      <c r="D384" s="199"/>
      <c r="E384" s="287"/>
      <c r="F384" s="287">
        <f t="shared" ref="F384:P384" si="731">F148/F181</f>
        <v>-65.459816462736384</v>
      </c>
      <c r="G384" s="287">
        <f t="shared" si="731"/>
        <v>-66.862785359057398</v>
      </c>
      <c r="H384" s="287">
        <f t="shared" si="731"/>
        <v>-71.572012285374285</v>
      </c>
      <c r="I384" s="287">
        <f t="shared" si="731"/>
        <v>-72.305552310148471</v>
      </c>
      <c r="J384" s="287">
        <f t="shared" si="731"/>
        <v>-74.110196731887953</v>
      </c>
      <c r="K384" s="287">
        <f t="shared" si="731"/>
        <v>-73.732585329870759</v>
      </c>
      <c r="L384" s="288">
        <f t="shared" si="731"/>
        <v>-73.690881232381216</v>
      </c>
      <c r="M384" s="288">
        <f t="shared" si="731"/>
        <v>-76.02976572366984</v>
      </c>
      <c r="N384" s="288">
        <f t="shared" si="731"/>
        <v>-79.128183058000047</v>
      </c>
      <c r="O384" s="288">
        <f t="shared" si="731"/>
        <v>-82.343817731208148</v>
      </c>
      <c r="P384" s="288">
        <f t="shared" si="731"/>
        <v>-85.680909291893968</v>
      </c>
      <c r="Q384" s="200"/>
      <c r="AF384" s="199"/>
      <c r="AG384" s="199"/>
      <c r="AH384" s="199"/>
      <c r="AI384" s="199"/>
      <c r="AJ384" s="200"/>
      <c r="AK384" s="200"/>
    </row>
    <row r="385" spans="1:37">
      <c r="B385" s="16" t="s">
        <v>569</v>
      </c>
      <c r="C385" s="199"/>
      <c r="D385" s="199"/>
      <c r="E385" s="287"/>
      <c r="F385" s="289">
        <f t="shared" ref="F385:P385" si="732">F238+F273*-1%</f>
        <v>-57</v>
      </c>
      <c r="G385" s="289">
        <f t="shared" si="732"/>
        <v>-59.38540975519517</v>
      </c>
      <c r="H385" s="289">
        <f t="shared" si="732"/>
        <v>-62.746755477736393</v>
      </c>
      <c r="I385" s="289">
        <f t="shared" si="732"/>
        <v>-64.878868601202655</v>
      </c>
      <c r="J385" s="289">
        <f t="shared" si="732"/>
        <v>-70.461024626861473</v>
      </c>
      <c r="K385" s="289">
        <f t="shared" si="732"/>
        <v>-76.005092134018454</v>
      </c>
      <c r="L385" s="290">
        <f t="shared" si="732"/>
        <v>-78.747642770379429</v>
      </c>
      <c r="M385" s="290">
        <f t="shared" si="732"/>
        <v>-81.575576947107834</v>
      </c>
      <c r="N385" s="290">
        <f t="shared" si="732"/>
        <v>-84.491440804280614</v>
      </c>
      <c r="O385" s="290">
        <f t="shared" si="732"/>
        <v>-87.497851253222606</v>
      </c>
      <c r="P385" s="290">
        <f t="shared" si="732"/>
        <v>-90.597498425088958</v>
      </c>
      <c r="Q385" s="200"/>
      <c r="AF385" s="199"/>
      <c r="AG385" s="199"/>
      <c r="AH385" s="199"/>
      <c r="AI385" s="199"/>
      <c r="AJ385" s="200"/>
      <c r="AK385" s="200"/>
    </row>
    <row r="386" spans="1:37">
      <c r="B386" s="16" t="s">
        <v>5</v>
      </c>
      <c r="C386" s="199"/>
      <c r="D386" s="199"/>
      <c r="E386" s="199"/>
      <c r="F386" s="334">
        <v>0</v>
      </c>
      <c r="G386" s="334">
        <v>0</v>
      </c>
      <c r="H386" s="334">
        <v>0</v>
      </c>
      <c r="I386" s="334">
        <v>0</v>
      </c>
      <c r="J386" s="334">
        <v>0</v>
      </c>
      <c r="K386" s="334">
        <v>0</v>
      </c>
      <c r="L386" s="234">
        <v>0</v>
      </c>
      <c r="M386" s="234">
        <v>0</v>
      </c>
      <c r="N386" s="234">
        <v>0</v>
      </c>
      <c r="O386" s="234">
        <v>0</v>
      </c>
      <c r="P386" s="234">
        <v>0</v>
      </c>
      <c r="Q386" s="200"/>
      <c r="AF386" s="199"/>
      <c r="AG386" s="199"/>
      <c r="AH386" s="199"/>
      <c r="AI386" s="199"/>
      <c r="AJ386" s="200"/>
      <c r="AK386" s="200"/>
    </row>
    <row r="387" spans="1:37">
      <c r="B387" s="17" t="s">
        <v>6</v>
      </c>
      <c r="C387" s="199"/>
      <c r="D387" s="199"/>
      <c r="E387" s="199"/>
      <c r="F387" s="334">
        <v>0</v>
      </c>
      <c r="G387" s="334">
        <v>0</v>
      </c>
      <c r="H387" s="334">
        <v>0</v>
      </c>
      <c r="I387" s="334">
        <v>0</v>
      </c>
      <c r="J387" s="334">
        <v>0</v>
      </c>
      <c r="K387" s="334">
        <v>0</v>
      </c>
      <c r="L387" s="234">
        <v>0</v>
      </c>
      <c r="M387" s="234">
        <v>0</v>
      </c>
      <c r="N387" s="234">
        <v>0</v>
      </c>
      <c r="O387" s="234">
        <v>0</v>
      </c>
      <c r="P387" s="234">
        <v>0</v>
      </c>
      <c r="Q387" s="200"/>
      <c r="AF387" s="199"/>
      <c r="AG387" s="199"/>
      <c r="AH387" s="199"/>
      <c r="AI387" s="199"/>
      <c r="AJ387" s="200"/>
      <c r="AK387" s="200"/>
    </row>
    <row r="388" spans="1:37">
      <c r="A388" s="6" t="s">
        <v>520</v>
      </c>
      <c r="B388" s="25" t="s">
        <v>195</v>
      </c>
      <c r="C388" s="199"/>
      <c r="D388" s="199"/>
      <c r="E388" s="199"/>
      <c r="F388" s="310">
        <f>SUM(F382:F387)</f>
        <v>-433.4598164627364</v>
      </c>
      <c r="G388" s="310">
        <f t="shared" ref="G388:P388" si="733">SUM(G382:G387)</f>
        <v>-453.38409425792526</v>
      </c>
      <c r="H388" s="310">
        <f t="shared" si="733"/>
        <v>-511.45929778293754</v>
      </c>
      <c r="I388" s="310">
        <f t="shared" si="733"/>
        <v>-534.07037724670204</v>
      </c>
      <c r="J388" s="310">
        <f t="shared" si="733"/>
        <v>-569.93398588312493</v>
      </c>
      <c r="K388" s="310">
        <f t="shared" si="733"/>
        <v>-589.66820736067132</v>
      </c>
      <c r="L388" s="291">
        <f t="shared" si="733"/>
        <v>-610.99065332236546</v>
      </c>
      <c r="M388" s="291">
        <f t="shared" si="733"/>
        <v>-636.39142449346366</v>
      </c>
      <c r="N388" s="291">
        <f t="shared" si="733"/>
        <v>-663.46269958183586</v>
      </c>
      <c r="O388" s="291">
        <f t="shared" si="733"/>
        <v>-691.59710686715891</v>
      </c>
      <c r="P388" s="291">
        <f t="shared" si="733"/>
        <v>-720.83516029672546</v>
      </c>
      <c r="Q388" s="200"/>
      <c r="AF388" s="199"/>
      <c r="AG388" s="199"/>
      <c r="AH388" s="199"/>
      <c r="AI388" s="199"/>
      <c r="AJ388" s="200"/>
      <c r="AK388" s="200"/>
    </row>
  </sheetData>
  <phoneticPr fontId="1" type="noConversion"/>
  <pageMargins left="0.7" right="0.7" top="0.75" bottom="0.75" header="0.3" footer="0.3"/>
  <pageSetup paperSize="9" orientation="portrait" r:id="rId1"/>
  <customProperties>
    <customPr name="Qube.Worksheet.Visibility" r:id="rId2"/>
    <customPr name="QXL_SHEET_ID" r:id="rId3"/>
  </customProperties>
  <legacyDrawing r:id="rId4"/>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D34451-407A-4532-8887-D63394C18E7E}">
  <sheetPr>
    <tabColor theme="7" tint="0.59999389629810485"/>
  </sheetPr>
  <dimension ref="A1:AL85"/>
  <sheetViews>
    <sheetView showGridLines="0" topLeftCell="B1" zoomScale="85" zoomScaleNormal="85" workbookViewId="0">
      <selection activeCell="AP48" sqref="AP48"/>
    </sheetView>
  </sheetViews>
  <sheetFormatPr defaultColWidth="9.140625" defaultRowHeight="12.75" outlineLevelRow="1" outlineLevelCol="1"/>
  <cols>
    <col min="1" max="1" width="7.28515625" style="24" hidden="1" customWidth="1" outlineLevel="1"/>
    <col min="2" max="2" width="36.85546875" style="6" bestFit="1" customWidth="1" collapsed="1"/>
    <col min="3" max="9" width="11.5703125" style="168" hidden="1" customWidth="1" outlineLevel="1"/>
    <col min="10" max="10" width="11.5703125" style="168" bestFit="1" customWidth="1" collapsed="1"/>
    <col min="11" max="11" width="11.5703125" style="168" bestFit="1" customWidth="1"/>
    <col min="12" max="17" width="11.5703125" style="168" customWidth="1"/>
    <col min="18" max="31" width="9.7109375" style="168" hidden="1" customWidth="1" outlineLevel="1"/>
    <col min="32" max="32" width="9.7109375" style="168" customWidth="1" collapsed="1"/>
    <col min="33" max="37" width="9.7109375" style="168" customWidth="1"/>
    <col min="38" max="16384" width="9.140625" style="6"/>
  </cols>
  <sheetData>
    <row r="1" spans="1:38" s="8" customFormat="1">
      <c r="A1" s="140"/>
      <c r="B1" s="5" t="s">
        <v>226</v>
      </c>
      <c r="C1" s="167"/>
      <c r="D1" s="167"/>
      <c r="E1" s="167"/>
      <c r="F1" s="167"/>
      <c r="G1" s="167"/>
      <c r="H1" s="167"/>
      <c r="I1" s="167"/>
      <c r="J1" s="167"/>
      <c r="K1" s="167"/>
      <c r="L1" s="167"/>
      <c r="M1" s="167"/>
      <c r="N1" s="167"/>
      <c r="O1" s="167"/>
      <c r="P1" s="167"/>
      <c r="Q1" s="200"/>
      <c r="R1" s="167"/>
      <c r="S1" s="167"/>
      <c r="T1" s="167"/>
      <c r="U1" s="167"/>
      <c r="V1" s="167"/>
      <c r="W1" s="167"/>
      <c r="X1" s="167"/>
      <c r="Y1" s="167"/>
      <c r="Z1" s="167"/>
      <c r="AA1" s="167"/>
      <c r="AB1" s="167"/>
      <c r="AC1" s="167"/>
      <c r="AD1" s="167"/>
      <c r="AE1" s="167"/>
      <c r="AF1" s="167"/>
      <c r="AG1" s="167"/>
      <c r="AH1" s="167"/>
      <c r="AI1" s="167"/>
      <c r="AJ1" s="167"/>
      <c r="AK1" s="167"/>
    </row>
    <row r="2" spans="1:38" s="8" customFormat="1">
      <c r="A2" s="140"/>
      <c r="B2" s="5" t="s">
        <v>81</v>
      </c>
      <c r="C2" s="167"/>
      <c r="D2" s="167"/>
      <c r="E2" s="167"/>
      <c r="F2" s="167"/>
      <c r="G2" s="167"/>
      <c r="H2" s="167"/>
      <c r="I2" s="167"/>
      <c r="J2" s="167"/>
      <c r="K2" s="167"/>
      <c r="L2" s="167"/>
      <c r="M2" s="167"/>
      <c r="N2" s="167"/>
      <c r="O2" s="167"/>
      <c r="P2" s="167"/>
      <c r="Q2" s="200"/>
      <c r="R2" s="167"/>
      <c r="S2" s="167"/>
      <c r="T2" s="167"/>
      <c r="U2" s="167"/>
      <c r="V2" s="167"/>
      <c r="W2" s="167"/>
      <c r="X2" s="167"/>
      <c r="Y2" s="167"/>
      <c r="Z2" s="167"/>
      <c r="AA2" s="167"/>
      <c r="AB2" s="167"/>
      <c r="AC2" s="167"/>
      <c r="AD2" s="167"/>
      <c r="AE2" s="167"/>
      <c r="AF2" s="167"/>
      <c r="AG2" s="167"/>
      <c r="AH2" s="167"/>
      <c r="AI2" s="167"/>
      <c r="AJ2" s="167"/>
      <c r="AK2" s="167"/>
    </row>
    <row r="3" spans="1:38" s="8" customFormat="1">
      <c r="A3" s="140"/>
      <c r="B3" s="9"/>
      <c r="C3" s="14" t="str">
        <f>Model!C3</f>
        <v>FY17</v>
      </c>
      <c r="D3" s="14" t="str">
        <f>Model!D3</f>
        <v>FY18</v>
      </c>
      <c r="E3" s="14" t="str">
        <f>Model!E3</f>
        <v>FY19</v>
      </c>
      <c r="F3" s="14" t="str">
        <f>Model!F3</f>
        <v>FY20</v>
      </c>
      <c r="G3" s="14" t="str">
        <f>Model!G3</f>
        <v>FY21</v>
      </c>
      <c r="H3" s="14" t="str">
        <f>Model!H3</f>
        <v>FY22</v>
      </c>
      <c r="I3" s="14" t="str">
        <f>Model!I3</f>
        <v>FY23</v>
      </c>
      <c r="J3" s="14" t="str">
        <f>Model!J3</f>
        <v>FY24</v>
      </c>
      <c r="K3" s="14" t="str">
        <f>Model!K3</f>
        <v>FY25</v>
      </c>
      <c r="L3" s="14" t="s">
        <v>35</v>
      </c>
      <c r="M3" s="14" t="s">
        <v>36</v>
      </c>
      <c r="N3" s="14" t="s">
        <v>372</v>
      </c>
      <c r="O3" s="14" t="s">
        <v>426</v>
      </c>
      <c r="P3" s="14" t="s">
        <v>427</v>
      </c>
      <c r="Q3" s="224"/>
      <c r="R3" s="14" t="str">
        <f>Model!R3</f>
        <v>1H17</v>
      </c>
      <c r="S3" s="14" t="str">
        <f>Model!S3</f>
        <v>2H17</v>
      </c>
      <c r="T3" s="14" t="str">
        <f>Model!T3</f>
        <v>1H18</v>
      </c>
      <c r="U3" s="14" t="str">
        <f>Model!U3</f>
        <v>2H18</v>
      </c>
      <c r="V3" s="14" t="str">
        <f>Model!V3</f>
        <v>1H19</v>
      </c>
      <c r="W3" s="14" t="str">
        <f>Model!W3</f>
        <v>2H19</v>
      </c>
      <c r="X3" s="14" t="str">
        <f>Model!X3</f>
        <v>1H20</v>
      </c>
      <c r="Y3" s="14" t="str">
        <f>Model!Y3</f>
        <v>2H20</v>
      </c>
      <c r="Z3" s="14" t="str">
        <f>Model!Z3</f>
        <v>1H21</v>
      </c>
      <c r="AA3" s="14" t="str">
        <f>Model!AA3</f>
        <v>2H21</v>
      </c>
      <c r="AB3" s="14" t="str">
        <f>Model!AB3</f>
        <v>1H22</v>
      </c>
      <c r="AC3" s="14" t="str">
        <f>Model!AC3</f>
        <v>2H22</v>
      </c>
      <c r="AD3" s="14" t="str">
        <f>Model!AD3</f>
        <v>1H23</v>
      </c>
      <c r="AE3" s="14" t="str">
        <f>Model!AE3</f>
        <v>2H23</v>
      </c>
      <c r="AF3" s="14" t="str">
        <f>Model!AF3</f>
        <v>1H24</v>
      </c>
      <c r="AG3" s="14" t="str">
        <f>Model!AG3</f>
        <v>2H24</v>
      </c>
      <c r="AH3" s="14" t="str">
        <f>Model!AH3</f>
        <v>1H25</v>
      </c>
      <c r="AI3" s="14" t="str">
        <f>Model!AI3</f>
        <v>2H25</v>
      </c>
      <c r="AJ3" s="14" t="s">
        <v>37</v>
      </c>
      <c r="AK3" s="14" t="s">
        <v>38</v>
      </c>
    </row>
    <row r="4" spans="1:38" s="8" customFormat="1">
      <c r="A4" s="140"/>
      <c r="B4" s="1" t="s">
        <v>82</v>
      </c>
      <c r="C4" s="167"/>
      <c r="D4" s="167"/>
      <c r="E4" s="167"/>
      <c r="F4" s="167"/>
      <c r="G4" s="167"/>
      <c r="H4" s="167"/>
      <c r="I4" s="167"/>
      <c r="J4" s="167"/>
      <c r="K4" s="167"/>
      <c r="L4" s="167"/>
      <c r="M4" s="167"/>
      <c r="N4" s="167"/>
      <c r="O4" s="167"/>
      <c r="P4" s="167"/>
      <c r="Q4" s="200"/>
      <c r="R4" s="167"/>
      <c r="S4" s="167"/>
      <c r="T4" s="167"/>
      <c r="U4" s="167"/>
      <c r="V4" s="167"/>
      <c r="W4" s="167"/>
      <c r="X4" s="167"/>
      <c r="Y4" s="167"/>
      <c r="Z4" s="167"/>
      <c r="AA4" s="167"/>
      <c r="AB4" s="167"/>
      <c r="AC4" s="167"/>
      <c r="AD4" s="167"/>
      <c r="AE4" s="167"/>
      <c r="AF4" s="167"/>
      <c r="AG4" s="167"/>
      <c r="AH4" s="167"/>
      <c r="AI4" s="167"/>
      <c r="AJ4" s="167"/>
      <c r="AK4" s="167"/>
    </row>
    <row r="5" spans="1:38" s="7" customFormat="1">
      <c r="A5" s="24" t="s">
        <v>256</v>
      </c>
      <c r="B5" s="142" t="s">
        <v>0</v>
      </c>
      <c r="C5" s="202">
        <f>VLOOKUP($A$5,Model!1:1048576,MATCH(PL!C3,Model!3:3,0),FALSE)</f>
        <v>54841</v>
      </c>
      <c r="D5" s="202">
        <f>VLOOKUP($A$5,Model!1:1048576,MATCH(PL!D3,Model!3:3,0),FALSE)</f>
        <v>57175</v>
      </c>
      <c r="E5" s="202">
        <f>VLOOKUP($A$5,Model!1:1048576,MATCH(PL!E3,Model!3:3,0),FALSE)</f>
        <v>59984</v>
      </c>
      <c r="F5" s="202">
        <f>VLOOKUP($A$5,Model!1:1048576,MATCH(PL!F3,Model!3:3,0),FALSE)</f>
        <v>63675</v>
      </c>
      <c r="G5" s="202">
        <f>VLOOKUP($A$5,Model!1:1048576,MATCH(PL!G3,Model!3:3,0),FALSE)</f>
        <v>67317</v>
      </c>
      <c r="H5" s="202">
        <f>VLOOKUP($A$5,Model!1:1048576,MATCH(PL!H3,Model!3:3,0),FALSE)</f>
        <v>60849</v>
      </c>
      <c r="I5" s="202">
        <f>VLOOKUP($A$5,Model!1:1048576,MATCH(PL!I3,Model!3:3,0),FALSE)</f>
        <v>64294</v>
      </c>
      <c r="J5" s="202">
        <f>VLOOKUP($A$5,Model!1:1048576,MATCH(PL!J3,Model!3:3,0),FALSE)</f>
        <v>67922</v>
      </c>
      <c r="K5" s="202">
        <f>VLOOKUP($A$5,Model!1:1048576,MATCH(PL!K3,Model!3:3,0),FALSE)</f>
        <v>69077</v>
      </c>
      <c r="L5" s="202">
        <f>VLOOKUP($A$5,Model!1:1048576,MATCH(PL!L3,Model!3:3,0),FALSE)</f>
        <v>71152.748632299452</v>
      </c>
      <c r="M5" s="202">
        <f>VLOOKUP($A$5,Model!1:1048576,MATCH(PL!M3,Model!3:3,0),FALSE)</f>
        <v>73998.058146344905</v>
      </c>
      <c r="N5" s="202">
        <f>VLOOKUP($A$5,Model!1:1048576,MATCH(PL!N3,Model!3:3,0),FALSE)</f>
        <v>77031.118703059852</v>
      </c>
      <c r="O5" s="202">
        <f>VLOOKUP($A$5,Model!1:1048576,MATCH(PL!O3,Model!3:3,0),FALSE)</f>
        <v>80175.906984756206</v>
      </c>
      <c r="P5" s="202">
        <f>VLOOKUP($A$5,Model!1:1048576,MATCH(PL!P3,Model!3:3,0),FALSE)</f>
        <v>83436.419470811306</v>
      </c>
      <c r="Q5" s="216"/>
      <c r="R5" s="202">
        <f>VLOOKUP($A$5,Model!1:1048576,MATCH(PL!R3,Model!3:3,0),FALSE)</f>
        <v>29058.5</v>
      </c>
      <c r="S5" s="202">
        <f>VLOOKUP($A$5,Model!1:1048576,MATCH(PL!S3,Model!3:3,0),FALSE)</f>
        <v>25838.5</v>
      </c>
      <c r="T5" s="202">
        <f>VLOOKUP($A$5,Model!1:1048576,MATCH(PL!T3,Model!3:3,0),FALSE)</f>
        <v>29907</v>
      </c>
      <c r="U5" s="202">
        <f>VLOOKUP($A$5,Model!1:1048576,MATCH(PL!U3,Model!3:3,0),FALSE)</f>
        <v>27268</v>
      </c>
      <c r="V5" s="202">
        <f>VLOOKUP($A$5,Model!1:1048576,MATCH(PL!V3,Model!3:3,0),FALSE)</f>
        <v>30587</v>
      </c>
      <c r="W5" s="202">
        <f>VLOOKUP($A$5,Model!1:1048576,MATCH(PL!W3,Model!3:3,0),FALSE)</f>
        <v>29397</v>
      </c>
      <c r="X5" s="202">
        <f>VLOOKUP($A$5,Model!1:1048576,MATCH(PL!X3,Model!3:3,0),FALSE)</f>
        <v>32410</v>
      </c>
      <c r="Y5" s="202">
        <f>VLOOKUP($A$5,Model!1:1048576,MATCH(PL!Y3,Model!3:3,0),FALSE)</f>
        <v>31265</v>
      </c>
      <c r="Z5" s="202">
        <f>VLOOKUP($A$5,Model!1:1048576,MATCH(PL!Z3,Model!3:3,0),FALSE)</f>
        <v>35885</v>
      </c>
      <c r="AA5" s="202">
        <f>VLOOKUP($A$5,Model!1:1048576,MATCH(PL!AA3,Model!3:3,0),FALSE)</f>
        <v>31432</v>
      </c>
      <c r="AB5" s="202">
        <f>VLOOKUP($A$5,Model!1:1048576,MATCH(PL!AB3,Model!3:3,0),FALSE)</f>
        <v>31894</v>
      </c>
      <c r="AC5" s="202">
        <f>VLOOKUP($A$5,Model!1:1048576,MATCH(PL!AC3,Model!3:3,0),FALSE)</f>
        <v>28955</v>
      </c>
      <c r="AD5" s="202">
        <f>VLOOKUP($A$5,Model!1:1048576,MATCH(PL!AD3,Model!3:3,0),FALSE)</f>
        <v>33169</v>
      </c>
      <c r="AE5" s="202">
        <f>VLOOKUP($A$5,Model!1:1048576,MATCH(PL!AE3,Model!3:3,0),FALSE)</f>
        <v>31125</v>
      </c>
      <c r="AF5" s="202">
        <f>VLOOKUP($A$5,Model!1:1048576,MATCH(PL!AF3,Model!3:3,0),FALSE)</f>
        <v>34635</v>
      </c>
      <c r="AG5" s="202">
        <f>VLOOKUP($A$5,Model!1:1048576,MATCH(PL!AG3,Model!3:3,0),FALSE)</f>
        <v>33287</v>
      </c>
      <c r="AH5" s="202">
        <f>VLOOKUP($A$5,Model!1:1048576,MATCH(PL!AH3,Model!3:3,0),FALSE)</f>
        <v>35930</v>
      </c>
      <c r="AI5" s="202">
        <f>VLOOKUP($A$5,Model!1:1048576,MATCH(PL!AI3,Model!3:3,0),FALSE)</f>
        <v>33147</v>
      </c>
      <c r="AJ5" s="202">
        <f>VLOOKUP($A$5,Model!1:1048576,MATCH(PL!AJ3,Model!3:3,0),FALSE)</f>
        <v>37054.210966296414</v>
      </c>
      <c r="AK5" s="202">
        <f>VLOOKUP($A$5,Model!1:1048576,MATCH(PL!AK3,Model!3:3,0),FALSE)</f>
        <v>34098.537666003031</v>
      </c>
    </row>
    <row r="6" spans="1:38" s="24" customFormat="1">
      <c r="A6" s="24" t="s">
        <v>435</v>
      </c>
      <c r="B6" s="29" t="s">
        <v>265</v>
      </c>
      <c r="C6" s="217"/>
      <c r="D6" s="209">
        <f t="shared" ref="D6:K6" si="0">D5/C5-1</f>
        <v>4.2559398989806985E-2</v>
      </c>
      <c r="E6" s="209">
        <f t="shared" si="0"/>
        <v>4.9129864451246119E-2</v>
      </c>
      <c r="F6" s="209">
        <f t="shared" si="0"/>
        <v>6.1533075486796429E-2</v>
      </c>
      <c r="G6" s="209">
        <f t="shared" si="0"/>
        <v>5.7196702002355604E-2</v>
      </c>
      <c r="H6" s="209">
        <f t="shared" si="0"/>
        <v>-9.608271313338379E-2</v>
      </c>
      <c r="I6" s="209">
        <f t="shared" si="0"/>
        <v>5.6615556541602885E-2</v>
      </c>
      <c r="J6" s="209">
        <f t="shared" si="0"/>
        <v>5.6428282576912236E-2</v>
      </c>
      <c r="K6" s="209">
        <f t="shared" si="0"/>
        <v>1.7004799623097089E-2</v>
      </c>
      <c r="L6" s="212">
        <f t="shared" ref="L6:P6" si="1">L5/K5-1</f>
        <v>3.0049779699457879E-2</v>
      </c>
      <c r="M6" s="212">
        <f t="shared" si="1"/>
        <v>3.9988750522475858E-2</v>
      </c>
      <c r="N6" s="212">
        <f t="shared" si="1"/>
        <v>4.0988380407449343E-2</v>
      </c>
      <c r="O6" s="212">
        <f t="shared" si="1"/>
        <v>4.0824907318546266E-2</v>
      </c>
      <c r="P6" s="212">
        <f t="shared" si="1"/>
        <v>4.066698598963181E-2</v>
      </c>
      <c r="Q6" s="225"/>
      <c r="R6" s="217"/>
      <c r="S6" s="217"/>
      <c r="T6" s="209">
        <f t="shared" ref="T6:AI6" si="2">T5/R5-1</f>
        <v>2.919971781062336E-2</v>
      </c>
      <c r="U6" s="209">
        <f t="shared" si="2"/>
        <v>5.5324418987170221E-2</v>
      </c>
      <c r="V6" s="209">
        <f t="shared" si="2"/>
        <v>2.2737151837362468E-2</v>
      </c>
      <c r="W6" s="209">
        <f t="shared" si="2"/>
        <v>7.8076866656887178E-2</v>
      </c>
      <c r="X6" s="209">
        <f t="shared" si="2"/>
        <v>5.9600483865694498E-2</v>
      </c>
      <c r="Y6" s="209">
        <f t="shared" si="2"/>
        <v>6.354389903731672E-2</v>
      </c>
      <c r="Z6" s="209">
        <f t="shared" si="2"/>
        <v>0.107219993829065</v>
      </c>
      <c r="AA6" s="209">
        <f t="shared" si="2"/>
        <v>5.3414361106669528E-3</v>
      </c>
      <c r="AB6" s="209">
        <f t="shared" si="2"/>
        <v>-0.11121638567646652</v>
      </c>
      <c r="AC6" s="209">
        <f t="shared" si="2"/>
        <v>-7.8805039450241754E-2</v>
      </c>
      <c r="AD6" s="209">
        <f t="shared" si="2"/>
        <v>3.9976171066658406E-2</v>
      </c>
      <c r="AE6" s="209">
        <f t="shared" si="2"/>
        <v>7.4943878432049749E-2</v>
      </c>
      <c r="AF6" s="209">
        <f t="shared" si="2"/>
        <v>4.4197895625433414E-2</v>
      </c>
      <c r="AG6" s="209">
        <f t="shared" si="2"/>
        <v>6.9461847389558296E-2</v>
      </c>
      <c r="AH6" s="209">
        <f t="shared" si="2"/>
        <v>3.7389923487801457E-2</v>
      </c>
      <c r="AI6" s="209">
        <f t="shared" si="2"/>
        <v>-4.205846126115298E-3</v>
      </c>
      <c r="AJ6" s="212">
        <f t="shared" ref="AJ6:AK6" si="3">AJ5/AH5-1</f>
        <v>3.1288921967615124E-2</v>
      </c>
      <c r="AK6" s="212">
        <f t="shared" si="3"/>
        <v>2.8706599873383087E-2</v>
      </c>
    </row>
    <row r="7" spans="1:38">
      <c r="B7" s="32"/>
      <c r="C7" s="199"/>
      <c r="D7" s="199"/>
      <c r="E7" s="199"/>
      <c r="F7" s="199"/>
      <c r="G7" s="199"/>
      <c r="H7" s="199"/>
      <c r="I7" s="199"/>
      <c r="J7" s="199"/>
      <c r="K7" s="199"/>
      <c r="L7" s="200"/>
      <c r="M7" s="200"/>
      <c r="N7" s="200"/>
      <c r="O7" s="200"/>
      <c r="P7" s="200"/>
      <c r="Q7" s="200"/>
      <c r="R7" s="199"/>
      <c r="S7" s="199"/>
      <c r="T7" s="199"/>
      <c r="U7" s="199"/>
      <c r="V7" s="199"/>
      <c r="W7" s="199"/>
      <c r="X7" s="199"/>
      <c r="Y7" s="199"/>
      <c r="Z7" s="199"/>
      <c r="AA7" s="199"/>
      <c r="AB7" s="199"/>
      <c r="AC7" s="199"/>
      <c r="AD7" s="199"/>
      <c r="AE7" s="199"/>
      <c r="AF7" s="199"/>
      <c r="AG7" s="199"/>
      <c r="AH7" s="199"/>
      <c r="AI7" s="199"/>
      <c r="AJ7" s="200"/>
      <c r="AK7" s="200"/>
    </row>
    <row r="8" spans="1:38" hidden="1" outlineLevel="1">
      <c r="B8" s="32" t="s">
        <v>260</v>
      </c>
      <c r="C8" s="19">
        <f t="shared" ref="C8:H8" si="4">C9-C5</f>
        <v>-38912.1</v>
      </c>
      <c r="D8" s="19">
        <f>D9-D5</f>
        <v>-40466</v>
      </c>
      <c r="E8" s="19">
        <f t="shared" si="4"/>
        <v>-42542</v>
      </c>
      <c r="F8" s="19">
        <f t="shared" si="4"/>
        <v>-45105</v>
      </c>
      <c r="G8" s="19">
        <f t="shared" si="4"/>
        <v>-49276.043999999994</v>
      </c>
      <c r="H8" s="19">
        <f t="shared" si="4"/>
        <v>-44906.561999999998</v>
      </c>
      <c r="I8" s="20">
        <v>-47118</v>
      </c>
      <c r="J8" s="20">
        <v>-49370</v>
      </c>
      <c r="K8" s="20">
        <v>-50262</v>
      </c>
      <c r="L8" s="375">
        <f>L9-L5</f>
        <v>-52761.25870241606</v>
      </c>
      <c r="M8" s="375">
        <f t="shared" ref="M8:P8" si="5">M9-M5</f>
        <v>-54862.321021351985</v>
      </c>
      <c r="N8" s="375">
        <f t="shared" si="5"/>
        <v>-57050.224399873434</v>
      </c>
      <c r="O8" s="375">
        <f t="shared" si="5"/>
        <v>-59376.258474517439</v>
      </c>
      <c r="P8" s="375">
        <f t="shared" si="5"/>
        <v>-61787.904376628561</v>
      </c>
      <c r="Q8" s="149"/>
      <c r="R8" s="20">
        <v>-20660.593499999999</v>
      </c>
      <c r="S8" s="19">
        <f>C8-R8</f>
        <v>-18251.5065</v>
      </c>
      <c r="T8" s="19">
        <f t="shared" ref="T8:Z8" si="6">T9-T5</f>
        <v>-21186</v>
      </c>
      <c r="U8" s="19">
        <f t="shared" si="6"/>
        <v>-19280</v>
      </c>
      <c r="V8" s="19">
        <f t="shared" si="6"/>
        <v>-21682</v>
      </c>
      <c r="W8" s="19">
        <f t="shared" si="6"/>
        <v>-20860</v>
      </c>
      <c r="X8" s="19">
        <f t="shared" si="6"/>
        <v>-22825</v>
      </c>
      <c r="Y8" s="19">
        <f t="shared" si="6"/>
        <v>-22280</v>
      </c>
      <c r="Z8" s="19">
        <f t="shared" si="6"/>
        <v>-26339.59</v>
      </c>
      <c r="AA8" s="19">
        <f>G8-Z8</f>
        <v>-22936.453999999994</v>
      </c>
      <c r="AB8" s="19">
        <f>AB9-AB5</f>
        <v>-22491</v>
      </c>
      <c r="AC8" s="19">
        <f>H8-AB8</f>
        <v>-22415.561999999998</v>
      </c>
      <c r="AD8" s="19">
        <f>AD9-AD5</f>
        <v>-23288</v>
      </c>
      <c r="AE8" s="19">
        <f>AE9-AE5</f>
        <v>-23802</v>
      </c>
      <c r="AF8" s="20">
        <v>-25154</v>
      </c>
      <c r="AG8" s="19">
        <f>AG9-AG5</f>
        <v>-24216</v>
      </c>
      <c r="AH8" s="20">
        <v>-26154</v>
      </c>
      <c r="AI8" s="19">
        <f>AI9-AI5</f>
        <v>-24108</v>
      </c>
      <c r="AJ8" s="375">
        <f>AJ9-AJ5</f>
        <v>-27473.263363494782</v>
      </c>
      <c r="AK8" s="149">
        <f>L8-AJ8</f>
        <v>-25287.995338921279</v>
      </c>
    </row>
    <row r="9" spans="1:38" hidden="1" outlineLevel="1">
      <c r="A9" s="24" t="s">
        <v>78</v>
      </c>
      <c r="B9" s="32" t="s">
        <v>277</v>
      </c>
      <c r="C9" s="20">
        <v>15928.9</v>
      </c>
      <c r="D9" s="20">
        <v>16709</v>
      </c>
      <c r="E9" s="20">
        <v>17442</v>
      </c>
      <c r="F9" s="20">
        <v>18570</v>
      </c>
      <c r="G9" s="19">
        <f>G5*G10</f>
        <v>18040.956000000002</v>
      </c>
      <c r="H9" s="19">
        <f>H5*H10</f>
        <v>15942.438</v>
      </c>
      <c r="I9" s="20">
        <v>17204</v>
      </c>
      <c r="J9" s="20">
        <v>18552</v>
      </c>
      <c r="K9" s="20">
        <v>18815</v>
      </c>
      <c r="L9" s="375">
        <f>Model!L37+Model!L123/Model!L181+Model!L213</f>
        <v>18391.489929883395</v>
      </c>
      <c r="M9" s="375">
        <f>Model!M37+Model!M123/Model!M181+Model!M213</f>
        <v>19135.73712499292</v>
      </c>
      <c r="N9" s="375">
        <f>Model!N37+Model!N123/Model!N181+Model!N213</f>
        <v>19980.894303186422</v>
      </c>
      <c r="O9" s="375">
        <f>Model!O37+Model!O123/Model!O181+Model!O213</f>
        <v>20799.648510238767</v>
      </c>
      <c r="P9" s="375">
        <f>Model!P37+Model!P123/Model!P181+Model!P213</f>
        <v>21648.515094182745</v>
      </c>
      <c r="Q9" s="152"/>
      <c r="R9" s="20">
        <v>8397.9064999999991</v>
      </c>
      <c r="S9" s="19">
        <f>C9-R9</f>
        <v>7530.9935000000005</v>
      </c>
      <c r="T9" s="20">
        <v>8721</v>
      </c>
      <c r="U9" s="19">
        <f>D9-T9</f>
        <v>7988</v>
      </c>
      <c r="V9" s="20">
        <v>8905</v>
      </c>
      <c r="W9" s="19">
        <f>E9-V9</f>
        <v>8537</v>
      </c>
      <c r="X9" s="20">
        <v>9585</v>
      </c>
      <c r="Y9" s="19">
        <f>F9-X9</f>
        <v>8985</v>
      </c>
      <c r="Z9" s="19">
        <f>Z5*Z10</f>
        <v>9545.41</v>
      </c>
      <c r="AA9" s="19">
        <f>G9-Z9</f>
        <v>8495.5460000000021</v>
      </c>
      <c r="AB9" s="20">
        <v>9403</v>
      </c>
      <c r="AC9" s="19">
        <f>H9-AB9</f>
        <v>6539.4380000000001</v>
      </c>
      <c r="AD9" s="20">
        <v>9881</v>
      </c>
      <c r="AE9" s="19">
        <f>I9-AD9</f>
        <v>7323</v>
      </c>
      <c r="AF9" s="19">
        <f>AF5+AF8</f>
        <v>9481</v>
      </c>
      <c r="AG9" s="19">
        <f>J9-AF9</f>
        <v>9071</v>
      </c>
      <c r="AH9" s="19">
        <f>AH5+AH8</f>
        <v>9776</v>
      </c>
      <c r="AI9" s="19">
        <f>K9-AH9</f>
        <v>9039</v>
      </c>
      <c r="AJ9" s="375">
        <f>Model!AJ37+Model!AJ123/Model!AJ181+Model!AJ213</f>
        <v>9580.9476028016325</v>
      </c>
      <c r="AK9" s="149">
        <f>L9-AJ9</f>
        <v>8810.5423270817628</v>
      </c>
    </row>
    <row r="10" spans="1:38" s="24" customFormat="1" hidden="1" outlineLevel="1">
      <c r="B10" s="29" t="s">
        <v>79</v>
      </c>
      <c r="C10" s="138">
        <f>C9/C5</f>
        <v>0.29045604565926952</v>
      </c>
      <c r="D10" s="138">
        <f>D9/D5</f>
        <v>0.29224311324879754</v>
      </c>
      <c r="E10" s="138">
        <f>E9/E5</f>
        <v>0.29077754067751399</v>
      </c>
      <c r="F10" s="138">
        <f>F9/F5</f>
        <v>0.29163722025912836</v>
      </c>
      <c r="G10" s="139">
        <v>0.26800000000000002</v>
      </c>
      <c r="H10" s="139">
        <v>0.26200000000000001</v>
      </c>
      <c r="I10" s="138">
        <f>I9/I5</f>
        <v>0.26758328926493918</v>
      </c>
      <c r="J10" s="138">
        <f>J9/J5</f>
        <v>0.27313683342657752</v>
      </c>
      <c r="K10" s="138">
        <f>K9/K5</f>
        <v>0.27237720225255874</v>
      </c>
      <c r="L10" s="153"/>
      <c r="M10" s="153"/>
      <c r="N10" s="153"/>
      <c r="O10" s="153"/>
      <c r="P10" s="153"/>
      <c r="Q10" s="153"/>
      <c r="R10" s="30"/>
      <c r="S10" s="31"/>
      <c r="T10" s="138">
        <f t="shared" ref="T10:Y10" si="7">T9/T5</f>
        <v>0.29160397231417395</v>
      </c>
      <c r="U10" s="138">
        <f t="shared" si="7"/>
        <v>0.29294411031245415</v>
      </c>
      <c r="V10" s="138">
        <f t="shared" si="7"/>
        <v>0.29113675744597378</v>
      </c>
      <c r="W10" s="138">
        <f t="shared" si="7"/>
        <v>0.29040378269891487</v>
      </c>
      <c r="X10" s="138">
        <f t="shared" si="7"/>
        <v>0.29574205492132061</v>
      </c>
      <c r="Y10" s="138">
        <f t="shared" si="7"/>
        <v>0.28738205661282584</v>
      </c>
      <c r="Z10" s="139">
        <v>0.26600000000000001</v>
      </c>
      <c r="AA10" s="138">
        <f>AA9/AA5</f>
        <v>0.27028334181725638</v>
      </c>
      <c r="AB10" s="138">
        <f>AB9/AB5</f>
        <v>0.2948203423841475</v>
      </c>
      <c r="AC10" s="138">
        <f>AC9/AC5</f>
        <v>0.22584831635296149</v>
      </c>
      <c r="AD10" s="138">
        <f>AD9/AD5</f>
        <v>0.29789864029666252</v>
      </c>
      <c r="AE10" s="138">
        <f t="shared" ref="AE10:AI10" si="8">AE9/AE5</f>
        <v>0.23527710843373495</v>
      </c>
      <c r="AF10" s="138">
        <f t="shared" si="8"/>
        <v>0.27374043597516962</v>
      </c>
      <c r="AG10" s="138">
        <f t="shared" si="8"/>
        <v>0.27250878721422778</v>
      </c>
      <c r="AH10" s="138">
        <f t="shared" si="8"/>
        <v>0.27208460896187031</v>
      </c>
      <c r="AI10" s="138">
        <f t="shared" si="8"/>
        <v>0.27269436148067699</v>
      </c>
      <c r="AJ10" s="153"/>
      <c r="AK10" s="153"/>
    </row>
    <row r="11" spans="1:38" s="24" customFormat="1" hidden="1" outlineLevel="1">
      <c r="B11" s="29" t="s">
        <v>268</v>
      </c>
      <c r="C11" s="217"/>
      <c r="D11" s="226">
        <f t="shared" ref="D11:K11" si="9">D10-C10</f>
        <v>1.787067589528013E-3</v>
      </c>
      <c r="E11" s="226">
        <f t="shared" si="9"/>
        <v>-1.4655725712835466E-3</v>
      </c>
      <c r="F11" s="226">
        <f t="shared" si="9"/>
        <v>8.5967958161436986E-4</v>
      </c>
      <c r="G11" s="226">
        <f t="shared" si="9"/>
        <v>-2.3637220259128344E-2</v>
      </c>
      <c r="H11" s="226">
        <f t="shared" si="9"/>
        <v>-6.0000000000000053E-3</v>
      </c>
      <c r="I11" s="226">
        <f t="shared" si="9"/>
        <v>5.583289264939173E-3</v>
      </c>
      <c r="J11" s="226">
        <f t="shared" si="9"/>
        <v>5.5535441616383352E-3</v>
      </c>
      <c r="K11" s="226">
        <f t="shared" si="9"/>
        <v>-7.5963117401878222E-4</v>
      </c>
      <c r="L11" s="227"/>
      <c r="M11" s="227"/>
      <c r="N11" s="227"/>
      <c r="O11" s="227"/>
      <c r="P11" s="227"/>
      <c r="Q11" s="225"/>
      <c r="R11" s="217"/>
      <c r="S11" s="217"/>
      <c r="T11" s="217"/>
      <c r="U11" s="217"/>
      <c r="V11" s="226">
        <f t="shared" ref="V11:AI11" si="10">V10-T10</f>
        <v>-4.67214868200172E-4</v>
      </c>
      <c r="W11" s="226">
        <f t="shared" si="10"/>
        <v>-2.5403276135392838E-3</v>
      </c>
      <c r="X11" s="226">
        <f t="shared" si="10"/>
        <v>4.6052974753468257E-3</v>
      </c>
      <c r="Y11" s="226">
        <f t="shared" si="10"/>
        <v>-3.0217260860890272E-3</v>
      </c>
      <c r="Z11" s="226">
        <f t="shared" si="10"/>
        <v>-2.9742054921320593E-2</v>
      </c>
      <c r="AA11" s="226">
        <f t="shared" si="10"/>
        <v>-1.7098714795569459E-2</v>
      </c>
      <c r="AB11" s="226">
        <f t="shared" si="10"/>
        <v>2.882034238414749E-2</v>
      </c>
      <c r="AC11" s="226">
        <f t="shared" si="10"/>
        <v>-4.4435025464294897E-2</v>
      </c>
      <c r="AD11" s="226">
        <f t="shared" si="10"/>
        <v>3.0782979125150156E-3</v>
      </c>
      <c r="AE11" s="226">
        <f t="shared" si="10"/>
        <v>9.4287920807734626E-3</v>
      </c>
      <c r="AF11" s="226">
        <f t="shared" si="10"/>
        <v>-2.4158204321492904E-2</v>
      </c>
      <c r="AG11" s="226">
        <f t="shared" si="10"/>
        <v>3.7231678780492827E-2</v>
      </c>
      <c r="AH11" s="226">
        <f t="shared" si="10"/>
        <v>-1.6558270132993047E-3</v>
      </c>
      <c r="AI11" s="226">
        <f t="shared" si="10"/>
        <v>1.8557426644921771E-4</v>
      </c>
      <c r="AJ11" s="227"/>
      <c r="AK11" s="227"/>
    </row>
    <row r="12" spans="1:38" hidden="1" outlineLevel="1">
      <c r="B12" s="32"/>
      <c r="C12" s="199"/>
      <c r="D12" s="199"/>
      <c r="E12" s="199"/>
      <c r="F12" s="199"/>
      <c r="G12" s="199"/>
      <c r="H12" s="199"/>
      <c r="I12" s="199"/>
      <c r="J12" s="199"/>
      <c r="K12" s="199"/>
      <c r="L12" s="200"/>
      <c r="M12" s="200"/>
      <c r="N12" s="200"/>
      <c r="O12" s="200"/>
      <c r="P12" s="200"/>
      <c r="Q12" s="200"/>
      <c r="R12" s="199"/>
      <c r="S12" s="199"/>
      <c r="T12" s="199"/>
      <c r="U12" s="199"/>
      <c r="V12" s="199"/>
      <c r="W12" s="199"/>
      <c r="X12" s="199"/>
      <c r="Y12" s="199"/>
      <c r="Z12" s="46"/>
      <c r="AA12" s="199"/>
      <c r="AB12" s="199"/>
      <c r="AC12" s="199"/>
      <c r="AD12" s="199"/>
      <c r="AE12" s="60"/>
      <c r="AF12" s="199"/>
      <c r="AG12" s="199"/>
      <c r="AH12" s="199"/>
      <c r="AI12" s="199"/>
      <c r="AJ12" s="200"/>
      <c r="AK12" s="200"/>
    </row>
    <row r="13" spans="1:38" hidden="1" outlineLevel="1">
      <c r="B13" s="25" t="s">
        <v>354</v>
      </c>
      <c r="C13" s="199"/>
      <c r="D13" s="199"/>
      <c r="E13" s="199"/>
      <c r="F13" s="199"/>
      <c r="G13" s="199"/>
      <c r="H13" s="199"/>
      <c r="I13" s="199"/>
      <c r="J13" s="199"/>
      <c r="K13" s="199"/>
      <c r="L13" s="200"/>
      <c r="M13" s="200"/>
      <c r="N13" s="200"/>
      <c r="O13" s="200"/>
      <c r="P13" s="200"/>
      <c r="Q13" s="200"/>
      <c r="R13" s="199"/>
      <c r="S13" s="199"/>
      <c r="T13" s="199"/>
      <c r="U13" s="199"/>
      <c r="V13" s="199"/>
      <c r="W13" s="199"/>
      <c r="X13" s="199"/>
      <c r="Y13" s="199"/>
      <c r="Z13" s="46"/>
      <c r="AA13" s="199"/>
      <c r="AB13" s="199"/>
      <c r="AC13" s="199"/>
      <c r="AD13" s="199"/>
      <c r="AE13" s="60"/>
      <c r="AF13" s="199"/>
      <c r="AG13" s="199"/>
      <c r="AH13" s="199"/>
      <c r="AI13" s="199"/>
      <c r="AJ13" s="200"/>
      <c r="AK13" s="200"/>
    </row>
    <row r="14" spans="1:38" ht="13.5" hidden="1" outlineLevel="1">
      <c r="B14" s="32" t="s">
        <v>278</v>
      </c>
      <c r="C14" s="199"/>
      <c r="D14" s="199"/>
      <c r="E14" s="199"/>
      <c r="F14" s="199"/>
      <c r="G14" s="199"/>
      <c r="H14" s="22">
        <v>8557</v>
      </c>
      <c r="I14" s="22">
        <v>8762</v>
      </c>
      <c r="J14" s="22">
        <v>9519</v>
      </c>
      <c r="K14" s="22">
        <v>9993</v>
      </c>
      <c r="L14" s="179"/>
      <c r="M14" s="179"/>
      <c r="N14" s="179"/>
      <c r="O14" s="179"/>
      <c r="P14" s="179"/>
      <c r="Q14" s="200"/>
      <c r="R14" s="199"/>
      <c r="S14" s="199"/>
      <c r="T14" s="199"/>
      <c r="U14" s="199"/>
      <c r="V14" s="199"/>
      <c r="W14" s="199"/>
      <c r="X14" s="199"/>
      <c r="Y14" s="199"/>
      <c r="Z14" s="125"/>
      <c r="AA14" s="199"/>
      <c r="AB14" s="199"/>
      <c r="AC14" s="199"/>
      <c r="AD14" s="22">
        <v>5144</v>
      </c>
      <c r="AE14" s="21">
        <f t="shared" ref="AE14:AE19" si="11">I14-AD14</f>
        <v>3618</v>
      </c>
      <c r="AF14" s="22">
        <v>4811</v>
      </c>
      <c r="AG14" s="21">
        <f t="shared" ref="AG14:AG19" si="12">J14-AF14</f>
        <v>4708</v>
      </c>
      <c r="AH14" s="22">
        <v>5181</v>
      </c>
      <c r="AI14" s="21">
        <f t="shared" ref="AI14:AI19" si="13">K14-AH14</f>
        <v>4812</v>
      </c>
      <c r="AJ14" s="148"/>
      <c r="AK14" s="148"/>
    </row>
    <row r="15" spans="1:38" hidden="1" outlineLevel="1">
      <c r="B15" s="32" t="s">
        <v>45</v>
      </c>
      <c r="C15" s="199"/>
      <c r="D15" s="199"/>
      <c r="E15" s="199"/>
      <c r="F15" s="199"/>
      <c r="G15" s="199"/>
      <c r="H15" s="22">
        <v>2132</v>
      </c>
      <c r="I15" s="22">
        <v>2309</v>
      </c>
      <c r="J15" s="22">
        <v>2452</v>
      </c>
      <c r="K15" s="22">
        <v>2574</v>
      </c>
      <c r="L15" s="179"/>
      <c r="M15" s="179"/>
      <c r="N15" s="179"/>
      <c r="O15" s="179"/>
      <c r="P15" s="179"/>
      <c r="Q15" s="200"/>
      <c r="R15" s="199"/>
      <c r="S15" s="199"/>
      <c r="T15" s="199"/>
      <c r="U15" s="199"/>
      <c r="V15" s="199"/>
      <c r="W15" s="199"/>
      <c r="X15" s="199"/>
      <c r="Y15" s="199"/>
      <c r="Z15" s="199"/>
      <c r="AA15" s="199"/>
      <c r="AB15" s="199"/>
      <c r="AC15" s="199"/>
      <c r="AD15" s="22">
        <v>1287</v>
      </c>
      <c r="AE15" s="21">
        <f t="shared" si="11"/>
        <v>1022</v>
      </c>
      <c r="AF15" s="22">
        <v>1233</v>
      </c>
      <c r="AG15" s="21">
        <f t="shared" si="12"/>
        <v>1219</v>
      </c>
      <c r="AH15" s="22">
        <v>1317</v>
      </c>
      <c r="AI15" s="21">
        <f t="shared" si="13"/>
        <v>1257</v>
      </c>
      <c r="AJ15" s="148"/>
      <c r="AK15" s="148"/>
      <c r="AL15" s="114"/>
    </row>
    <row r="16" spans="1:38" hidden="1" outlineLevel="1">
      <c r="B16" s="32" t="s">
        <v>279</v>
      </c>
      <c r="C16" s="199"/>
      <c r="D16" s="199"/>
      <c r="E16" s="199"/>
      <c r="F16" s="199"/>
      <c r="G16" s="199"/>
      <c r="H16" s="104">
        <v>624</v>
      </c>
      <c r="I16" s="104">
        <v>611</v>
      </c>
      <c r="J16" s="104">
        <v>706</v>
      </c>
      <c r="K16" s="104">
        <v>750</v>
      </c>
      <c r="L16" s="184"/>
      <c r="M16" s="184"/>
      <c r="N16" s="184"/>
      <c r="O16" s="184"/>
      <c r="P16" s="184"/>
      <c r="Q16" s="200"/>
      <c r="R16" s="199"/>
      <c r="S16" s="199"/>
      <c r="T16" s="199"/>
      <c r="U16" s="199"/>
      <c r="V16" s="199"/>
      <c r="W16" s="199"/>
      <c r="X16" s="199"/>
      <c r="Y16" s="199"/>
      <c r="Z16" s="199"/>
      <c r="AA16" s="199"/>
      <c r="AB16" s="199"/>
      <c r="AC16" s="199"/>
      <c r="AD16" s="104">
        <v>321</v>
      </c>
      <c r="AE16" s="21">
        <f t="shared" si="11"/>
        <v>290</v>
      </c>
      <c r="AF16" s="104">
        <v>367</v>
      </c>
      <c r="AG16" s="21">
        <f t="shared" si="12"/>
        <v>339</v>
      </c>
      <c r="AH16" s="104">
        <v>385</v>
      </c>
      <c r="AI16" s="21">
        <f t="shared" si="13"/>
        <v>365</v>
      </c>
      <c r="AJ16" s="148"/>
      <c r="AK16" s="148"/>
    </row>
    <row r="17" spans="1:37" hidden="1" outlineLevel="1">
      <c r="B17" s="32" t="s">
        <v>280</v>
      </c>
      <c r="C17" s="199"/>
      <c r="D17" s="199"/>
      <c r="E17" s="199"/>
      <c r="F17" s="199"/>
      <c r="G17" s="199"/>
      <c r="H17" s="104">
        <v>745</v>
      </c>
      <c r="I17" s="104">
        <v>832</v>
      </c>
      <c r="J17" s="104">
        <v>825</v>
      </c>
      <c r="K17" s="104">
        <v>759</v>
      </c>
      <c r="L17" s="184"/>
      <c r="M17" s="184"/>
      <c r="N17" s="184"/>
      <c r="O17" s="184"/>
      <c r="P17" s="184"/>
      <c r="Q17" s="200"/>
      <c r="R17" s="199"/>
      <c r="S17" s="199"/>
      <c r="T17" s="199"/>
      <c r="U17" s="199"/>
      <c r="V17" s="199"/>
      <c r="W17" s="199"/>
      <c r="X17" s="199"/>
      <c r="Y17" s="199"/>
      <c r="Z17" s="199"/>
      <c r="AA17" s="199"/>
      <c r="AB17" s="199"/>
      <c r="AC17" s="199"/>
      <c r="AD17" s="104">
        <v>733</v>
      </c>
      <c r="AE17" s="21">
        <f t="shared" si="11"/>
        <v>99</v>
      </c>
      <c r="AF17" s="104">
        <v>437</v>
      </c>
      <c r="AG17" s="21">
        <f t="shared" si="12"/>
        <v>388</v>
      </c>
      <c r="AH17" s="104">
        <v>408</v>
      </c>
      <c r="AI17" s="21">
        <f t="shared" si="13"/>
        <v>351</v>
      </c>
      <c r="AJ17" s="148"/>
      <c r="AK17" s="148"/>
    </row>
    <row r="18" spans="1:37" hidden="1" outlineLevel="1">
      <c r="B18" s="32" t="s">
        <v>77</v>
      </c>
      <c r="C18" s="199"/>
      <c r="D18" s="199"/>
      <c r="E18" s="199"/>
      <c r="F18" s="199"/>
      <c r="G18" s="199"/>
      <c r="H18" s="22">
        <f>H19-SUM(H14:H17)</f>
        <v>1519</v>
      </c>
      <c r="I18" s="22">
        <f>I19-SUM(I14:I17)</f>
        <v>1940</v>
      </c>
      <c r="J18" s="22">
        <f>J19-SUM(J14:J17)</f>
        <v>3744</v>
      </c>
      <c r="K18" s="22">
        <f>K19-SUM(K14:K17)</f>
        <v>2827</v>
      </c>
      <c r="L18" s="179"/>
      <c r="M18" s="179"/>
      <c r="N18" s="179"/>
      <c r="O18" s="179"/>
      <c r="P18" s="179"/>
      <c r="Q18" s="200"/>
      <c r="R18" s="199"/>
      <c r="S18" s="199"/>
      <c r="T18" s="199"/>
      <c r="U18" s="199"/>
      <c r="V18" s="199"/>
      <c r="W18" s="199"/>
      <c r="X18" s="199"/>
      <c r="Y18" s="199"/>
      <c r="Z18" s="199"/>
      <c r="AA18" s="199"/>
      <c r="AB18" s="199"/>
      <c r="AC18" s="199"/>
      <c r="AD18" s="22">
        <f>AD19-SUM(AD14:AD17)</f>
        <v>960</v>
      </c>
      <c r="AE18" s="21">
        <f t="shared" si="11"/>
        <v>980</v>
      </c>
      <c r="AF18" s="22">
        <f>AF19-SUM(AF14:AF17)</f>
        <v>2809</v>
      </c>
      <c r="AG18" s="21">
        <f t="shared" si="12"/>
        <v>935</v>
      </c>
      <c r="AH18" s="22">
        <f>AH19-SUM(AH14:AH17)</f>
        <v>1169</v>
      </c>
      <c r="AI18" s="21">
        <f t="shared" si="13"/>
        <v>1658</v>
      </c>
      <c r="AJ18" s="148"/>
      <c r="AK18" s="148"/>
    </row>
    <row r="19" spans="1:37" s="7" customFormat="1" hidden="1" outlineLevel="1">
      <c r="A19" s="24"/>
      <c r="B19" s="25" t="s">
        <v>195</v>
      </c>
      <c r="C19" s="228"/>
      <c r="D19" s="228"/>
      <c r="E19" s="228"/>
      <c r="F19" s="228"/>
      <c r="G19" s="228"/>
      <c r="H19" s="40">
        <v>13577</v>
      </c>
      <c r="I19" s="40">
        <v>14454</v>
      </c>
      <c r="J19" s="40">
        <v>17246</v>
      </c>
      <c r="K19" s="40">
        <v>16903</v>
      </c>
      <c r="L19" s="188"/>
      <c r="M19" s="188"/>
      <c r="N19" s="188"/>
      <c r="O19" s="188"/>
      <c r="P19" s="188"/>
      <c r="Q19" s="229"/>
      <c r="R19" s="228"/>
      <c r="S19" s="228"/>
      <c r="T19" s="228"/>
      <c r="U19" s="228"/>
      <c r="V19" s="228"/>
      <c r="W19" s="228"/>
      <c r="X19" s="228"/>
      <c r="Y19" s="228"/>
      <c r="Z19" s="228"/>
      <c r="AA19" s="228"/>
      <c r="AB19" s="228"/>
      <c r="AC19" s="228"/>
      <c r="AD19" s="40">
        <v>8445</v>
      </c>
      <c r="AE19" s="39">
        <f t="shared" si="11"/>
        <v>6009</v>
      </c>
      <c r="AF19" s="40">
        <v>9657</v>
      </c>
      <c r="AG19" s="39">
        <f t="shared" si="12"/>
        <v>7589</v>
      </c>
      <c r="AH19" s="40">
        <v>8460</v>
      </c>
      <c r="AI19" s="39">
        <f t="shared" si="13"/>
        <v>8443</v>
      </c>
      <c r="AJ19" s="155"/>
      <c r="AK19" s="155"/>
    </row>
    <row r="20" spans="1:37" collapsed="1">
      <c r="B20" s="32"/>
      <c r="C20" s="199"/>
      <c r="D20" s="199"/>
      <c r="E20" s="199"/>
      <c r="F20" s="199"/>
      <c r="G20" s="199"/>
      <c r="H20" s="199"/>
      <c r="I20" s="199"/>
      <c r="J20" s="199"/>
      <c r="K20" s="199"/>
      <c r="L20" s="200"/>
      <c r="M20" s="200"/>
      <c r="N20" s="200"/>
      <c r="O20" s="200"/>
      <c r="P20" s="200"/>
      <c r="Q20" s="200"/>
      <c r="R20" s="199"/>
      <c r="S20" s="199"/>
      <c r="T20" s="199"/>
      <c r="U20" s="199"/>
      <c r="V20" s="199"/>
      <c r="W20" s="199"/>
      <c r="X20" s="199"/>
      <c r="Y20" s="199"/>
      <c r="Z20" s="46"/>
      <c r="AA20" s="199"/>
      <c r="AB20" s="199"/>
      <c r="AC20" s="199"/>
      <c r="AD20" s="199"/>
      <c r="AE20" s="60"/>
      <c r="AF20" s="199"/>
      <c r="AG20" s="199"/>
      <c r="AH20" s="199"/>
      <c r="AI20" s="199"/>
      <c r="AJ20" s="200"/>
      <c r="AK20" s="200"/>
    </row>
    <row r="21" spans="1:37" s="7" customFormat="1">
      <c r="A21" s="24" t="s">
        <v>44</v>
      </c>
      <c r="B21" s="142" t="s">
        <v>304</v>
      </c>
      <c r="C21" s="202">
        <f t="shared" ref="C21:J21" si="14">C28-C26</f>
        <v>3363.7999999999997</v>
      </c>
      <c r="D21" s="202">
        <f t="shared" si="14"/>
        <v>3651</v>
      </c>
      <c r="E21" s="202">
        <f t="shared" si="14"/>
        <v>3944</v>
      </c>
      <c r="F21" s="202">
        <f t="shared" si="14"/>
        <v>5187</v>
      </c>
      <c r="G21" s="202">
        <f t="shared" si="14"/>
        <v>4843</v>
      </c>
      <c r="H21" s="202">
        <f t="shared" si="14"/>
        <v>5051</v>
      </c>
      <c r="I21" s="202">
        <f t="shared" si="14"/>
        <v>5694</v>
      </c>
      <c r="J21" s="202">
        <f t="shared" si="14"/>
        <v>6001</v>
      </c>
      <c r="K21" s="202">
        <f>K28-K26</f>
        <v>5707</v>
      </c>
      <c r="L21" s="202">
        <f t="shared" ref="L21:P21" si="15">L28-L26</f>
        <v>6122.2554981411613</v>
      </c>
      <c r="M21" s="202">
        <f t="shared" si="15"/>
        <v>6587.8420883961971</v>
      </c>
      <c r="N21" s="202">
        <f t="shared" si="15"/>
        <v>7087.1761869074971</v>
      </c>
      <c r="O21" s="202">
        <f t="shared" si="15"/>
        <v>7447.1081794531783</v>
      </c>
      <c r="P21" s="202">
        <f t="shared" si="15"/>
        <v>7821.0783891766368</v>
      </c>
      <c r="Q21" s="216"/>
      <c r="R21" s="202">
        <f t="shared" ref="R21:AI21" si="16">R28-R26</f>
        <v>1861.4</v>
      </c>
      <c r="S21" s="202">
        <f t="shared" si="16"/>
        <v>1577.0999999999997</v>
      </c>
      <c r="T21" s="202">
        <f t="shared" si="16"/>
        <v>1993</v>
      </c>
      <c r="U21" s="202">
        <f t="shared" si="16"/>
        <v>1658</v>
      </c>
      <c r="V21" s="202">
        <f t="shared" si="16"/>
        <v>2030</v>
      </c>
      <c r="W21" s="202">
        <f t="shared" si="16"/>
        <v>1914</v>
      </c>
      <c r="X21" s="202">
        <f t="shared" si="16"/>
        <v>3141</v>
      </c>
      <c r="Y21" s="202">
        <f t="shared" si="16"/>
        <v>2046</v>
      </c>
      <c r="Z21" s="202">
        <f t="shared" si="16"/>
        <v>2610</v>
      </c>
      <c r="AA21" s="202">
        <f t="shared" si="16"/>
        <v>2233</v>
      </c>
      <c r="AB21" s="202">
        <f t="shared" si="16"/>
        <v>2596</v>
      </c>
      <c r="AC21" s="202">
        <f t="shared" si="16"/>
        <v>2455</v>
      </c>
      <c r="AD21" s="202">
        <f t="shared" si="16"/>
        <v>2924</v>
      </c>
      <c r="AE21" s="202">
        <f t="shared" si="16"/>
        <v>2770</v>
      </c>
      <c r="AF21" s="202">
        <f t="shared" si="16"/>
        <v>3079</v>
      </c>
      <c r="AG21" s="202">
        <f t="shared" si="16"/>
        <v>2922</v>
      </c>
      <c r="AH21" s="202">
        <f t="shared" si="16"/>
        <v>2956</v>
      </c>
      <c r="AI21" s="202">
        <f t="shared" si="16"/>
        <v>2751</v>
      </c>
      <c r="AJ21" s="202">
        <f t="shared" ref="AJ21:AK21" si="17">AJ28-AJ26</f>
        <v>3148.0318294105437</v>
      </c>
      <c r="AK21" s="202">
        <f t="shared" si="17"/>
        <v>2974.2236687306181</v>
      </c>
    </row>
    <row r="22" spans="1:37" s="24" customFormat="1">
      <c r="B22" s="29" t="s">
        <v>265</v>
      </c>
      <c r="C22" s="217"/>
      <c r="D22" s="209">
        <f t="shared" ref="D22:K22" si="18">D21/C21-1</f>
        <v>8.5379630180153487E-2</v>
      </c>
      <c r="E22" s="209">
        <f t="shared" si="18"/>
        <v>8.0251985757326727E-2</v>
      </c>
      <c r="F22" s="209">
        <f t="shared" si="18"/>
        <v>0.31516227180527379</v>
      </c>
      <c r="G22" s="209">
        <f t="shared" si="18"/>
        <v>-6.6319645267013727E-2</v>
      </c>
      <c r="H22" s="209">
        <f t="shared" si="18"/>
        <v>4.2948585587445853E-2</v>
      </c>
      <c r="I22" s="209">
        <f t="shared" si="18"/>
        <v>0.12730152445060394</v>
      </c>
      <c r="J22" s="209">
        <f t="shared" si="18"/>
        <v>5.3916403231471621E-2</v>
      </c>
      <c r="K22" s="209">
        <f t="shared" si="18"/>
        <v>-4.899183469421764E-2</v>
      </c>
      <c r="L22" s="212">
        <f t="shared" ref="L22:P22" si="19">L21/K21-1</f>
        <v>7.2762484342239642E-2</v>
      </c>
      <c r="M22" s="212">
        <f t="shared" si="19"/>
        <v>7.604821301502307E-2</v>
      </c>
      <c r="N22" s="212">
        <f t="shared" si="19"/>
        <v>7.5796306561571214E-2</v>
      </c>
      <c r="O22" s="212">
        <f t="shared" si="19"/>
        <v>5.0786375709214404E-2</v>
      </c>
      <c r="P22" s="212">
        <f t="shared" si="19"/>
        <v>5.0216835946502725E-2</v>
      </c>
      <c r="Q22" s="225"/>
      <c r="R22" s="217"/>
      <c r="S22" s="217"/>
      <c r="T22" s="209">
        <f t="shared" ref="T22:AI22" si="20">T21/R21-1</f>
        <v>7.0699473514558964E-2</v>
      </c>
      <c r="U22" s="209">
        <f t="shared" si="20"/>
        <v>5.1296683786697272E-2</v>
      </c>
      <c r="V22" s="209">
        <f t="shared" si="20"/>
        <v>1.8564977420973516E-2</v>
      </c>
      <c r="W22" s="209">
        <f t="shared" si="20"/>
        <v>0.15440289505428217</v>
      </c>
      <c r="X22" s="209">
        <f t="shared" si="20"/>
        <v>0.5472906403940887</v>
      </c>
      <c r="Y22" s="209">
        <f t="shared" si="20"/>
        <v>6.8965517241379226E-2</v>
      </c>
      <c r="Z22" s="209">
        <f t="shared" si="20"/>
        <v>-0.16905444126074498</v>
      </c>
      <c r="AA22" s="209">
        <f t="shared" si="20"/>
        <v>9.139784946236551E-2</v>
      </c>
      <c r="AB22" s="209">
        <f t="shared" si="20"/>
        <v>-5.363984674329525E-3</v>
      </c>
      <c r="AC22" s="209">
        <f t="shared" si="20"/>
        <v>9.941782355575457E-2</v>
      </c>
      <c r="AD22" s="209">
        <f t="shared" si="20"/>
        <v>0.12634822804314338</v>
      </c>
      <c r="AE22" s="209">
        <f t="shared" si="20"/>
        <v>0.12830957230142559</v>
      </c>
      <c r="AF22" s="209">
        <f t="shared" si="20"/>
        <v>5.3009575923392616E-2</v>
      </c>
      <c r="AG22" s="209">
        <f t="shared" si="20"/>
        <v>5.4873646209386173E-2</v>
      </c>
      <c r="AH22" s="209">
        <f t="shared" si="20"/>
        <v>-3.9948035076323496E-2</v>
      </c>
      <c r="AI22" s="209">
        <f t="shared" si="20"/>
        <v>-5.8521560574948617E-2</v>
      </c>
      <c r="AJ22" s="212">
        <f t="shared" ref="AJ22:AK22" si="21">AJ21/AH21-1</f>
        <v>6.4963406431171711E-2</v>
      </c>
      <c r="AK22" s="212">
        <f t="shared" si="21"/>
        <v>8.1142736725052123E-2</v>
      </c>
    </row>
    <row r="23" spans="1:37">
      <c r="B23" s="32"/>
      <c r="C23" s="199"/>
      <c r="D23" s="199"/>
      <c r="E23" s="199"/>
      <c r="F23" s="199"/>
      <c r="G23" s="199"/>
      <c r="H23" s="199"/>
      <c r="I23" s="199"/>
      <c r="J23" s="199"/>
      <c r="K23" s="199"/>
      <c r="L23" s="200"/>
      <c r="M23" s="200"/>
      <c r="N23" s="200"/>
      <c r="O23" s="200"/>
      <c r="P23" s="200"/>
      <c r="Q23" s="200"/>
      <c r="R23" s="199"/>
      <c r="S23" s="199"/>
      <c r="T23" s="199"/>
      <c r="U23" s="199"/>
      <c r="V23" s="199"/>
      <c r="W23" s="199"/>
      <c r="X23" s="228"/>
      <c r="Y23" s="228"/>
      <c r="Z23" s="199"/>
      <c r="AA23" s="199"/>
      <c r="AB23" s="199"/>
      <c r="AC23" s="199"/>
      <c r="AD23" s="199"/>
      <c r="AE23" s="199"/>
      <c r="AF23" s="199"/>
      <c r="AG23" s="199"/>
      <c r="AH23" s="199"/>
      <c r="AI23" s="199"/>
      <c r="AJ23" s="200"/>
      <c r="AK23" s="200"/>
    </row>
    <row r="24" spans="1:37">
      <c r="B24" s="32" t="s">
        <v>46</v>
      </c>
      <c r="C24" s="199"/>
      <c r="D24" s="199"/>
      <c r="E24" s="22"/>
      <c r="F24" s="22">
        <v>-1158</v>
      </c>
      <c r="G24" s="22">
        <v>-945</v>
      </c>
      <c r="H24" s="22">
        <v>-1039</v>
      </c>
      <c r="I24" s="22">
        <v>-1066</v>
      </c>
      <c r="J24" s="22">
        <v>-1151</v>
      </c>
      <c r="K24" s="22">
        <v>-1211</v>
      </c>
      <c r="L24" s="147">
        <f>K24*1.05</f>
        <v>-1271.55</v>
      </c>
      <c r="M24" s="147">
        <f t="shared" ref="M24:P24" si="22">L24*1.05</f>
        <v>-1335.1275000000001</v>
      </c>
      <c r="N24" s="147">
        <f t="shared" si="22"/>
        <v>-1401.8838750000002</v>
      </c>
      <c r="O24" s="147">
        <f t="shared" si="22"/>
        <v>-1471.9780687500004</v>
      </c>
      <c r="P24" s="147">
        <f t="shared" si="22"/>
        <v>-1545.5769721875004</v>
      </c>
      <c r="Q24" s="200"/>
      <c r="R24" s="199"/>
      <c r="S24" s="199"/>
      <c r="T24" s="199"/>
      <c r="U24" s="199"/>
      <c r="V24" s="199"/>
      <c r="W24" s="199"/>
      <c r="X24" s="228"/>
      <c r="Y24" s="228"/>
      <c r="Z24" s="199"/>
      <c r="AA24" s="199"/>
      <c r="AB24" s="199"/>
      <c r="AC24" s="199"/>
      <c r="AD24" s="199"/>
      <c r="AE24" s="199"/>
      <c r="AF24" s="199"/>
      <c r="AG24" s="199"/>
      <c r="AH24" s="104"/>
      <c r="AI24" s="199"/>
      <c r="AJ24" s="200"/>
      <c r="AK24" s="200"/>
    </row>
    <row r="25" spans="1:37">
      <c r="A25" s="24" t="s">
        <v>509</v>
      </c>
      <c r="B25" s="32" t="s">
        <v>225</v>
      </c>
      <c r="C25" s="199"/>
      <c r="D25" s="199"/>
      <c r="E25" s="199"/>
      <c r="F25" s="201">
        <f t="shared" ref="F25:J25" si="23">F26-F24</f>
        <v>-810</v>
      </c>
      <c r="G25" s="201">
        <f t="shared" si="23"/>
        <v>-1134</v>
      </c>
      <c r="H25" s="201">
        <f t="shared" si="23"/>
        <v>-1322</v>
      </c>
      <c r="I25" s="201">
        <f t="shared" si="23"/>
        <v>-1512</v>
      </c>
      <c r="J25" s="201">
        <f t="shared" si="23"/>
        <v>-1627</v>
      </c>
      <c r="K25" s="201">
        <f>K26-K24</f>
        <v>-1742</v>
      </c>
      <c r="L25" s="204">
        <f>L26-L24</f>
        <v>-1799.57</v>
      </c>
      <c r="M25" s="204">
        <f t="shared" ref="M25:P25" si="24">M26-M24</f>
        <v>-1858.8373000000001</v>
      </c>
      <c r="N25" s="204">
        <f t="shared" si="24"/>
        <v>-1919.8395170000001</v>
      </c>
      <c r="O25" s="204">
        <f t="shared" si="24"/>
        <v>-1982.61425893</v>
      </c>
      <c r="P25" s="204">
        <f t="shared" si="24"/>
        <v>-2047.1990485997003</v>
      </c>
      <c r="Q25" s="200"/>
      <c r="R25" s="199"/>
      <c r="S25" s="199"/>
      <c r="T25" s="199"/>
      <c r="U25" s="199"/>
      <c r="V25" s="199"/>
      <c r="W25" s="199"/>
      <c r="X25" s="228"/>
      <c r="Y25" s="228"/>
      <c r="Z25" s="199"/>
      <c r="AA25" s="199"/>
      <c r="AB25" s="199"/>
      <c r="AC25" s="199"/>
      <c r="AD25" s="199"/>
      <c r="AE25" s="199"/>
      <c r="AF25" s="201"/>
      <c r="AG25" s="199"/>
      <c r="AH25" s="201"/>
      <c r="AI25" s="199"/>
      <c r="AJ25" s="200"/>
      <c r="AK25" s="200"/>
    </row>
    <row r="26" spans="1:37" s="7" customFormat="1">
      <c r="A26" s="24" t="s">
        <v>45</v>
      </c>
      <c r="B26" s="25" t="s">
        <v>45</v>
      </c>
      <c r="C26" s="57">
        <v>-1037.5999999999999</v>
      </c>
      <c r="D26" s="28">
        <v>-1103</v>
      </c>
      <c r="E26" s="57">
        <v>-1222</v>
      </c>
      <c r="F26" s="40">
        <v>-1968</v>
      </c>
      <c r="G26" s="40">
        <v>-2079</v>
      </c>
      <c r="H26" s="40">
        <v>-2361</v>
      </c>
      <c r="I26" s="40">
        <v>-2578</v>
      </c>
      <c r="J26" s="40">
        <v>-2778</v>
      </c>
      <c r="K26" s="40">
        <v>-2953</v>
      </c>
      <c r="L26" s="154">
        <f>K26*1.04</f>
        <v>-3071.12</v>
      </c>
      <c r="M26" s="154">
        <f t="shared" ref="M26:P26" si="25">L26*1.04</f>
        <v>-3193.9648000000002</v>
      </c>
      <c r="N26" s="154">
        <f t="shared" si="25"/>
        <v>-3321.7233920000003</v>
      </c>
      <c r="O26" s="154">
        <f t="shared" si="25"/>
        <v>-3454.5923276800004</v>
      </c>
      <c r="P26" s="154">
        <f t="shared" si="25"/>
        <v>-3592.7760207872007</v>
      </c>
      <c r="Q26" s="335"/>
      <c r="R26" s="40">
        <v>-524.79999999999995</v>
      </c>
      <c r="S26" s="39">
        <f>C26-R26</f>
        <v>-512.79999999999995</v>
      </c>
      <c r="T26" s="57">
        <v>-563</v>
      </c>
      <c r="U26" s="56">
        <f>D26-T26</f>
        <v>-540</v>
      </c>
      <c r="V26" s="57">
        <v>-611</v>
      </c>
      <c r="W26" s="56">
        <f>E26-V26</f>
        <v>-611</v>
      </c>
      <c r="X26" s="57">
        <v>-1248</v>
      </c>
      <c r="Y26" s="39">
        <f>F26-X26</f>
        <v>-720</v>
      </c>
      <c r="Z26" s="40">
        <v>-1056</v>
      </c>
      <c r="AA26" s="39">
        <f>G26-Z26</f>
        <v>-1023</v>
      </c>
      <c r="AB26" s="40">
        <v>-1214</v>
      </c>
      <c r="AC26" s="39">
        <f>H26-AB26</f>
        <v>-1147</v>
      </c>
      <c r="AD26" s="40">
        <v>-1287</v>
      </c>
      <c r="AE26" s="39">
        <f>I26-AD26</f>
        <v>-1291</v>
      </c>
      <c r="AF26" s="40">
        <v>-1387</v>
      </c>
      <c r="AG26" s="39">
        <f>J26-AF26</f>
        <v>-1391</v>
      </c>
      <c r="AH26" s="40">
        <v>-1505</v>
      </c>
      <c r="AI26" s="39">
        <f>K26-AH26</f>
        <v>-1448</v>
      </c>
      <c r="AJ26" s="154">
        <f>AH26*1.05</f>
        <v>-1580.25</v>
      </c>
      <c r="AK26" s="155">
        <f>L26-AJ26</f>
        <v>-1490.87</v>
      </c>
    </row>
    <row r="27" spans="1:37">
      <c r="B27" s="32"/>
      <c r="C27" s="199"/>
      <c r="D27" s="199"/>
      <c r="E27" s="199"/>
      <c r="F27" s="199"/>
      <c r="G27" s="199"/>
      <c r="H27" s="199"/>
      <c r="I27" s="199"/>
      <c r="J27" s="199"/>
      <c r="K27" s="199"/>
      <c r="L27" s="200"/>
      <c r="M27" s="200"/>
      <c r="N27" s="200"/>
      <c r="O27" s="200"/>
      <c r="P27" s="200"/>
      <c r="Q27" s="200"/>
      <c r="R27" s="199"/>
      <c r="S27" s="199"/>
      <c r="T27" s="199"/>
      <c r="U27" s="199"/>
      <c r="V27" s="199"/>
      <c r="W27" s="199"/>
      <c r="X27" s="199"/>
      <c r="Y27" s="199"/>
      <c r="Z27" s="199"/>
      <c r="AA27" s="199"/>
      <c r="AB27" s="199"/>
      <c r="AC27" s="199"/>
      <c r="AD27" s="199"/>
      <c r="AE27" s="199"/>
      <c r="AF27" s="199"/>
      <c r="AG27" s="199"/>
      <c r="AH27" s="199"/>
      <c r="AI27" s="199"/>
      <c r="AJ27" s="200"/>
      <c r="AK27" s="200"/>
    </row>
    <row r="28" spans="1:37" s="7" customFormat="1">
      <c r="A28" s="24" t="s">
        <v>84</v>
      </c>
      <c r="B28" s="142" t="s">
        <v>281</v>
      </c>
      <c r="C28" s="202">
        <f>VLOOKUP($A$28,Model!1:1048576,MATCH(PL!C3,Model!3:3,0),FALSE)</f>
        <v>2326.1999999999998</v>
      </c>
      <c r="D28" s="202">
        <f>VLOOKUP($A$28,Model!1:1048576,MATCH(PL!D3,Model!3:3,0),FALSE)</f>
        <v>2548</v>
      </c>
      <c r="E28" s="202">
        <f>VLOOKUP($A$28,Model!1:1048576,MATCH(PL!E3,Model!3:3,0),FALSE)</f>
        <v>2722</v>
      </c>
      <c r="F28" s="202">
        <f>VLOOKUP($A$28,Model!1:1048576,MATCH(PL!F3,Model!3:3,0),FALSE)</f>
        <v>3219</v>
      </c>
      <c r="G28" s="202">
        <f>VLOOKUP($A$28,Model!1:1048576,MATCH(PL!G3,Model!3:3,0),FALSE)</f>
        <v>2764</v>
      </c>
      <c r="H28" s="202">
        <f>VLOOKUP($A$28,Model!1:1048576,MATCH(PL!H3,Model!3:3,0),FALSE)</f>
        <v>2690</v>
      </c>
      <c r="I28" s="202">
        <f>VLOOKUP($A$28,Model!1:1048576,MATCH(PL!I3,Model!3:3,0),FALSE)</f>
        <v>3116</v>
      </c>
      <c r="J28" s="202">
        <f>VLOOKUP($A$28,Model!1:1048576,MATCH(PL!J3,Model!3:3,0),FALSE)</f>
        <v>3223</v>
      </c>
      <c r="K28" s="202">
        <f>VLOOKUP($A$28,Model!1:1048576,MATCH(PL!K3,Model!3:3,0),FALSE)</f>
        <v>2754</v>
      </c>
      <c r="L28" s="202">
        <f>VLOOKUP($A$28,Model!1:1048576,MATCH(PL!L3,Model!3:3,0),FALSE)</f>
        <v>3051.1354981411619</v>
      </c>
      <c r="M28" s="202">
        <f>VLOOKUP($A$28,Model!1:1048576,MATCH(PL!M3,Model!3:3,0),FALSE)</f>
        <v>3393.8772883961965</v>
      </c>
      <c r="N28" s="202">
        <f>VLOOKUP($A$28,Model!1:1048576,MATCH(PL!N3,Model!3:3,0),FALSE)</f>
        <v>3765.4527949074968</v>
      </c>
      <c r="O28" s="202">
        <f>VLOOKUP($A$28,Model!1:1048576,MATCH(PL!O3,Model!3:3,0),FALSE)</f>
        <v>3992.5158517731775</v>
      </c>
      <c r="P28" s="202">
        <f>VLOOKUP($A$28,Model!1:1048576,MATCH(PL!P3,Model!3:3,0),FALSE)</f>
        <v>4228.3023683894362</v>
      </c>
      <c r="Q28" s="216"/>
      <c r="R28" s="202">
        <f>VLOOKUP($A$28,Model!1:1048576,MATCH(PL!R3,Model!3:3,0),FALSE)</f>
        <v>1336.6000000000001</v>
      </c>
      <c r="S28" s="202">
        <f>VLOOKUP($A$28,Model!1:1048576,MATCH(PL!S3,Model!3:3,0),FALSE)</f>
        <v>1064.2999999999997</v>
      </c>
      <c r="T28" s="202">
        <f>VLOOKUP($A$28,Model!1:1048576,MATCH(PL!T3,Model!3:3,0),FALSE)</f>
        <v>1430</v>
      </c>
      <c r="U28" s="202">
        <f>VLOOKUP($A$28,Model!1:1048576,MATCH(PL!U3,Model!3:3,0),FALSE)</f>
        <v>1118</v>
      </c>
      <c r="V28" s="202">
        <f>VLOOKUP($A$28,Model!1:1048576,MATCH(PL!V3,Model!3:3,0),FALSE)</f>
        <v>1419</v>
      </c>
      <c r="W28" s="202">
        <f>VLOOKUP($A$28,Model!1:1048576,MATCH(PL!W3,Model!3:3,0),FALSE)</f>
        <v>1303</v>
      </c>
      <c r="X28" s="202">
        <f>VLOOKUP($A$28,Model!1:1048576,MATCH(PL!X3,Model!3:3,0),FALSE)</f>
        <v>1893</v>
      </c>
      <c r="Y28" s="202">
        <f>VLOOKUP($A$28,Model!1:1048576,MATCH(PL!Y3,Model!3:3,0),FALSE)</f>
        <v>1326</v>
      </c>
      <c r="Z28" s="202">
        <f>VLOOKUP($A$28,Model!1:1048576,MATCH(PL!Z3,Model!3:3,0),FALSE)</f>
        <v>1554</v>
      </c>
      <c r="AA28" s="202">
        <f>VLOOKUP($A$28,Model!1:1048576,MATCH(PL!AA3,Model!3:3,0),FALSE)</f>
        <v>1210</v>
      </c>
      <c r="AB28" s="202">
        <f>VLOOKUP($A$28,Model!1:1048576,MATCH(PL!AB3,Model!3:3,0),FALSE)</f>
        <v>1382</v>
      </c>
      <c r="AC28" s="202">
        <f>VLOOKUP($A$28,Model!1:1048576,MATCH(PL!AC3,Model!3:3,0),FALSE)</f>
        <v>1308</v>
      </c>
      <c r="AD28" s="202">
        <f>VLOOKUP($A$28,Model!1:1048576,MATCH(PL!AD3,Model!3:3,0),FALSE)</f>
        <v>1637</v>
      </c>
      <c r="AE28" s="202">
        <f>VLOOKUP($A$28,Model!1:1048576,MATCH(PL!AE3,Model!3:3,0),FALSE)</f>
        <v>1479</v>
      </c>
      <c r="AF28" s="202">
        <f>VLOOKUP($A$28,Model!1:1048576,MATCH(PL!AF3,Model!3:3,0),FALSE)</f>
        <v>1692</v>
      </c>
      <c r="AG28" s="202">
        <f>VLOOKUP($A$28,Model!1:1048576,MATCH(PL!AG3,Model!3:3,0),FALSE)</f>
        <v>1531</v>
      </c>
      <c r="AH28" s="202">
        <f>VLOOKUP($A$28,Model!1:1048576,MATCH(PL!AH3,Model!3:3,0),FALSE)</f>
        <v>1451</v>
      </c>
      <c r="AI28" s="202">
        <f>VLOOKUP($A$28,Model!1:1048576,MATCH(PL!AI3,Model!3:3,0),FALSE)</f>
        <v>1303</v>
      </c>
      <c r="AJ28" s="202">
        <f>VLOOKUP($A$28,Model!1:1048576,MATCH(PL!AJ3,Model!3:3,0),FALSE)</f>
        <v>1567.7818294105439</v>
      </c>
      <c r="AK28" s="202">
        <f>VLOOKUP($A$28,Model!1:1048576,MATCH(PL!AK3,Model!3:3,0),FALSE)</f>
        <v>1483.3536687306182</v>
      </c>
    </row>
    <row r="29" spans="1:37" s="24" customFormat="1">
      <c r="A29" s="24" t="s">
        <v>436</v>
      </c>
      <c r="B29" s="29" t="s">
        <v>265</v>
      </c>
      <c r="C29" s="217"/>
      <c r="D29" s="209">
        <f t="shared" ref="D29:K29" si="26">D28/C28-1</f>
        <v>9.5348637262488323E-2</v>
      </c>
      <c r="E29" s="209">
        <f t="shared" si="26"/>
        <v>6.8288854003139665E-2</v>
      </c>
      <c r="F29" s="209">
        <f t="shared" si="26"/>
        <v>0.18258633357825138</v>
      </c>
      <c r="G29" s="209">
        <f t="shared" si="26"/>
        <v>-0.14134824479652064</v>
      </c>
      <c r="H29" s="209">
        <f t="shared" si="26"/>
        <v>-2.6772793053545629E-2</v>
      </c>
      <c r="I29" s="209">
        <f t="shared" si="26"/>
        <v>0.1583643122676579</v>
      </c>
      <c r="J29" s="209">
        <f t="shared" si="26"/>
        <v>3.4338896020539078E-2</v>
      </c>
      <c r="K29" s="209">
        <f t="shared" si="26"/>
        <v>-0.14551659944151407</v>
      </c>
      <c r="L29" s="212">
        <f t="shared" ref="L29:P29" si="27">L28/K28-1</f>
        <v>0.10789233774188878</v>
      </c>
      <c r="M29" s="212">
        <f t="shared" si="27"/>
        <v>0.11233253667817844</v>
      </c>
      <c r="N29" s="212">
        <f t="shared" si="27"/>
        <v>0.10948407232687285</v>
      </c>
      <c r="O29" s="212">
        <f t="shared" si="27"/>
        <v>6.0301660712031024E-2</v>
      </c>
      <c r="P29" s="212">
        <f t="shared" si="27"/>
        <v>5.905712722756995E-2</v>
      </c>
      <c r="Q29" s="225"/>
      <c r="R29" s="217"/>
      <c r="S29" s="217"/>
      <c r="T29" s="209">
        <f t="shared" ref="T29:AI29" si="28">T28/R28-1</f>
        <v>6.9878796947478561E-2</v>
      </c>
      <c r="U29" s="209">
        <f t="shared" si="28"/>
        <v>5.0455698581227448E-2</v>
      </c>
      <c r="V29" s="209">
        <f t="shared" si="28"/>
        <v>-7.692307692307665E-3</v>
      </c>
      <c r="W29" s="209">
        <f t="shared" si="28"/>
        <v>0.16547406082289795</v>
      </c>
      <c r="X29" s="209">
        <f t="shared" si="28"/>
        <v>0.33403805496828753</v>
      </c>
      <c r="Y29" s="209">
        <f t="shared" si="28"/>
        <v>1.7651573292402079E-2</v>
      </c>
      <c r="Z29" s="209">
        <f t="shared" si="28"/>
        <v>-0.17908082408874804</v>
      </c>
      <c r="AA29" s="209">
        <f t="shared" si="28"/>
        <v>-8.7481146304675739E-2</v>
      </c>
      <c r="AB29" s="209">
        <f t="shared" si="28"/>
        <v>-0.11068211068211065</v>
      </c>
      <c r="AC29" s="209">
        <f t="shared" si="28"/>
        <v>8.0991735537190079E-2</v>
      </c>
      <c r="AD29" s="209">
        <f t="shared" si="28"/>
        <v>0.18451519536903049</v>
      </c>
      <c r="AE29" s="209">
        <f t="shared" si="28"/>
        <v>0.13073394495412849</v>
      </c>
      <c r="AF29" s="209">
        <f t="shared" si="28"/>
        <v>3.3598045204642712E-2</v>
      </c>
      <c r="AG29" s="209">
        <f t="shared" si="28"/>
        <v>3.5158891142663906E-2</v>
      </c>
      <c r="AH29" s="209">
        <f t="shared" si="28"/>
        <v>-0.14243498817966904</v>
      </c>
      <c r="AI29" s="209">
        <f t="shared" si="28"/>
        <v>-0.14892227302416716</v>
      </c>
      <c r="AJ29" s="212">
        <f t="shared" ref="AJ29:AK29" si="29">AJ28/AH28-1</f>
        <v>8.0483686706094959E-2</v>
      </c>
      <c r="AK29" s="212">
        <f t="shared" si="29"/>
        <v>0.13841417400661404</v>
      </c>
    </row>
    <row r="30" spans="1:37">
      <c r="B30" s="32"/>
      <c r="C30" s="199"/>
      <c r="D30" s="199"/>
      <c r="E30" s="199"/>
      <c r="F30" s="199"/>
      <c r="G30" s="199"/>
      <c r="H30" s="199"/>
      <c r="I30" s="199"/>
      <c r="J30" s="199"/>
      <c r="K30" s="199"/>
      <c r="L30" s="200"/>
      <c r="M30" s="200"/>
      <c r="N30" s="200"/>
      <c r="O30" s="200"/>
      <c r="P30" s="200"/>
      <c r="Q30" s="200"/>
      <c r="R30" s="199"/>
      <c r="S30" s="199"/>
      <c r="T30" s="199"/>
      <c r="U30" s="199"/>
      <c r="V30" s="199"/>
      <c r="W30" s="199"/>
      <c r="X30" s="199"/>
      <c r="Y30" s="199"/>
      <c r="Z30" s="199"/>
      <c r="AA30" s="199"/>
      <c r="AB30" s="199"/>
      <c r="AC30" s="199"/>
      <c r="AD30" s="199"/>
      <c r="AE30" s="199"/>
      <c r="AF30" s="199"/>
      <c r="AG30" s="199"/>
      <c r="AH30" s="199"/>
      <c r="AI30" s="199"/>
      <c r="AJ30" s="200"/>
      <c r="AK30" s="200"/>
    </row>
    <row r="31" spans="1:37">
      <c r="B31" s="32" t="s">
        <v>286</v>
      </c>
      <c r="C31" s="201">
        <f t="shared" ref="C31:K31" si="30">C28-C33</f>
        <v>-79</v>
      </c>
      <c r="D31" s="201">
        <f t="shared" si="30"/>
        <v>41.5</v>
      </c>
      <c r="E31" s="201">
        <f t="shared" si="30"/>
        <v>-7.8000000000001819</v>
      </c>
      <c r="F31" s="201">
        <f t="shared" si="30"/>
        <v>932.80000000000018</v>
      </c>
      <c r="G31" s="201">
        <f t="shared" si="30"/>
        <v>-283.80000000000018</v>
      </c>
      <c r="H31" s="201">
        <f t="shared" si="30"/>
        <v>-1</v>
      </c>
      <c r="I31" s="201">
        <f t="shared" si="30"/>
        <v>117</v>
      </c>
      <c r="J31" s="201">
        <f t="shared" si="30"/>
        <v>1607</v>
      </c>
      <c r="K31" s="201">
        <f t="shared" si="30"/>
        <v>569</v>
      </c>
      <c r="L31" s="156">
        <v>0</v>
      </c>
      <c r="M31" s="147">
        <v>0</v>
      </c>
      <c r="N31" s="147">
        <v>0</v>
      </c>
      <c r="O31" s="147">
        <v>0</v>
      </c>
      <c r="P31" s="147">
        <v>0</v>
      </c>
      <c r="Q31" s="204"/>
      <c r="R31" s="201">
        <f t="shared" ref="R31:AI31" si="31">R28-R33</f>
        <v>41.100000000000136</v>
      </c>
      <c r="S31" s="201">
        <f t="shared" si="31"/>
        <v>-45.400000000000091</v>
      </c>
      <c r="T31" s="201">
        <f t="shared" si="31"/>
        <v>-30.5</v>
      </c>
      <c r="U31" s="201">
        <f t="shared" si="31"/>
        <v>72</v>
      </c>
      <c r="V31" s="201">
        <f t="shared" si="31"/>
        <v>-97.799999999999955</v>
      </c>
      <c r="W31" s="201">
        <f t="shared" si="31"/>
        <v>89.999999999999773</v>
      </c>
      <c r="X31" s="201">
        <f t="shared" si="31"/>
        <v>337.70000000000005</v>
      </c>
      <c r="Y31" s="201">
        <f t="shared" si="31"/>
        <v>595.10000000000014</v>
      </c>
      <c r="Z31" s="201">
        <f t="shared" si="31"/>
        <v>0</v>
      </c>
      <c r="AA31" s="201">
        <f t="shared" si="31"/>
        <v>-283.80000000000018</v>
      </c>
      <c r="AB31" s="201">
        <f t="shared" si="31"/>
        <v>145</v>
      </c>
      <c r="AC31" s="201">
        <f t="shared" si="31"/>
        <v>-146</v>
      </c>
      <c r="AD31" s="201">
        <f t="shared" si="31"/>
        <v>76</v>
      </c>
      <c r="AE31" s="201">
        <f t="shared" si="31"/>
        <v>41</v>
      </c>
      <c r="AF31" s="201">
        <f t="shared" si="31"/>
        <v>1714</v>
      </c>
      <c r="AG31" s="201">
        <f t="shared" si="31"/>
        <v>-107</v>
      </c>
      <c r="AH31" s="201">
        <f t="shared" si="31"/>
        <v>0</v>
      </c>
      <c r="AI31" s="201">
        <f t="shared" si="31"/>
        <v>569</v>
      </c>
      <c r="AJ31" s="147">
        <v>0</v>
      </c>
      <c r="AK31" s="155">
        <f>L31-AJ31</f>
        <v>0</v>
      </c>
    </row>
    <row r="32" spans="1:37">
      <c r="B32" s="32"/>
      <c r="C32" s="199"/>
      <c r="D32" s="199"/>
      <c r="E32" s="199"/>
      <c r="F32" s="199"/>
      <c r="G32" s="199"/>
      <c r="H32" s="199"/>
      <c r="I32" s="199"/>
      <c r="J32" s="199"/>
      <c r="K32" s="199"/>
      <c r="L32" s="200"/>
      <c r="M32" s="200"/>
      <c r="N32" s="200"/>
      <c r="O32" s="200"/>
      <c r="P32" s="200"/>
      <c r="Q32" s="200"/>
      <c r="R32" s="199"/>
      <c r="S32" s="199"/>
      <c r="T32" s="199"/>
      <c r="U32" s="199"/>
      <c r="V32" s="199"/>
      <c r="W32" s="199"/>
      <c r="X32" s="199"/>
      <c r="Y32" s="199"/>
      <c r="Z32" s="199"/>
      <c r="AA32" s="199"/>
      <c r="AB32" s="199"/>
      <c r="AC32" s="199"/>
      <c r="AD32" s="199"/>
      <c r="AE32" s="199"/>
      <c r="AF32" s="199"/>
      <c r="AG32" s="199"/>
      <c r="AH32" s="199"/>
      <c r="AI32" s="199"/>
      <c r="AJ32" s="200"/>
      <c r="AK32" s="200"/>
    </row>
    <row r="33" spans="1:37" s="7" customFormat="1">
      <c r="A33" s="24"/>
      <c r="B33" s="142" t="s">
        <v>305</v>
      </c>
      <c r="C33" s="230">
        <v>2405.1999999999998</v>
      </c>
      <c r="D33" s="230">
        <v>2506.5</v>
      </c>
      <c r="E33" s="230">
        <v>2729.8</v>
      </c>
      <c r="F33" s="230">
        <v>2286.1999999999998</v>
      </c>
      <c r="G33" s="230">
        <v>3047.8</v>
      </c>
      <c r="H33" s="230">
        <v>2691</v>
      </c>
      <c r="I33" s="230">
        <v>2999</v>
      </c>
      <c r="J33" s="230">
        <v>1616</v>
      </c>
      <c r="K33" s="230">
        <v>2185</v>
      </c>
      <c r="L33" s="202">
        <f>L28+L31</f>
        <v>3051.1354981411619</v>
      </c>
      <c r="M33" s="202">
        <f>M28+M31</f>
        <v>3393.8772883961965</v>
      </c>
      <c r="N33" s="202">
        <f>N28+N31</f>
        <v>3765.4527949074968</v>
      </c>
      <c r="O33" s="202">
        <f>O28+O31</f>
        <v>3992.5158517731775</v>
      </c>
      <c r="P33" s="202">
        <f>P28+P31</f>
        <v>4228.3023683894362</v>
      </c>
      <c r="Q33" s="216"/>
      <c r="R33" s="230">
        <v>1295.5</v>
      </c>
      <c r="S33" s="202">
        <f>C33-R33</f>
        <v>1109.6999999999998</v>
      </c>
      <c r="T33" s="230">
        <v>1460.5</v>
      </c>
      <c r="U33" s="202">
        <f>D33-T33</f>
        <v>1046</v>
      </c>
      <c r="V33" s="230">
        <v>1516.8</v>
      </c>
      <c r="W33" s="202">
        <f>E33-V33</f>
        <v>1213.0000000000002</v>
      </c>
      <c r="X33" s="230">
        <v>1555.3</v>
      </c>
      <c r="Y33" s="202">
        <f>F33-X33</f>
        <v>730.89999999999986</v>
      </c>
      <c r="Z33" s="230">
        <v>1554</v>
      </c>
      <c r="AA33" s="202">
        <f>G33-Z33</f>
        <v>1493.8000000000002</v>
      </c>
      <c r="AB33" s="230">
        <v>1237</v>
      </c>
      <c r="AC33" s="202">
        <f>H33-AB33</f>
        <v>1454</v>
      </c>
      <c r="AD33" s="230">
        <v>1561</v>
      </c>
      <c r="AE33" s="202">
        <f>I33-AD33</f>
        <v>1438</v>
      </c>
      <c r="AF33" s="230">
        <v>-22</v>
      </c>
      <c r="AG33" s="202">
        <f>J33-AF33</f>
        <v>1638</v>
      </c>
      <c r="AH33" s="230">
        <v>1451</v>
      </c>
      <c r="AI33" s="202">
        <f>K33-AH33</f>
        <v>734</v>
      </c>
      <c r="AJ33" s="202">
        <f>AJ28+AJ31</f>
        <v>1567.7818294105439</v>
      </c>
      <c r="AK33" s="202">
        <f>AK28+AK31</f>
        <v>1483.3536687306182</v>
      </c>
    </row>
    <row r="34" spans="1:37">
      <c r="B34" s="32"/>
      <c r="C34" s="199"/>
      <c r="D34" s="199"/>
      <c r="E34" s="199"/>
      <c r="F34" s="199"/>
      <c r="G34" s="199"/>
      <c r="H34" s="199"/>
      <c r="I34" s="199"/>
      <c r="J34" s="199"/>
      <c r="K34" s="199"/>
      <c r="L34" s="200"/>
      <c r="M34" s="200"/>
      <c r="N34" s="200"/>
      <c r="O34" s="200"/>
      <c r="P34" s="200"/>
      <c r="Q34" s="200"/>
      <c r="R34" s="199"/>
      <c r="S34" s="199"/>
      <c r="T34" s="199"/>
      <c r="U34" s="199"/>
      <c r="V34" s="199"/>
      <c r="W34" s="199"/>
      <c r="X34" s="199"/>
      <c r="Y34" s="199"/>
      <c r="Z34" s="199"/>
      <c r="AA34" s="199"/>
      <c r="AB34" s="199"/>
      <c r="AC34" s="199"/>
      <c r="AD34" s="199"/>
      <c r="AE34" s="199"/>
      <c r="AF34" s="199"/>
      <c r="AG34" s="199"/>
      <c r="AH34" s="199"/>
      <c r="AI34" s="199"/>
      <c r="AJ34" s="200"/>
      <c r="AK34" s="200"/>
    </row>
    <row r="35" spans="1:37">
      <c r="B35" s="32" t="s">
        <v>453</v>
      </c>
      <c r="C35" s="231"/>
      <c r="D35" s="231"/>
      <c r="E35" s="231"/>
      <c r="F35" s="231">
        <v>-701</v>
      </c>
      <c r="G35" s="231">
        <v>-528</v>
      </c>
      <c r="H35" s="231">
        <v>-542</v>
      </c>
      <c r="I35" s="231">
        <v>-542</v>
      </c>
      <c r="J35" s="231">
        <v>-570</v>
      </c>
      <c r="K35" s="231">
        <v>-597</v>
      </c>
      <c r="L35" s="232">
        <v>-610</v>
      </c>
      <c r="M35" s="232">
        <f t="shared" ref="M35:P35" si="32">L35*1.03</f>
        <v>-628.30000000000007</v>
      </c>
      <c r="N35" s="232">
        <f t="shared" si="32"/>
        <v>-647.14900000000011</v>
      </c>
      <c r="O35" s="232">
        <f t="shared" si="32"/>
        <v>-666.56347000000017</v>
      </c>
      <c r="P35" s="232">
        <f t="shared" si="32"/>
        <v>-686.56037410000022</v>
      </c>
      <c r="Q35" s="200"/>
      <c r="R35" s="199"/>
      <c r="S35" s="199"/>
      <c r="T35" s="199"/>
      <c r="U35" s="199"/>
      <c r="V35" s="199"/>
      <c r="W35" s="199"/>
      <c r="X35" s="104">
        <v>-414</v>
      </c>
      <c r="Y35" s="213">
        <f>F35-X35</f>
        <v>-287</v>
      </c>
      <c r="Z35" s="104">
        <v>-407</v>
      </c>
      <c r="AA35" s="213">
        <f>G35-Z35</f>
        <v>-121</v>
      </c>
      <c r="AB35" s="104">
        <v>-322</v>
      </c>
      <c r="AC35" s="213">
        <f>H35-AB35</f>
        <v>-220</v>
      </c>
      <c r="AD35" s="104">
        <v>-320</v>
      </c>
      <c r="AE35" s="213">
        <f>I35-AD35</f>
        <v>-222</v>
      </c>
      <c r="AF35" s="21">
        <f>AF37-AF36</f>
        <v>-291</v>
      </c>
      <c r="AG35" s="213">
        <f>J35-AF35</f>
        <v>-279</v>
      </c>
      <c r="AH35" s="21">
        <f>AH37-AH36</f>
        <v>-311</v>
      </c>
      <c r="AI35" s="213">
        <f>K35-AH35</f>
        <v>-286</v>
      </c>
      <c r="AJ35" s="147"/>
      <c r="AK35" s="155"/>
    </row>
    <row r="36" spans="1:37">
      <c r="B36" s="32" t="s">
        <v>454</v>
      </c>
      <c r="C36" s="231"/>
      <c r="D36" s="231"/>
      <c r="E36" s="231"/>
      <c r="F36" s="233">
        <f t="shared" ref="F36:J36" si="33">F37-F35</f>
        <v>-142</v>
      </c>
      <c r="G36" s="233">
        <f t="shared" si="33"/>
        <v>-85</v>
      </c>
      <c r="H36" s="233">
        <f t="shared" si="33"/>
        <v>-58</v>
      </c>
      <c r="I36" s="233">
        <f t="shared" si="33"/>
        <v>-135</v>
      </c>
      <c r="J36" s="233">
        <f t="shared" si="33"/>
        <v>-170</v>
      </c>
      <c r="K36" s="233">
        <f>K37-K35</f>
        <v>-214</v>
      </c>
      <c r="L36" s="234">
        <v>-205</v>
      </c>
      <c r="M36" s="234">
        <v>-205</v>
      </c>
      <c r="N36" s="234">
        <v>-205</v>
      </c>
      <c r="O36" s="234">
        <v>-205</v>
      </c>
      <c r="P36" s="234">
        <v>-205</v>
      </c>
      <c r="Q36" s="200"/>
      <c r="R36" s="199"/>
      <c r="S36" s="199"/>
      <c r="T36" s="199"/>
      <c r="U36" s="199"/>
      <c r="V36" s="199"/>
      <c r="W36" s="199"/>
      <c r="X36" s="201">
        <f t="shared" ref="X36:AI36" si="34">X37-X35</f>
        <v>-26</v>
      </c>
      <c r="Y36" s="201">
        <f t="shared" si="34"/>
        <v>-116</v>
      </c>
      <c r="Z36" s="201">
        <f t="shared" si="34"/>
        <v>76</v>
      </c>
      <c r="AA36" s="201">
        <f t="shared" si="34"/>
        <v>-161</v>
      </c>
      <c r="AB36" s="201">
        <f t="shared" si="34"/>
        <v>16.873101401197289</v>
      </c>
      <c r="AC36" s="201">
        <f t="shared" si="34"/>
        <v>-74.873101401197289</v>
      </c>
      <c r="AD36" s="201">
        <f t="shared" si="34"/>
        <v>-26</v>
      </c>
      <c r="AE36" s="201">
        <f t="shared" si="34"/>
        <v>-109</v>
      </c>
      <c r="AF36" s="235">
        <v>-67</v>
      </c>
      <c r="AG36" s="201">
        <f t="shared" si="34"/>
        <v>-103</v>
      </c>
      <c r="AH36" s="235">
        <v>-105</v>
      </c>
      <c r="AI36" s="201">
        <f t="shared" si="34"/>
        <v>-109</v>
      </c>
      <c r="AJ36" s="147"/>
      <c r="AK36" s="155"/>
    </row>
    <row r="37" spans="1:37" s="7" customFormat="1">
      <c r="A37" s="24" t="s">
        <v>416</v>
      </c>
      <c r="B37" s="25" t="s">
        <v>257</v>
      </c>
      <c r="C37" s="80">
        <v>-193.6</v>
      </c>
      <c r="D37" s="40">
        <v>-154</v>
      </c>
      <c r="E37" s="40">
        <v>-126</v>
      </c>
      <c r="F37" s="40">
        <v>-843</v>
      </c>
      <c r="G37" s="40">
        <v>-613</v>
      </c>
      <c r="H37" s="40">
        <v>-600</v>
      </c>
      <c r="I37" s="40">
        <v>-677</v>
      </c>
      <c r="J37" s="40">
        <v>-740</v>
      </c>
      <c r="K37" s="40">
        <v>-811</v>
      </c>
      <c r="L37" s="155">
        <f>SUM(L35:L36)</f>
        <v>-815</v>
      </c>
      <c r="M37" s="155">
        <f>SUM(M35:M36)</f>
        <v>-833.30000000000007</v>
      </c>
      <c r="N37" s="155">
        <f>SUM(N35:N36)</f>
        <v>-852.14900000000011</v>
      </c>
      <c r="O37" s="155">
        <f>SUM(O35:O36)</f>
        <v>-871.56347000000017</v>
      </c>
      <c r="P37" s="155">
        <f>SUM(P35:P36)</f>
        <v>-891.56037410000022</v>
      </c>
      <c r="Q37" s="336"/>
      <c r="R37" s="80">
        <v>-113.5</v>
      </c>
      <c r="S37" s="39">
        <f>C37-R37</f>
        <v>-80.099999999999994</v>
      </c>
      <c r="T37" s="80">
        <v>-82</v>
      </c>
      <c r="U37" s="39">
        <f>D37-T37</f>
        <v>-72</v>
      </c>
      <c r="V37" s="40">
        <v>-71</v>
      </c>
      <c r="W37" s="39">
        <f>E37-V37</f>
        <v>-55</v>
      </c>
      <c r="X37" s="40">
        <v>-440</v>
      </c>
      <c r="Y37" s="39">
        <f>F37-X37</f>
        <v>-403</v>
      </c>
      <c r="Z37" s="40">
        <v>-331</v>
      </c>
      <c r="AA37" s="39">
        <f>G37-Z37</f>
        <v>-282</v>
      </c>
      <c r="AB37" s="40">
        <v>-305.12689859880271</v>
      </c>
      <c r="AC37" s="39">
        <f>H37-AB37</f>
        <v>-294.87310140119729</v>
      </c>
      <c r="AD37" s="40">
        <v>-346</v>
      </c>
      <c r="AE37" s="39">
        <f>I37-AD37</f>
        <v>-331</v>
      </c>
      <c r="AF37" s="40">
        <v>-358</v>
      </c>
      <c r="AG37" s="39">
        <f>J37-AF37</f>
        <v>-382</v>
      </c>
      <c r="AH37" s="40">
        <v>-416</v>
      </c>
      <c r="AI37" s="39">
        <f>K37-AH37</f>
        <v>-395</v>
      </c>
      <c r="AJ37" s="147">
        <v>-410</v>
      </c>
      <c r="AK37" s="155">
        <f>L37-AJ37</f>
        <v>-405</v>
      </c>
    </row>
    <row r="38" spans="1:37">
      <c r="B38" s="32"/>
      <c r="C38" s="199"/>
      <c r="D38" s="199"/>
      <c r="E38" s="199"/>
      <c r="F38" s="199"/>
      <c r="G38" s="199"/>
      <c r="H38" s="199"/>
      <c r="I38" s="199"/>
      <c r="J38" s="199"/>
      <c r="K38" s="199"/>
      <c r="L38" s="200"/>
      <c r="M38" s="200"/>
      <c r="N38" s="200"/>
      <c r="O38" s="200"/>
      <c r="P38" s="200"/>
      <c r="Q38" s="200"/>
      <c r="R38" s="199"/>
      <c r="S38" s="199"/>
      <c r="T38" s="199"/>
      <c r="U38" s="199"/>
      <c r="V38" s="199"/>
      <c r="W38" s="199"/>
      <c r="X38" s="199"/>
      <c r="Y38" s="199"/>
      <c r="Z38" s="199"/>
      <c r="AA38" s="199"/>
      <c r="AB38" s="199"/>
      <c r="AC38" s="199"/>
      <c r="AD38" s="199"/>
      <c r="AE38" s="199"/>
      <c r="AF38" s="199"/>
      <c r="AG38" s="199"/>
      <c r="AH38" s="199"/>
      <c r="AI38" s="199"/>
      <c r="AJ38" s="200"/>
      <c r="AK38" s="200"/>
    </row>
    <row r="39" spans="1:37">
      <c r="A39" s="24" t="s">
        <v>86</v>
      </c>
      <c r="B39" s="25" t="s">
        <v>282</v>
      </c>
      <c r="C39" s="215">
        <f t="shared" ref="C39:P39" si="35">C28+C37</f>
        <v>2132.6</v>
      </c>
      <c r="D39" s="215">
        <f t="shared" si="35"/>
        <v>2394</v>
      </c>
      <c r="E39" s="215">
        <f t="shared" si="35"/>
        <v>2596</v>
      </c>
      <c r="F39" s="215">
        <f t="shared" si="35"/>
        <v>2376</v>
      </c>
      <c r="G39" s="215">
        <f t="shared" si="35"/>
        <v>2151</v>
      </c>
      <c r="H39" s="215">
        <f t="shared" si="35"/>
        <v>2090</v>
      </c>
      <c r="I39" s="215">
        <f t="shared" si="35"/>
        <v>2439</v>
      </c>
      <c r="J39" s="215">
        <f t="shared" si="35"/>
        <v>2483</v>
      </c>
      <c r="K39" s="215">
        <f t="shared" si="35"/>
        <v>1943</v>
      </c>
      <c r="L39" s="216">
        <f t="shared" si="35"/>
        <v>2236.1354981411619</v>
      </c>
      <c r="M39" s="216">
        <f t="shared" si="35"/>
        <v>2560.5772883961963</v>
      </c>
      <c r="N39" s="216">
        <f t="shared" si="35"/>
        <v>2913.3037949074969</v>
      </c>
      <c r="O39" s="216">
        <f t="shared" si="35"/>
        <v>3120.9523817731774</v>
      </c>
      <c r="P39" s="216">
        <f t="shared" si="35"/>
        <v>3336.7419942894358</v>
      </c>
      <c r="Q39" s="216"/>
      <c r="R39" s="215">
        <f t="shared" ref="R39:AJ39" si="36">R28+R37</f>
        <v>1223.1000000000001</v>
      </c>
      <c r="S39" s="215">
        <f t="shared" si="36"/>
        <v>984.1999999999997</v>
      </c>
      <c r="T39" s="215">
        <f t="shared" si="36"/>
        <v>1348</v>
      </c>
      <c r="U39" s="215">
        <f t="shared" si="36"/>
        <v>1046</v>
      </c>
      <c r="V39" s="215">
        <f t="shared" si="36"/>
        <v>1348</v>
      </c>
      <c r="W39" s="215">
        <f t="shared" si="36"/>
        <v>1248</v>
      </c>
      <c r="X39" s="215">
        <f t="shared" si="36"/>
        <v>1453</v>
      </c>
      <c r="Y39" s="215">
        <f t="shared" si="36"/>
        <v>923</v>
      </c>
      <c r="Z39" s="215">
        <f t="shared" si="36"/>
        <v>1223</v>
      </c>
      <c r="AA39" s="215">
        <f t="shared" si="36"/>
        <v>928</v>
      </c>
      <c r="AB39" s="215">
        <f t="shared" si="36"/>
        <v>1076.8731014011973</v>
      </c>
      <c r="AC39" s="215">
        <f t="shared" si="36"/>
        <v>1013.1268985988027</v>
      </c>
      <c r="AD39" s="215">
        <f t="shared" si="36"/>
        <v>1291</v>
      </c>
      <c r="AE39" s="215">
        <f t="shared" si="36"/>
        <v>1148</v>
      </c>
      <c r="AF39" s="215">
        <f t="shared" si="36"/>
        <v>1334</v>
      </c>
      <c r="AG39" s="215">
        <f t="shared" si="36"/>
        <v>1149</v>
      </c>
      <c r="AH39" s="215">
        <f t="shared" si="36"/>
        <v>1035</v>
      </c>
      <c r="AI39" s="215">
        <f t="shared" si="36"/>
        <v>908</v>
      </c>
      <c r="AJ39" s="216">
        <f t="shared" si="36"/>
        <v>1157.7818294105439</v>
      </c>
      <c r="AK39" s="155">
        <f>L39-AJ39</f>
        <v>1078.353668730618</v>
      </c>
    </row>
    <row r="40" spans="1:37">
      <c r="A40" s="24" t="s">
        <v>437</v>
      </c>
      <c r="B40" s="29" t="s">
        <v>265</v>
      </c>
      <c r="C40" s="217"/>
      <c r="D40" s="226">
        <f t="shared" ref="D40:K40" si="37">D39/C39-1</f>
        <v>0.12257338460095668</v>
      </c>
      <c r="E40" s="226">
        <f t="shared" si="37"/>
        <v>8.4377610693400218E-2</v>
      </c>
      <c r="F40" s="226">
        <f t="shared" si="37"/>
        <v>-8.4745762711864403E-2</v>
      </c>
      <c r="G40" s="226">
        <f t="shared" si="37"/>
        <v>-9.4696969696969724E-2</v>
      </c>
      <c r="H40" s="226">
        <f t="shared" si="37"/>
        <v>-2.8358902835890265E-2</v>
      </c>
      <c r="I40" s="226">
        <f t="shared" si="37"/>
        <v>0.16698564593301435</v>
      </c>
      <c r="J40" s="226">
        <f t="shared" si="37"/>
        <v>1.8040180401803996E-2</v>
      </c>
      <c r="K40" s="226">
        <f t="shared" si="37"/>
        <v>-0.21747885622231167</v>
      </c>
      <c r="L40" s="227">
        <f t="shared" ref="L40:P40" si="38">L39/K39-1</f>
        <v>0.15086747202324347</v>
      </c>
      <c r="M40" s="227">
        <f t="shared" si="38"/>
        <v>0.14509039837913851</v>
      </c>
      <c r="N40" s="227">
        <f t="shared" si="38"/>
        <v>0.13775272791403581</v>
      </c>
      <c r="O40" s="227">
        <f t="shared" si="38"/>
        <v>7.1275981320126469E-2</v>
      </c>
      <c r="P40" s="227">
        <f t="shared" si="38"/>
        <v>6.9142231639451213E-2</v>
      </c>
      <c r="Q40" s="225"/>
      <c r="R40" s="217"/>
      <c r="S40" s="217"/>
      <c r="T40" s="226">
        <f t="shared" ref="T40:AI40" si="39">T39/R39-1</f>
        <v>0.10211757010874001</v>
      </c>
      <c r="U40" s="226">
        <f t="shared" si="39"/>
        <v>6.2792115423694783E-2</v>
      </c>
      <c r="V40" s="226">
        <f t="shared" si="39"/>
        <v>0</v>
      </c>
      <c r="W40" s="226">
        <f t="shared" si="39"/>
        <v>0.19311663479923524</v>
      </c>
      <c r="X40" s="226">
        <f t="shared" si="39"/>
        <v>7.7893175074184029E-2</v>
      </c>
      <c r="Y40" s="226">
        <f t="shared" si="39"/>
        <v>-0.26041666666666663</v>
      </c>
      <c r="Z40" s="226">
        <f t="shared" si="39"/>
        <v>-0.15829318651066759</v>
      </c>
      <c r="AA40" s="226">
        <f t="shared" si="39"/>
        <v>5.4171180931743557E-3</v>
      </c>
      <c r="AB40" s="226">
        <f t="shared" si="39"/>
        <v>-0.11948233736615099</v>
      </c>
      <c r="AC40" s="226">
        <f t="shared" si="39"/>
        <v>9.1731571765951037E-2</v>
      </c>
      <c r="AD40" s="226">
        <f t="shared" si="39"/>
        <v>0.19884134752756544</v>
      </c>
      <c r="AE40" s="226">
        <f t="shared" si="39"/>
        <v>0.13312557547108117</v>
      </c>
      <c r="AF40" s="226">
        <f t="shared" si="39"/>
        <v>3.3307513555383528E-2</v>
      </c>
      <c r="AG40" s="226">
        <f t="shared" si="39"/>
        <v>8.7108013937275963E-4</v>
      </c>
      <c r="AH40" s="226">
        <f t="shared" si="39"/>
        <v>-0.22413793103448276</v>
      </c>
      <c r="AI40" s="226">
        <f t="shared" si="39"/>
        <v>-0.20974760661444736</v>
      </c>
      <c r="AJ40" s="227">
        <f t="shared" ref="AJ40:AK40" si="40">AJ39/AH39-1</f>
        <v>0.11862978687009074</v>
      </c>
      <c r="AK40" s="227">
        <f t="shared" si="40"/>
        <v>0.1876141726108127</v>
      </c>
    </row>
    <row r="41" spans="1:37">
      <c r="B41" s="32"/>
      <c r="C41" s="199"/>
      <c r="D41" s="199"/>
      <c r="E41" s="199"/>
      <c r="F41" s="199"/>
      <c r="G41" s="199"/>
      <c r="H41" s="199"/>
      <c r="I41" s="199"/>
      <c r="J41" s="199"/>
      <c r="K41" s="199"/>
      <c r="L41" s="200"/>
      <c r="M41" s="200"/>
      <c r="N41" s="200"/>
      <c r="O41" s="200"/>
      <c r="P41" s="200"/>
      <c r="Q41" s="200"/>
      <c r="R41" s="199"/>
      <c r="S41" s="199"/>
      <c r="T41" s="199"/>
      <c r="U41" s="199"/>
      <c r="V41" s="199"/>
      <c r="W41" s="199"/>
      <c r="X41" s="199"/>
      <c r="Y41" s="199"/>
      <c r="Z41" s="199"/>
      <c r="AA41" s="199"/>
      <c r="AB41" s="199"/>
      <c r="AC41" s="199"/>
      <c r="AD41" s="199"/>
      <c r="AE41" s="199"/>
      <c r="AF41" s="199"/>
      <c r="AG41" s="199"/>
      <c r="AH41" s="199"/>
      <c r="AI41" s="199"/>
      <c r="AJ41" s="200"/>
      <c r="AK41" s="200"/>
    </row>
    <row r="42" spans="1:37">
      <c r="A42" s="24" t="s">
        <v>396</v>
      </c>
      <c r="B42" s="25" t="s">
        <v>306</v>
      </c>
      <c r="C42" s="40">
        <v>-650.4</v>
      </c>
      <c r="D42" s="40">
        <v>-718</v>
      </c>
      <c r="E42" s="40">
        <v>-779</v>
      </c>
      <c r="F42" s="40">
        <v>-730</v>
      </c>
      <c r="G42" s="40">
        <v>-647</v>
      </c>
      <c r="H42" s="40">
        <v>-566</v>
      </c>
      <c r="I42" s="40">
        <v>-707</v>
      </c>
      <c r="J42" s="40">
        <v>-763</v>
      </c>
      <c r="K42" s="40">
        <v>-568</v>
      </c>
      <c r="L42" s="155">
        <f>L60</f>
        <v>-664.13224294792508</v>
      </c>
      <c r="M42" s="155">
        <f t="shared" ref="M42:P42" si="41">M60</f>
        <v>-760.4914546536703</v>
      </c>
      <c r="N42" s="155">
        <f t="shared" si="41"/>
        <v>-865.25122708752656</v>
      </c>
      <c r="O42" s="155">
        <f t="shared" si="41"/>
        <v>-926.92285738663361</v>
      </c>
      <c r="P42" s="155">
        <f t="shared" si="41"/>
        <v>-991.01237230396237</v>
      </c>
      <c r="Q42" s="188"/>
      <c r="R42" s="39">
        <v>-368.3</v>
      </c>
      <c r="S42" s="39">
        <f>C42-R42</f>
        <v>-282.09999999999997</v>
      </c>
      <c r="T42" s="40">
        <v>-404</v>
      </c>
      <c r="U42" s="39">
        <f>D42-T42</f>
        <v>-314</v>
      </c>
      <c r="V42" s="40">
        <v>-404</v>
      </c>
      <c r="W42" s="39">
        <f>E42-V42</f>
        <v>-375</v>
      </c>
      <c r="X42" s="40">
        <v>-429.3</v>
      </c>
      <c r="Y42" s="39">
        <f>F42-X42</f>
        <v>-300.7</v>
      </c>
      <c r="Z42" s="40">
        <v>-372</v>
      </c>
      <c r="AA42" s="39">
        <f>G42-Z42</f>
        <v>-275</v>
      </c>
      <c r="AB42" s="40">
        <v>-279</v>
      </c>
      <c r="AC42" s="39">
        <f>H42-AB42</f>
        <v>-287</v>
      </c>
      <c r="AD42" s="40">
        <v>-380</v>
      </c>
      <c r="AE42" s="39">
        <f>I42-AD42</f>
        <v>-327</v>
      </c>
      <c r="AF42" s="40">
        <v>-397</v>
      </c>
      <c r="AG42" s="39">
        <f>J42-AF42</f>
        <v>-366</v>
      </c>
      <c r="AH42" s="40">
        <v>-294</v>
      </c>
      <c r="AI42" s="39">
        <f>K42-AH42</f>
        <v>-274</v>
      </c>
      <c r="AJ42" s="155">
        <f t="shared" ref="AJ42:AK42" si="42">AJ60</f>
        <v>-341.54563967611045</v>
      </c>
      <c r="AK42" s="155">
        <f t="shared" si="42"/>
        <v>-322.58660327181462</v>
      </c>
    </row>
    <row r="43" spans="1:37">
      <c r="B43" s="32"/>
      <c r="C43" s="199"/>
      <c r="D43" s="199"/>
      <c r="E43" s="199"/>
      <c r="F43" s="199"/>
      <c r="G43" s="199"/>
      <c r="H43" s="199"/>
      <c r="I43" s="199"/>
      <c r="J43" s="199"/>
      <c r="K43" s="199"/>
      <c r="L43" s="200"/>
      <c r="M43" s="200"/>
      <c r="N43" s="200"/>
      <c r="O43" s="200"/>
      <c r="P43" s="200"/>
      <c r="Q43" s="200"/>
      <c r="R43" s="199"/>
      <c r="S43" s="199"/>
      <c r="T43" s="199"/>
      <c r="U43" s="199"/>
      <c r="V43" s="199"/>
      <c r="W43" s="199"/>
      <c r="X43" s="199"/>
      <c r="Y43" s="199"/>
      <c r="Z43" s="199"/>
      <c r="AA43" s="199"/>
      <c r="AB43" s="199"/>
      <c r="AC43" s="199"/>
      <c r="AD43" s="199"/>
      <c r="AE43" s="199"/>
      <c r="AF43" s="199"/>
      <c r="AG43" s="199"/>
      <c r="AH43" s="199"/>
      <c r="AI43" s="199"/>
      <c r="AJ43" s="200"/>
      <c r="AK43" s="200"/>
    </row>
    <row r="44" spans="1:37">
      <c r="A44" s="24" t="s">
        <v>447</v>
      </c>
      <c r="B44" s="25" t="s">
        <v>284</v>
      </c>
      <c r="C44" s="22">
        <v>-59.9</v>
      </c>
      <c r="D44" s="22">
        <v>-71</v>
      </c>
      <c r="E44" s="22">
        <v>-66</v>
      </c>
      <c r="F44" s="22">
        <v>-44</v>
      </c>
      <c r="G44" s="22">
        <v>0</v>
      </c>
      <c r="H44" s="22">
        <v>-10</v>
      </c>
      <c r="I44" s="22">
        <v>-11</v>
      </c>
      <c r="J44" s="22">
        <v>-9</v>
      </c>
      <c r="K44" s="22">
        <v>10</v>
      </c>
      <c r="L44" s="147">
        <f>K44</f>
        <v>10</v>
      </c>
      <c r="M44" s="147">
        <f t="shared" ref="M44:P44" si="43">L44</f>
        <v>10</v>
      </c>
      <c r="N44" s="147">
        <f t="shared" si="43"/>
        <v>10</v>
      </c>
      <c r="O44" s="147">
        <f t="shared" si="43"/>
        <v>10</v>
      </c>
      <c r="P44" s="147">
        <f t="shared" si="43"/>
        <v>10</v>
      </c>
      <c r="Q44" s="337"/>
      <c r="R44" s="37">
        <v>33.799999999999997</v>
      </c>
      <c r="S44" s="21">
        <f>C44-R44</f>
        <v>-93.699999999999989</v>
      </c>
      <c r="T44" s="78">
        <v>-42</v>
      </c>
      <c r="U44" s="21">
        <f>D44-T44</f>
        <v>-29</v>
      </c>
      <c r="V44" s="78">
        <v>-42</v>
      </c>
      <c r="W44" s="21">
        <f>E44-V44</f>
        <v>-24</v>
      </c>
      <c r="X44" s="78">
        <v>-45</v>
      </c>
      <c r="Y44" s="21">
        <f>F44-X44</f>
        <v>1</v>
      </c>
      <c r="Z44" s="78">
        <v>-1</v>
      </c>
      <c r="AA44" s="21">
        <f>G44-Z44</f>
        <v>1</v>
      </c>
      <c r="AB44" s="77">
        <v>-3</v>
      </c>
      <c r="AC44" s="21">
        <f>H44-AB44</f>
        <v>-7</v>
      </c>
      <c r="AD44" s="78">
        <v>-4</v>
      </c>
      <c r="AE44" s="21">
        <f>I44-AD44</f>
        <v>-7</v>
      </c>
      <c r="AF44" s="78">
        <v>-8</v>
      </c>
      <c r="AG44" s="21">
        <f>J44-AF44</f>
        <v>-1</v>
      </c>
      <c r="AH44" s="78">
        <v>-2</v>
      </c>
      <c r="AI44" s="21">
        <f>K44-AH44</f>
        <v>12</v>
      </c>
      <c r="AJ44" s="154">
        <v>-1</v>
      </c>
      <c r="AK44" s="155">
        <f>L44-AJ44</f>
        <v>11</v>
      </c>
    </row>
    <row r="45" spans="1:37">
      <c r="B45" s="32"/>
      <c r="C45" s="199"/>
      <c r="D45" s="199"/>
      <c r="E45" s="199"/>
      <c r="F45" s="199"/>
      <c r="G45" s="199"/>
      <c r="H45" s="199"/>
      <c r="I45" s="199"/>
      <c r="J45" s="199"/>
      <c r="K45" s="199"/>
      <c r="L45" s="200"/>
      <c r="M45" s="200"/>
      <c r="N45" s="200"/>
      <c r="O45" s="200"/>
      <c r="P45" s="200"/>
      <c r="Q45" s="200"/>
      <c r="R45" s="199"/>
      <c r="S45" s="199"/>
      <c r="T45" s="199"/>
      <c r="U45" s="199"/>
      <c r="V45" s="199"/>
      <c r="W45" s="199"/>
      <c r="X45" s="199"/>
      <c r="Y45" s="199"/>
      <c r="Z45" s="199"/>
      <c r="AA45" s="199"/>
      <c r="AB45" s="199"/>
      <c r="AC45" s="199"/>
      <c r="AD45" s="199"/>
      <c r="AE45" s="199"/>
      <c r="AF45" s="199"/>
      <c r="AG45" s="199"/>
      <c r="AH45" s="199"/>
      <c r="AI45" s="199"/>
      <c r="AJ45" s="200"/>
      <c r="AK45" s="200"/>
    </row>
    <row r="46" spans="1:37" s="7" customFormat="1">
      <c r="A46" s="24" t="s">
        <v>217</v>
      </c>
      <c r="B46" s="142" t="s">
        <v>285</v>
      </c>
      <c r="C46" s="202">
        <f t="shared" ref="C46:J46" si="44">C44+C42+C39</f>
        <v>1422.3</v>
      </c>
      <c r="D46" s="202">
        <f t="shared" si="44"/>
        <v>1605</v>
      </c>
      <c r="E46" s="202">
        <f t="shared" si="44"/>
        <v>1751</v>
      </c>
      <c r="F46" s="202">
        <f t="shared" si="44"/>
        <v>1602</v>
      </c>
      <c r="G46" s="202">
        <f t="shared" si="44"/>
        <v>1504</v>
      </c>
      <c r="H46" s="202">
        <f t="shared" si="44"/>
        <v>1514</v>
      </c>
      <c r="I46" s="202">
        <f t="shared" si="44"/>
        <v>1721</v>
      </c>
      <c r="J46" s="202">
        <f t="shared" si="44"/>
        <v>1711</v>
      </c>
      <c r="K46" s="202">
        <f>K44+K42+K39</f>
        <v>1385</v>
      </c>
      <c r="L46" s="202">
        <f t="shared" ref="L46:P46" si="45">L44+L42+L39</f>
        <v>1582.0032551932368</v>
      </c>
      <c r="M46" s="202">
        <f t="shared" si="45"/>
        <v>1810.0858337425261</v>
      </c>
      <c r="N46" s="202">
        <f t="shared" si="45"/>
        <v>2058.0525678199701</v>
      </c>
      <c r="O46" s="202">
        <f t="shared" si="45"/>
        <v>2204.0295243865439</v>
      </c>
      <c r="P46" s="202">
        <f t="shared" si="45"/>
        <v>2355.7296219854734</v>
      </c>
      <c r="Q46" s="216"/>
      <c r="R46" s="202">
        <f>R44+R42+R39</f>
        <v>888.60000000000014</v>
      </c>
      <c r="S46" s="202">
        <f t="shared" ref="S46:AI46" si="46">S44+S42+S39</f>
        <v>608.39999999999975</v>
      </c>
      <c r="T46" s="202">
        <f t="shared" si="46"/>
        <v>902</v>
      </c>
      <c r="U46" s="202">
        <f t="shared" si="46"/>
        <v>703</v>
      </c>
      <c r="V46" s="202">
        <f t="shared" si="46"/>
        <v>902</v>
      </c>
      <c r="W46" s="202">
        <f t="shared" si="46"/>
        <v>849</v>
      </c>
      <c r="X46" s="202">
        <f t="shared" si="46"/>
        <v>978.7</v>
      </c>
      <c r="Y46" s="202">
        <f t="shared" si="46"/>
        <v>623.29999999999995</v>
      </c>
      <c r="Z46" s="202">
        <f t="shared" si="46"/>
        <v>850</v>
      </c>
      <c r="AA46" s="202">
        <f t="shared" si="46"/>
        <v>654</v>
      </c>
      <c r="AB46" s="202">
        <f t="shared" si="46"/>
        <v>794.87310140119735</v>
      </c>
      <c r="AC46" s="202">
        <f t="shared" si="46"/>
        <v>719.12689859880265</v>
      </c>
      <c r="AD46" s="202">
        <f t="shared" si="46"/>
        <v>907</v>
      </c>
      <c r="AE46" s="202">
        <f t="shared" si="46"/>
        <v>814</v>
      </c>
      <c r="AF46" s="202">
        <f t="shared" si="46"/>
        <v>929</v>
      </c>
      <c r="AG46" s="202">
        <f t="shared" si="46"/>
        <v>782</v>
      </c>
      <c r="AH46" s="202">
        <f t="shared" si="46"/>
        <v>739</v>
      </c>
      <c r="AI46" s="202">
        <f t="shared" si="46"/>
        <v>646</v>
      </c>
      <c r="AJ46" s="205">
        <f t="shared" ref="AJ46:AK46" si="47">AJ44+AJ42+AJ39</f>
        <v>815.23618973443342</v>
      </c>
      <c r="AK46" s="202">
        <f t="shared" si="47"/>
        <v>766.76706545880336</v>
      </c>
    </row>
    <row r="47" spans="1:37" s="24" customFormat="1">
      <c r="A47" s="24" t="s">
        <v>438</v>
      </c>
      <c r="B47" s="29" t="s">
        <v>265</v>
      </c>
      <c r="C47" s="217"/>
      <c r="D47" s="226">
        <f t="shared" ref="D47:K47" si="48">D46/C46-1</f>
        <v>0.12845391267665063</v>
      </c>
      <c r="E47" s="226">
        <f t="shared" si="48"/>
        <v>9.0965732087227469E-2</v>
      </c>
      <c r="F47" s="226">
        <f t="shared" si="48"/>
        <v>-8.5094231867504311E-2</v>
      </c>
      <c r="G47" s="226">
        <f t="shared" si="48"/>
        <v>-6.1173533083645482E-2</v>
      </c>
      <c r="H47" s="226">
        <f t="shared" si="48"/>
        <v>6.6489361702126715E-3</v>
      </c>
      <c r="I47" s="226">
        <f t="shared" si="48"/>
        <v>0.13672391017173058</v>
      </c>
      <c r="J47" s="226">
        <f t="shared" si="48"/>
        <v>-5.8105752469495009E-3</v>
      </c>
      <c r="K47" s="226">
        <f t="shared" si="48"/>
        <v>-0.19053185271770889</v>
      </c>
      <c r="L47" s="227">
        <f t="shared" ref="L47:P47" si="49">L46/K46-1</f>
        <v>0.14224061746804106</v>
      </c>
      <c r="M47" s="227">
        <f t="shared" si="49"/>
        <v>0.14417326753315041</v>
      </c>
      <c r="N47" s="227">
        <f t="shared" si="49"/>
        <v>0.13699169920840104</v>
      </c>
      <c r="O47" s="227">
        <f t="shared" si="49"/>
        <v>7.0929654008401899E-2</v>
      </c>
      <c r="P47" s="227">
        <f t="shared" si="49"/>
        <v>6.8828523357078231E-2</v>
      </c>
      <c r="Q47" s="225"/>
      <c r="R47" s="217"/>
      <c r="S47" s="217"/>
      <c r="T47" s="226">
        <f t="shared" ref="T47:AI47" si="50">T46/R46-1</f>
        <v>1.5079900967814419E-2</v>
      </c>
      <c r="U47" s="226">
        <f t="shared" si="50"/>
        <v>0.15548980933596357</v>
      </c>
      <c r="V47" s="226">
        <f t="shared" si="50"/>
        <v>0</v>
      </c>
      <c r="W47" s="226">
        <f t="shared" si="50"/>
        <v>0.20768136557610251</v>
      </c>
      <c r="X47" s="226">
        <f t="shared" si="50"/>
        <v>8.5033259423503482E-2</v>
      </c>
      <c r="Y47" s="226">
        <f t="shared" si="50"/>
        <v>-0.26584216725559484</v>
      </c>
      <c r="Z47" s="226">
        <f t="shared" si="50"/>
        <v>-0.1315009706753858</v>
      </c>
      <c r="AA47" s="226">
        <f t="shared" si="50"/>
        <v>4.9253970800577695E-2</v>
      </c>
      <c r="AB47" s="226">
        <f t="shared" si="50"/>
        <v>-6.4855174822120776E-2</v>
      </c>
      <c r="AC47" s="226">
        <f t="shared" si="50"/>
        <v>9.9582413759637056E-2</v>
      </c>
      <c r="AD47" s="226">
        <f t="shared" si="50"/>
        <v>0.141062640566332</v>
      </c>
      <c r="AE47" s="226">
        <f t="shared" si="50"/>
        <v>0.13192817788634348</v>
      </c>
      <c r="AF47" s="226">
        <f t="shared" si="50"/>
        <v>2.4255788313120252E-2</v>
      </c>
      <c r="AG47" s="226">
        <f t="shared" si="50"/>
        <v>-3.9312039312039304E-2</v>
      </c>
      <c r="AH47" s="226">
        <f t="shared" si="50"/>
        <v>-0.20452099031216364</v>
      </c>
      <c r="AI47" s="226">
        <f t="shared" si="50"/>
        <v>-0.17391304347826086</v>
      </c>
      <c r="AJ47" s="227">
        <f t="shared" ref="AJ47:AK47" si="51">AJ46/AH46-1</f>
        <v>0.10316128516161482</v>
      </c>
      <c r="AK47" s="227">
        <f t="shared" si="51"/>
        <v>0.18694592176285352</v>
      </c>
    </row>
    <row r="48" spans="1:37">
      <c r="B48" s="32"/>
      <c r="C48" s="199"/>
      <c r="D48" s="199"/>
      <c r="E48" s="199"/>
      <c r="F48" s="199"/>
      <c r="G48" s="199"/>
      <c r="H48" s="199"/>
      <c r="I48" s="199"/>
      <c r="J48" s="199"/>
      <c r="K48" s="199"/>
      <c r="L48" s="200"/>
      <c r="M48" s="200"/>
      <c r="N48" s="200"/>
      <c r="O48" s="200"/>
      <c r="P48" s="200"/>
      <c r="Q48" s="200"/>
      <c r="R48" s="199"/>
      <c r="S48" s="199"/>
      <c r="T48" s="199"/>
      <c r="U48" s="199"/>
      <c r="V48" s="199"/>
      <c r="W48" s="199"/>
      <c r="X48" s="199"/>
      <c r="Y48" s="199"/>
      <c r="Z48" s="199"/>
      <c r="AA48" s="199"/>
      <c r="AB48" s="199"/>
      <c r="AC48" s="199"/>
      <c r="AD48" s="199"/>
      <c r="AE48" s="199"/>
      <c r="AF48" s="199"/>
      <c r="AG48" s="199"/>
      <c r="AH48" s="199"/>
      <c r="AI48" s="199"/>
      <c r="AJ48" s="200"/>
      <c r="AK48" s="200"/>
    </row>
    <row r="49" spans="1:37">
      <c r="B49" s="32" t="s">
        <v>286</v>
      </c>
      <c r="C49" s="201">
        <f t="shared" ref="C49:K49" si="52">C46-C51</f>
        <v>-111.20000000000005</v>
      </c>
      <c r="D49" s="201">
        <f t="shared" si="52"/>
        <v>-119</v>
      </c>
      <c r="E49" s="201">
        <f t="shared" si="52"/>
        <v>-941</v>
      </c>
      <c r="F49" s="201">
        <f t="shared" si="52"/>
        <v>437</v>
      </c>
      <c r="G49" s="201">
        <f t="shared" si="52"/>
        <v>-570</v>
      </c>
      <c r="H49" s="201">
        <f t="shared" si="52"/>
        <v>-6420</v>
      </c>
      <c r="I49" s="201">
        <f t="shared" si="52"/>
        <v>103</v>
      </c>
      <c r="J49" s="201">
        <f t="shared" si="52"/>
        <v>1603</v>
      </c>
      <c r="K49" s="201">
        <f t="shared" si="52"/>
        <v>422</v>
      </c>
      <c r="L49" s="204">
        <f>L31+L61</f>
        <v>0</v>
      </c>
      <c r="M49" s="204">
        <f>M31+M61</f>
        <v>0</v>
      </c>
      <c r="N49" s="204">
        <f>N31+N61</f>
        <v>0</v>
      </c>
      <c r="O49" s="204">
        <f>O31+O61</f>
        <v>0</v>
      </c>
      <c r="P49" s="204">
        <f>P31+P61</f>
        <v>0</v>
      </c>
      <c r="Q49" s="204"/>
      <c r="R49" s="201">
        <f>R46-R51</f>
        <v>102.89999999999986</v>
      </c>
      <c r="S49" s="201">
        <f t="shared" ref="S49:AI49" si="53">S46-S51</f>
        <v>-139.39999999999998</v>
      </c>
      <c r="T49" s="201">
        <f t="shared" si="53"/>
        <v>-124.14635718749992</v>
      </c>
      <c r="U49" s="201">
        <f t="shared" si="53"/>
        <v>5.1463571874999161</v>
      </c>
      <c r="V49" s="201">
        <f t="shared" si="53"/>
        <v>-136.59999999999991</v>
      </c>
      <c r="W49" s="201">
        <f t="shared" si="53"/>
        <v>-804.40000000000009</v>
      </c>
      <c r="X49" s="201">
        <f t="shared" si="53"/>
        <v>91.700000000000045</v>
      </c>
      <c r="Y49" s="201">
        <f t="shared" si="53"/>
        <v>345.29999999999995</v>
      </c>
      <c r="Z49" s="201">
        <f t="shared" si="53"/>
        <v>-285</v>
      </c>
      <c r="AA49" s="201">
        <f t="shared" si="53"/>
        <v>-285</v>
      </c>
      <c r="AB49" s="201">
        <f t="shared" si="53"/>
        <v>0</v>
      </c>
      <c r="AC49" s="201">
        <f t="shared" si="53"/>
        <v>-6420</v>
      </c>
      <c r="AD49" s="201">
        <f t="shared" si="53"/>
        <v>62</v>
      </c>
      <c r="AE49" s="201">
        <f t="shared" si="53"/>
        <v>41</v>
      </c>
      <c r="AF49" s="201">
        <f t="shared" si="53"/>
        <v>1710</v>
      </c>
      <c r="AG49" s="201">
        <f t="shared" si="53"/>
        <v>-107</v>
      </c>
      <c r="AH49" s="201">
        <f t="shared" si="53"/>
        <v>0</v>
      </c>
      <c r="AI49" s="201">
        <f t="shared" si="53"/>
        <v>422</v>
      </c>
      <c r="AJ49" s="147">
        <v>0</v>
      </c>
      <c r="AK49" s="155">
        <f>L49-AJ49</f>
        <v>0</v>
      </c>
    </row>
    <row r="50" spans="1:37">
      <c r="B50" s="32"/>
      <c r="C50" s="199"/>
      <c r="D50" s="199"/>
      <c r="E50" s="199"/>
      <c r="F50" s="199"/>
      <c r="G50" s="199"/>
      <c r="H50" s="199"/>
      <c r="I50" s="199"/>
      <c r="J50" s="199"/>
      <c r="K50" s="199"/>
      <c r="L50" s="200"/>
      <c r="M50" s="200"/>
      <c r="N50" s="200"/>
      <c r="O50" s="200"/>
      <c r="P50" s="200"/>
      <c r="Q50" s="200"/>
      <c r="R50" s="199"/>
      <c r="S50" s="199"/>
      <c r="T50" s="199"/>
      <c r="U50" s="199"/>
      <c r="V50" s="199"/>
      <c r="W50" s="199"/>
      <c r="X50" s="199"/>
      <c r="Y50" s="199"/>
      <c r="Z50" s="199"/>
      <c r="AA50" s="199"/>
      <c r="AB50" s="199"/>
      <c r="AC50" s="199"/>
      <c r="AD50" s="199"/>
      <c r="AE50" s="199"/>
      <c r="AF50" s="199"/>
      <c r="AG50" s="199"/>
      <c r="AH50" s="199"/>
      <c r="AI50" s="199"/>
      <c r="AJ50" s="200"/>
      <c r="AK50" s="200"/>
    </row>
    <row r="51" spans="1:37" s="7" customFormat="1">
      <c r="A51" s="24"/>
      <c r="B51" s="142" t="s">
        <v>287</v>
      </c>
      <c r="C51" s="230">
        <v>1533.5</v>
      </c>
      <c r="D51" s="230">
        <v>1724</v>
      </c>
      <c r="E51" s="230">
        <v>2692</v>
      </c>
      <c r="F51" s="230">
        <v>1165</v>
      </c>
      <c r="G51" s="230">
        <v>2074</v>
      </c>
      <c r="H51" s="230">
        <v>7934</v>
      </c>
      <c r="I51" s="230">
        <v>1618</v>
      </c>
      <c r="J51" s="230">
        <v>108</v>
      </c>
      <c r="K51" s="230">
        <v>963</v>
      </c>
      <c r="L51" s="202">
        <f>L46+L49</f>
        <v>1582.0032551932368</v>
      </c>
      <c r="M51" s="202">
        <f t="shared" ref="M51:P51" si="54">M46+M49</f>
        <v>1810.0858337425261</v>
      </c>
      <c r="N51" s="202">
        <f t="shared" si="54"/>
        <v>2058.0525678199701</v>
      </c>
      <c r="O51" s="202">
        <f t="shared" si="54"/>
        <v>2204.0295243865439</v>
      </c>
      <c r="P51" s="202">
        <f t="shared" si="54"/>
        <v>2355.7296219854734</v>
      </c>
      <c r="Q51" s="216"/>
      <c r="R51" s="202">
        <v>785.70000000000027</v>
      </c>
      <c r="S51" s="202">
        <f>C51-R51</f>
        <v>747.79999999999973</v>
      </c>
      <c r="T51" s="202">
        <v>1026.1463571874999</v>
      </c>
      <c r="U51" s="202">
        <f>D51-T51</f>
        <v>697.85364281250008</v>
      </c>
      <c r="V51" s="202">
        <v>1038.5999999999999</v>
      </c>
      <c r="W51" s="202">
        <f>E51-V51</f>
        <v>1653.4</v>
      </c>
      <c r="X51" s="202">
        <v>887</v>
      </c>
      <c r="Y51" s="202">
        <f>F51-X51</f>
        <v>278</v>
      </c>
      <c r="Z51" s="202">
        <v>1135</v>
      </c>
      <c r="AA51" s="202">
        <f>G51-Z51</f>
        <v>939</v>
      </c>
      <c r="AB51" s="202">
        <v>794.87310140119735</v>
      </c>
      <c r="AC51" s="202">
        <f>H51-AB51</f>
        <v>7139.1268985988027</v>
      </c>
      <c r="AD51" s="202">
        <v>845</v>
      </c>
      <c r="AE51" s="202">
        <f>I51-AD51</f>
        <v>773</v>
      </c>
      <c r="AF51" s="202">
        <v>-781</v>
      </c>
      <c r="AG51" s="202">
        <f>J51-AF51</f>
        <v>889</v>
      </c>
      <c r="AH51" s="202">
        <v>739</v>
      </c>
      <c r="AI51" s="202">
        <f>K51-AH51</f>
        <v>224</v>
      </c>
      <c r="AJ51" s="202">
        <f t="shared" ref="AJ51:AK51" si="55">L51-AI51</f>
        <v>1358.0032551932368</v>
      </c>
      <c r="AK51" s="202">
        <f t="shared" si="55"/>
        <v>452.08257854928934</v>
      </c>
    </row>
    <row r="52" spans="1:37" s="24" customFormat="1">
      <c r="B52" s="29" t="s">
        <v>265</v>
      </c>
      <c r="C52" s="217"/>
      <c r="D52" s="209">
        <f t="shared" ref="D52:K52" si="56">D51/C51-1</f>
        <v>0.12422562764916867</v>
      </c>
      <c r="E52" s="209">
        <f t="shared" si="56"/>
        <v>0.56148491879350337</v>
      </c>
      <c r="F52" s="209">
        <f t="shared" si="56"/>
        <v>-0.56723625557206536</v>
      </c>
      <c r="G52" s="209">
        <f t="shared" si="56"/>
        <v>0.78025751072961369</v>
      </c>
      <c r="H52" s="209">
        <f t="shared" si="56"/>
        <v>2.8254580520732882</v>
      </c>
      <c r="I52" s="209">
        <f t="shared" si="56"/>
        <v>-0.79606755734812196</v>
      </c>
      <c r="J52" s="209">
        <f t="shared" si="56"/>
        <v>-0.93325092707045731</v>
      </c>
      <c r="K52" s="209">
        <f t="shared" si="56"/>
        <v>7.9166666666666661</v>
      </c>
      <c r="L52" s="212"/>
      <c r="M52" s="212"/>
      <c r="N52" s="212"/>
      <c r="O52" s="212"/>
      <c r="P52" s="212"/>
      <c r="Q52" s="225"/>
      <c r="R52" s="217"/>
      <c r="S52" s="217"/>
      <c r="T52" s="209">
        <f t="shared" ref="T52:AI52" si="57">T51/R51-1</f>
        <v>0.30602820056955515</v>
      </c>
      <c r="U52" s="209">
        <f t="shared" si="57"/>
        <v>-6.6791063369215919E-2</v>
      </c>
      <c r="V52" s="209">
        <f t="shared" si="57"/>
        <v>1.2136322197384697E-2</v>
      </c>
      <c r="W52" s="209">
        <f t="shared" si="57"/>
        <v>1.3692646975896592</v>
      </c>
      <c r="X52" s="209">
        <f t="shared" si="57"/>
        <v>-0.14596572308877331</v>
      </c>
      <c r="Y52" s="209">
        <f t="shared" si="57"/>
        <v>-0.83186161848312568</v>
      </c>
      <c r="Z52" s="209">
        <f t="shared" si="57"/>
        <v>0.27959413754227724</v>
      </c>
      <c r="AA52" s="209">
        <f t="shared" si="57"/>
        <v>2.3776978417266186</v>
      </c>
      <c r="AB52" s="209">
        <f t="shared" si="57"/>
        <v>-0.29967127629850454</v>
      </c>
      <c r="AC52" s="209">
        <f t="shared" si="57"/>
        <v>6.6029040453661372</v>
      </c>
      <c r="AD52" s="209">
        <f t="shared" si="57"/>
        <v>6.3062768774587052E-2</v>
      </c>
      <c r="AE52" s="209">
        <f t="shared" si="57"/>
        <v>-0.89172345428518485</v>
      </c>
      <c r="AF52" s="209">
        <f t="shared" si="57"/>
        <v>-1.9242603550295858</v>
      </c>
      <c r="AG52" s="209">
        <f t="shared" si="57"/>
        <v>0.1500646830530401</v>
      </c>
      <c r="AH52" s="209">
        <f t="shared" si="57"/>
        <v>-1.9462227912932137</v>
      </c>
      <c r="AI52" s="209">
        <f t="shared" si="57"/>
        <v>-0.74803149606299213</v>
      </c>
      <c r="AJ52" s="212">
        <f t="shared" ref="AJ52:AK52" si="58">AJ51/AH51-1</f>
        <v>0.83762280810992795</v>
      </c>
      <c r="AK52" s="212">
        <f t="shared" si="58"/>
        <v>1.0182257970950417</v>
      </c>
    </row>
    <row r="53" spans="1:37">
      <c r="B53" s="32"/>
      <c r="C53" s="199"/>
      <c r="D53" s="199"/>
      <c r="E53" s="199"/>
      <c r="F53" s="199"/>
      <c r="G53" s="199"/>
      <c r="H53" s="199"/>
      <c r="I53" s="199"/>
      <c r="J53" s="199"/>
      <c r="K53" s="199"/>
      <c r="L53" s="200"/>
      <c r="M53" s="200"/>
      <c r="N53" s="200"/>
      <c r="O53" s="200"/>
      <c r="P53" s="200"/>
      <c r="Q53" s="200"/>
      <c r="R53" s="199"/>
      <c r="S53" s="199"/>
      <c r="T53" s="199"/>
      <c r="U53" s="199"/>
      <c r="V53" s="199"/>
      <c r="W53" s="199"/>
      <c r="X53" s="199"/>
      <c r="Y53" s="199"/>
      <c r="Z53" s="199"/>
      <c r="AA53" s="199"/>
      <c r="AB53" s="199"/>
      <c r="AC53" s="199"/>
      <c r="AD53" s="199"/>
      <c r="AE53" s="199"/>
      <c r="AF53" s="199"/>
      <c r="AG53" s="199"/>
      <c r="AH53" s="199"/>
      <c r="AI53" s="199"/>
      <c r="AJ53" s="200"/>
      <c r="AK53" s="200"/>
    </row>
    <row r="54" spans="1:37">
      <c r="A54" s="24" t="s">
        <v>417</v>
      </c>
      <c r="B54" s="32" t="s">
        <v>288</v>
      </c>
      <c r="C54" s="201">
        <f t="shared" ref="C54:K54" si="59">C76</f>
        <v>1287.3</v>
      </c>
      <c r="D54" s="201">
        <f t="shared" si="59"/>
        <v>1303.9000000000001</v>
      </c>
      <c r="E54" s="201">
        <f t="shared" si="59"/>
        <v>1313.7</v>
      </c>
      <c r="F54" s="201">
        <f t="shared" si="59"/>
        <v>1265.4000000000001</v>
      </c>
      <c r="G54" s="201">
        <f t="shared" si="59"/>
        <v>1262.5999999999999</v>
      </c>
      <c r="H54" s="201">
        <f t="shared" si="59"/>
        <v>1230.3</v>
      </c>
      <c r="I54" s="201">
        <f t="shared" si="59"/>
        <v>1223.0999999999999</v>
      </c>
      <c r="J54" s="201">
        <f t="shared" si="59"/>
        <v>1225.7</v>
      </c>
      <c r="K54" s="201">
        <f t="shared" si="59"/>
        <v>1228.7</v>
      </c>
      <c r="L54" s="204">
        <f>L76</f>
        <v>1230.7</v>
      </c>
      <c r="M54" s="204">
        <f t="shared" ref="M54:P54" si="60">M76</f>
        <v>1232.7</v>
      </c>
      <c r="N54" s="204">
        <f t="shared" si="60"/>
        <v>1234.7</v>
      </c>
      <c r="O54" s="204">
        <f t="shared" si="60"/>
        <v>1236.7</v>
      </c>
      <c r="P54" s="204">
        <f t="shared" si="60"/>
        <v>1238.7</v>
      </c>
      <c r="Q54" s="204"/>
      <c r="R54" s="201">
        <f>R76</f>
        <v>1282.0999999999999</v>
      </c>
      <c r="S54" s="201">
        <f t="shared" ref="S54:AC54" si="61">S76</f>
        <v>1287.3</v>
      </c>
      <c r="T54" s="201">
        <f t="shared" si="61"/>
        <v>1299.5999999999999</v>
      </c>
      <c r="U54" s="201">
        <f t="shared" si="61"/>
        <v>1303.9000000000001</v>
      </c>
      <c r="V54" s="201">
        <f t="shared" si="61"/>
        <v>1313.4</v>
      </c>
      <c r="W54" s="201">
        <f t="shared" si="61"/>
        <v>1313.7</v>
      </c>
      <c r="X54" s="201">
        <f t="shared" si="61"/>
        <v>1268</v>
      </c>
      <c r="Y54" s="201">
        <f t="shared" si="61"/>
        <v>1265.4000000000001</v>
      </c>
      <c r="Z54" s="201">
        <f t="shared" si="61"/>
        <v>1264.2</v>
      </c>
      <c r="AA54" s="201">
        <f t="shared" si="61"/>
        <v>1262.5999999999999</v>
      </c>
      <c r="AB54" s="201">
        <f t="shared" si="61"/>
        <v>1230.3</v>
      </c>
      <c r="AC54" s="201">
        <f t="shared" si="61"/>
        <v>1230.3</v>
      </c>
      <c r="AD54" s="201">
        <f t="shared" ref="AD54:AK54" si="62">AD76</f>
        <v>1243.5</v>
      </c>
      <c r="AE54" s="201">
        <f t="shared" si="62"/>
        <v>1223.0999999999999</v>
      </c>
      <c r="AF54" s="201">
        <f t="shared" si="62"/>
        <v>1218.7</v>
      </c>
      <c r="AG54" s="201">
        <f t="shared" si="62"/>
        <v>1225.7</v>
      </c>
      <c r="AH54" s="201">
        <f t="shared" si="62"/>
        <v>1227.0999999999999</v>
      </c>
      <c r="AI54" s="201">
        <f t="shared" si="62"/>
        <v>1228.7</v>
      </c>
      <c r="AJ54" s="204">
        <f t="shared" si="62"/>
        <v>1229.7</v>
      </c>
      <c r="AK54" s="204">
        <f t="shared" si="62"/>
        <v>1230.7</v>
      </c>
    </row>
    <row r="55" spans="1:37">
      <c r="B55" s="32"/>
      <c r="C55" s="199"/>
      <c r="D55" s="199"/>
      <c r="E55" s="199"/>
      <c r="F55" s="199"/>
      <c r="G55" s="199"/>
      <c r="H55" s="199"/>
      <c r="I55" s="199"/>
      <c r="J55" s="199"/>
      <c r="K55" s="199"/>
      <c r="L55" s="200"/>
      <c r="M55" s="200"/>
      <c r="N55" s="200"/>
      <c r="O55" s="200"/>
      <c r="P55" s="200"/>
      <c r="Q55" s="200"/>
      <c r="R55" s="199"/>
      <c r="S55" s="199"/>
      <c r="T55" s="199"/>
      <c r="U55" s="199"/>
      <c r="V55" s="199"/>
      <c r="W55" s="199"/>
      <c r="X55" s="199"/>
      <c r="Y55" s="199"/>
      <c r="Z55" s="199"/>
      <c r="AA55" s="199"/>
      <c r="AB55" s="199"/>
      <c r="AC55" s="199"/>
      <c r="AD55" s="199"/>
      <c r="AE55" s="199"/>
      <c r="AF55" s="199"/>
      <c r="AG55" s="199"/>
      <c r="AH55" s="199"/>
      <c r="AI55" s="199"/>
      <c r="AJ55" s="200"/>
      <c r="AK55" s="200"/>
    </row>
    <row r="56" spans="1:37" s="7" customFormat="1">
      <c r="A56" s="24" t="s">
        <v>218</v>
      </c>
      <c r="B56" s="142" t="s">
        <v>289</v>
      </c>
      <c r="C56" s="202">
        <f t="shared" ref="C56:J56" si="63">C46/C54</f>
        <v>1.1048706595199254</v>
      </c>
      <c r="D56" s="236">
        <f t="shared" si="63"/>
        <v>1.2309226167650893</v>
      </c>
      <c r="E56" s="236">
        <f t="shared" si="63"/>
        <v>1.332876608053589</v>
      </c>
      <c r="F56" s="236">
        <f t="shared" si="63"/>
        <v>1.2660028449502132</v>
      </c>
      <c r="G56" s="236">
        <f t="shared" si="63"/>
        <v>1.1911927768097577</v>
      </c>
      <c r="H56" s="236">
        <f t="shared" si="63"/>
        <v>1.2305941640250346</v>
      </c>
      <c r="I56" s="236">
        <f t="shared" si="63"/>
        <v>1.4070803695527758</v>
      </c>
      <c r="J56" s="236">
        <f t="shared" si="63"/>
        <v>1.3959370155829323</v>
      </c>
      <c r="K56" s="236">
        <f>K46/K54</f>
        <v>1.1272076178074386</v>
      </c>
      <c r="L56" s="236">
        <f>L46/L54</f>
        <v>1.2854499514042714</v>
      </c>
      <c r="M56" s="236">
        <f t="shared" ref="M56:P56" si="64">M46/M54</f>
        <v>1.4683912012188902</v>
      </c>
      <c r="N56" s="236">
        <f t="shared" si="64"/>
        <v>1.6668442276018223</v>
      </c>
      <c r="O56" s="236">
        <f t="shared" si="64"/>
        <v>1.782186079393987</v>
      </c>
      <c r="P56" s="236">
        <f t="shared" si="64"/>
        <v>1.9017757503717392</v>
      </c>
      <c r="Q56" s="216"/>
      <c r="R56" s="236">
        <f>R46/R54</f>
        <v>0.69308166289681006</v>
      </c>
      <c r="S56" s="236">
        <f t="shared" ref="S56:AI56" si="65">S46/S54</f>
        <v>0.47261710556979708</v>
      </c>
      <c r="T56" s="236">
        <f t="shared" si="65"/>
        <v>0.69405971068020933</v>
      </c>
      <c r="U56" s="236">
        <f t="shared" si="65"/>
        <v>0.53915177544290205</v>
      </c>
      <c r="V56" s="236">
        <f t="shared" si="65"/>
        <v>0.68676716917922942</v>
      </c>
      <c r="W56" s="236">
        <f t="shared" si="65"/>
        <v>0.64626627083809085</v>
      </c>
      <c r="X56" s="236">
        <f t="shared" si="65"/>
        <v>0.77184542586750793</v>
      </c>
      <c r="Y56" s="236">
        <f t="shared" si="65"/>
        <v>0.49257151888730827</v>
      </c>
      <c r="Z56" s="236">
        <f t="shared" si="65"/>
        <v>0.67236196804303117</v>
      </c>
      <c r="AA56" s="236">
        <f t="shared" si="65"/>
        <v>0.51797877395849834</v>
      </c>
      <c r="AB56" s="236">
        <f t="shared" si="65"/>
        <v>0.64608071316036531</v>
      </c>
      <c r="AC56" s="236">
        <f t="shared" si="65"/>
        <v>0.58451345086466933</v>
      </c>
      <c r="AD56" s="236">
        <f t="shared" si="65"/>
        <v>0.72939284278246885</v>
      </c>
      <c r="AE56" s="236">
        <f t="shared" si="65"/>
        <v>0.66552203417545586</v>
      </c>
      <c r="AF56" s="236">
        <f t="shared" si="65"/>
        <v>0.76228768359727572</v>
      </c>
      <c r="AG56" s="236">
        <f t="shared" si="65"/>
        <v>0.63800277392510396</v>
      </c>
      <c r="AH56" s="236">
        <f t="shared" si="65"/>
        <v>0.60223290685355724</v>
      </c>
      <c r="AI56" s="236">
        <f t="shared" si="65"/>
        <v>0.52575893220476921</v>
      </c>
      <c r="AJ56" s="236">
        <f t="shared" ref="AJ56:AK56" si="66">AJ46/AJ54</f>
        <v>0.66295534661660027</v>
      </c>
      <c r="AK56" s="236">
        <f t="shared" si="66"/>
        <v>0.62303328630763255</v>
      </c>
    </row>
    <row r="57" spans="1:37" s="24" customFormat="1">
      <c r="A57" s="24" t="s">
        <v>439</v>
      </c>
      <c r="B57" s="29" t="s">
        <v>265</v>
      </c>
      <c r="C57" s="217"/>
      <c r="D57" s="209">
        <f t="shared" ref="D57:K57" si="67">D56/C56-1</f>
        <v>0.11408752342100792</v>
      </c>
      <c r="E57" s="209">
        <f t="shared" si="67"/>
        <v>8.2827295477305052E-2</v>
      </c>
      <c r="F57" s="209">
        <f t="shared" si="67"/>
        <v>-5.0172508617307154E-2</v>
      </c>
      <c r="G57" s="209">
        <f t="shared" si="67"/>
        <v>-5.9091548205326139E-2</v>
      </c>
      <c r="H57" s="209">
        <f t="shared" si="67"/>
        <v>3.3077254985378168E-2</v>
      </c>
      <c r="I57" s="209">
        <f t="shared" si="67"/>
        <v>0.14341544165177011</v>
      </c>
      <c r="J57" s="209">
        <f t="shared" si="67"/>
        <v>-7.9194864849015945E-3</v>
      </c>
      <c r="K57" s="209">
        <f t="shared" si="67"/>
        <v>-0.19250825415162043</v>
      </c>
      <c r="L57" s="212">
        <f t="shared" ref="L57:P57" si="68">L56/K56-1</f>
        <v>0.14038437205085086</v>
      </c>
      <c r="M57" s="212">
        <f t="shared" si="68"/>
        <v>0.14231689815287418</v>
      </c>
      <c r="N57" s="212">
        <f t="shared" si="68"/>
        <v>0.13514996972073856</v>
      </c>
      <c r="O57" s="212">
        <f t="shared" si="68"/>
        <v>6.919773898615178E-2</v>
      </c>
      <c r="P57" s="212">
        <f t="shared" si="68"/>
        <v>6.71027971548388E-2</v>
      </c>
      <c r="Q57" s="225"/>
      <c r="R57" s="217"/>
      <c r="S57" s="217"/>
      <c r="T57" s="209">
        <f t="shared" ref="T57:AI57" si="69">T56/R56-1</f>
        <v>1.4111580723568107E-3</v>
      </c>
      <c r="U57" s="209">
        <f t="shared" si="69"/>
        <v>0.14077922506188045</v>
      </c>
      <c r="V57" s="209">
        <f t="shared" si="69"/>
        <v>-1.0507080858839779E-2</v>
      </c>
      <c r="W57" s="209">
        <f t="shared" si="69"/>
        <v>0.19867224828703645</v>
      </c>
      <c r="X57" s="209">
        <f t="shared" si="69"/>
        <v>0.12388224205585918</v>
      </c>
      <c r="Y57" s="209">
        <f t="shared" si="69"/>
        <v>-0.23781954727649368</v>
      </c>
      <c r="Z57" s="209">
        <f t="shared" si="69"/>
        <v>-0.12889038982470269</v>
      </c>
      <c r="AA57" s="209">
        <f t="shared" si="69"/>
        <v>5.1580844805204418E-2</v>
      </c>
      <c r="AB57" s="209">
        <f t="shared" si="69"/>
        <v>-3.9087955791372031E-2</v>
      </c>
      <c r="AC57" s="209">
        <f t="shared" si="69"/>
        <v>0.12845058572130186</v>
      </c>
      <c r="AD57" s="209">
        <f t="shared" si="69"/>
        <v>0.12895003352533818</v>
      </c>
      <c r="AE57" s="209">
        <f t="shared" si="69"/>
        <v>0.13859147841841923</v>
      </c>
      <c r="AF57" s="209">
        <f t="shared" si="69"/>
        <v>4.5098935560322406E-2</v>
      </c>
      <c r="AG57" s="209">
        <f t="shared" si="69"/>
        <v>-4.1349886010080383E-2</v>
      </c>
      <c r="AH57" s="209">
        <f t="shared" si="69"/>
        <v>-0.20996636858726558</v>
      </c>
      <c r="AI57" s="209">
        <f t="shared" si="69"/>
        <v>-0.17593002147904646</v>
      </c>
      <c r="AJ57" s="212">
        <f t="shared" ref="AJ57:AK57" si="70">AJ56/AH56-1</f>
        <v>0.10082883062683368</v>
      </c>
      <c r="AK57" s="212">
        <f t="shared" si="70"/>
        <v>0.18501702613961024</v>
      </c>
    </row>
    <row r="58" spans="1:37">
      <c r="B58" s="32"/>
      <c r="C58" s="199"/>
      <c r="D58" s="199"/>
      <c r="E58" s="199"/>
      <c r="F58" s="199"/>
      <c r="G58" s="199"/>
      <c r="H58" s="199"/>
      <c r="I58" s="199"/>
      <c r="J58" s="199"/>
      <c r="K58" s="199"/>
      <c r="L58" s="200"/>
      <c r="M58" s="200"/>
      <c r="N58" s="200"/>
      <c r="O58" s="200"/>
      <c r="P58" s="200"/>
      <c r="Q58" s="200"/>
      <c r="R58" s="199"/>
      <c r="S58" s="199"/>
      <c r="T58" s="199"/>
      <c r="U58" s="199"/>
      <c r="V58" s="199"/>
      <c r="W58" s="199"/>
      <c r="X58" s="199"/>
      <c r="Y58" s="199"/>
      <c r="Z58" s="199"/>
      <c r="AA58" s="199"/>
      <c r="AB58" s="199"/>
      <c r="AC58" s="199"/>
      <c r="AD58" s="199"/>
      <c r="AE58" s="199"/>
      <c r="AF58" s="199"/>
      <c r="AG58" s="199"/>
      <c r="AH58" s="199"/>
      <c r="AI58" s="199"/>
      <c r="AJ58" s="200"/>
      <c r="AK58" s="200"/>
    </row>
    <row r="59" spans="1:37">
      <c r="B59" s="25" t="s">
        <v>290</v>
      </c>
      <c r="C59" s="199"/>
      <c r="D59" s="199"/>
      <c r="E59" s="199"/>
      <c r="F59" s="199"/>
      <c r="G59" s="199"/>
      <c r="H59" s="199"/>
      <c r="I59" s="199"/>
      <c r="J59" s="199"/>
      <c r="K59" s="199"/>
      <c r="L59" s="200"/>
      <c r="M59" s="200"/>
      <c r="N59" s="200"/>
      <c r="O59" s="200"/>
      <c r="P59" s="200"/>
      <c r="Q59" s="200"/>
      <c r="R59" s="199"/>
      <c r="S59" s="199"/>
      <c r="T59" s="199"/>
      <c r="U59" s="199"/>
      <c r="V59" s="199"/>
      <c r="W59" s="199"/>
      <c r="X59" s="199"/>
      <c r="Y59" s="199"/>
      <c r="Z59" s="199"/>
      <c r="AA59" s="199"/>
      <c r="AB59" s="199"/>
      <c r="AC59" s="199"/>
      <c r="AD59" s="199"/>
      <c r="AE59" s="199"/>
      <c r="AF59" s="199"/>
      <c r="AG59" s="199"/>
      <c r="AH59" s="199"/>
      <c r="AI59" s="199"/>
      <c r="AJ59" s="200"/>
      <c r="AK59" s="200"/>
    </row>
    <row r="60" spans="1:37" s="7" customFormat="1">
      <c r="A60" s="24"/>
      <c r="B60" s="25" t="s">
        <v>283</v>
      </c>
      <c r="C60" s="237">
        <f t="shared" ref="C60:K60" si="71">C42</f>
        <v>-650.4</v>
      </c>
      <c r="D60" s="237">
        <f t="shared" si="71"/>
        <v>-718</v>
      </c>
      <c r="E60" s="237">
        <f t="shared" si="71"/>
        <v>-779</v>
      </c>
      <c r="F60" s="237">
        <f t="shared" si="71"/>
        <v>-730</v>
      </c>
      <c r="G60" s="237">
        <f t="shared" si="71"/>
        <v>-647</v>
      </c>
      <c r="H60" s="237">
        <f t="shared" si="71"/>
        <v>-566</v>
      </c>
      <c r="I60" s="237">
        <f t="shared" si="71"/>
        <v>-707</v>
      </c>
      <c r="J60" s="237">
        <f t="shared" si="71"/>
        <v>-763</v>
      </c>
      <c r="K60" s="237">
        <f t="shared" si="71"/>
        <v>-568</v>
      </c>
      <c r="L60" s="238">
        <f>L70*-L65</f>
        <v>-664.13224294792508</v>
      </c>
      <c r="M60" s="238">
        <f t="shared" ref="M60:P61" si="72">M70*-M65</f>
        <v>-760.4914546536703</v>
      </c>
      <c r="N60" s="238">
        <f t="shared" si="72"/>
        <v>-865.25122708752656</v>
      </c>
      <c r="O60" s="238">
        <f t="shared" si="72"/>
        <v>-926.92285738663361</v>
      </c>
      <c r="P60" s="238">
        <f t="shared" si="72"/>
        <v>-991.01237230396237</v>
      </c>
      <c r="Q60" s="238"/>
      <c r="R60" s="237">
        <f t="shared" ref="R60:AI60" si="73">R42</f>
        <v>-368.3</v>
      </c>
      <c r="S60" s="237">
        <f t="shared" si="73"/>
        <v>-282.09999999999997</v>
      </c>
      <c r="T60" s="237">
        <f t="shared" si="73"/>
        <v>-404</v>
      </c>
      <c r="U60" s="237">
        <f t="shared" si="73"/>
        <v>-314</v>
      </c>
      <c r="V60" s="237">
        <f t="shared" si="73"/>
        <v>-404</v>
      </c>
      <c r="W60" s="237">
        <f t="shared" si="73"/>
        <v>-375</v>
      </c>
      <c r="X60" s="237">
        <f t="shared" si="73"/>
        <v>-429.3</v>
      </c>
      <c r="Y60" s="237">
        <f t="shared" si="73"/>
        <v>-300.7</v>
      </c>
      <c r="Z60" s="237">
        <f t="shared" si="73"/>
        <v>-372</v>
      </c>
      <c r="AA60" s="237">
        <f t="shared" si="73"/>
        <v>-275</v>
      </c>
      <c r="AB60" s="237">
        <f t="shared" si="73"/>
        <v>-279</v>
      </c>
      <c r="AC60" s="237">
        <f t="shared" si="73"/>
        <v>-287</v>
      </c>
      <c r="AD60" s="237">
        <f t="shared" si="73"/>
        <v>-380</v>
      </c>
      <c r="AE60" s="237">
        <f t="shared" si="73"/>
        <v>-327</v>
      </c>
      <c r="AF60" s="237">
        <f t="shared" si="73"/>
        <v>-397</v>
      </c>
      <c r="AG60" s="237">
        <f t="shared" si="73"/>
        <v>-366</v>
      </c>
      <c r="AH60" s="237">
        <f t="shared" si="73"/>
        <v>-294</v>
      </c>
      <c r="AI60" s="237">
        <f t="shared" si="73"/>
        <v>-274</v>
      </c>
      <c r="AJ60" s="238">
        <f>AJ70*-AJ65</f>
        <v>-341.54563967611045</v>
      </c>
      <c r="AK60" s="155">
        <f t="shared" ref="AK60:AK62" si="74">L60-AJ60</f>
        <v>-322.58660327181462</v>
      </c>
    </row>
    <row r="61" spans="1:37">
      <c r="B61" s="32" t="s">
        <v>286</v>
      </c>
      <c r="C61" s="213">
        <f t="shared" ref="C61:K61" si="75">C62-C60</f>
        <v>0</v>
      </c>
      <c r="D61" s="213">
        <f t="shared" si="75"/>
        <v>0</v>
      </c>
      <c r="E61" s="213">
        <f t="shared" si="75"/>
        <v>111</v>
      </c>
      <c r="F61" s="213">
        <f t="shared" si="75"/>
        <v>154</v>
      </c>
      <c r="G61" s="213">
        <f t="shared" si="75"/>
        <v>43</v>
      </c>
      <c r="H61" s="213">
        <f t="shared" si="75"/>
        <v>32</v>
      </c>
      <c r="I61" s="213">
        <f t="shared" si="75"/>
        <v>14</v>
      </c>
      <c r="J61" s="213">
        <f t="shared" si="75"/>
        <v>4</v>
      </c>
      <c r="K61" s="213">
        <f t="shared" si="75"/>
        <v>147</v>
      </c>
      <c r="L61" s="214">
        <f>L71*-L66</f>
        <v>0</v>
      </c>
      <c r="M61" s="214">
        <f t="shared" si="72"/>
        <v>0</v>
      </c>
      <c r="N61" s="214">
        <f t="shared" si="72"/>
        <v>0</v>
      </c>
      <c r="O61" s="214">
        <f t="shared" si="72"/>
        <v>0</v>
      </c>
      <c r="P61" s="214">
        <f t="shared" si="72"/>
        <v>0</v>
      </c>
      <c r="Q61" s="214"/>
      <c r="R61" s="213">
        <f t="shared" ref="R61:AI61" si="76">R62-R60</f>
        <v>0</v>
      </c>
      <c r="S61" s="213">
        <f t="shared" si="76"/>
        <v>-107.90000000000003</v>
      </c>
      <c r="T61" s="213">
        <f t="shared" si="76"/>
        <v>0</v>
      </c>
      <c r="U61" s="213">
        <f t="shared" si="76"/>
        <v>-76</v>
      </c>
      <c r="V61" s="213">
        <f t="shared" si="76"/>
        <v>-8</v>
      </c>
      <c r="W61" s="213">
        <f t="shared" si="76"/>
        <v>-15</v>
      </c>
      <c r="X61" s="213">
        <f t="shared" si="76"/>
        <v>39.300000000000011</v>
      </c>
      <c r="Y61" s="213">
        <f t="shared" si="76"/>
        <v>-89.300000000000011</v>
      </c>
      <c r="Z61" s="213">
        <f t="shared" si="76"/>
        <v>-133</v>
      </c>
      <c r="AA61" s="213">
        <f t="shared" si="76"/>
        <v>176</v>
      </c>
      <c r="AB61" s="213">
        <f t="shared" si="76"/>
        <v>26</v>
      </c>
      <c r="AC61" s="213">
        <f t="shared" si="76"/>
        <v>6</v>
      </c>
      <c r="AD61" s="213">
        <f t="shared" si="76"/>
        <v>14</v>
      </c>
      <c r="AE61" s="213">
        <f t="shared" si="76"/>
        <v>0</v>
      </c>
      <c r="AF61" s="213">
        <f t="shared" si="76"/>
        <v>4</v>
      </c>
      <c r="AG61" s="213">
        <f t="shared" si="76"/>
        <v>0</v>
      </c>
      <c r="AH61" s="213">
        <f t="shared" si="76"/>
        <v>0</v>
      </c>
      <c r="AI61" s="213">
        <f t="shared" si="76"/>
        <v>147</v>
      </c>
      <c r="AJ61" s="214">
        <f>AJ71*-AJ66</f>
        <v>0</v>
      </c>
      <c r="AK61" s="155">
        <f t="shared" si="74"/>
        <v>0</v>
      </c>
    </row>
    <row r="62" spans="1:37" s="7" customFormat="1">
      <c r="A62" s="24"/>
      <c r="B62" s="25" t="s">
        <v>291</v>
      </c>
      <c r="C62" s="107">
        <v>-650.4</v>
      </c>
      <c r="D62" s="107">
        <v>-718</v>
      </c>
      <c r="E62" s="107">
        <v>-668</v>
      </c>
      <c r="F62" s="107">
        <v>-576</v>
      </c>
      <c r="G62" s="107">
        <v>-604</v>
      </c>
      <c r="H62" s="107">
        <v>-534</v>
      </c>
      <c r="I62" s="107">
        <v>-693</v>
      </c>
      <c r="J62" s="107">
        <v>-759</v>
      </c>
      <c r="K62" s="107">
        <v>-421</v>
      </c>
      <c r="L62" s="239">
        <f>L60+L61</f>
        <v>-664.13224294792508</v>
      </c>
      <c r="M62" s="239">
        <f t="shared" ref="M62:P62" si="77">M60+M61</f>
        <v>-760.4914546536703</v>
      </c>
      <c r="N62" s="239">
        <f t="shared" si="77"/>
        <v>-865.25122708752656</v>
      </c>
      <c r="O62" s="239">
        <f t="shared" si="77"/>
        <v>-926.92285738663361</v>
      </c>
      <c r="P62" s="239">
        <f t="shared" si="77"/>
        <v>-991.01237230396237</v>
      </c>
      <c r="Q62" s="240"/>
      <c r="R62" s="107">
        <v>-368.3</v>
      </c>
      <c r="S62" s="228">
        <v>-390</v>
      </c>
      <c r="T62" s="107">
        <v>-404</v>
      </c>
      <c r="U62" s="228">
        <v>-390</v>
      </c>
      <c r="V62" s="107">
        <v>-412</v>
      </c>
      <c r="W62" s="228">
        <v>-390</v>
      </c>
      <c r="X62" s="107">
        <v>-390</v>
      </c>
      <c r="Y62" s="228">
        <v>-390</v>
      </c>
      <c r="Z62" s="107">
        <v>-505</v>
      </c>
      <c r="AA62" s="228">
        <f>G62-Z62</f>
        <v>-99</v>
      </c>
      <c r="AB62" s="107">
        <v>-253</v>
      </c>
      <c r="AC62" s="228">
        <f>H62-AB62</f>
        <v>-281</v>
      </c>
      <c r="AD62" s="107">
        <v>-366</v>
      </c>
      <c r="AE62" s="228">
        <f>I62-AD62</f>
        <v>-327</v>
      </c>
      <c r="AF62" s="107">
        <v>-393</v>
      </c>
      <c r="AG62" s="228">
        <f>J62-AF62</f>
        <v>-366</v>
      </c>
      <c r="AH62" s="107">
        <v>-294</v>
      </c>
      <c r="AI62" s="228">
        <f>K62-AH62</f>
        <v>-127</v>
      </c>
      <c r="AJ62" s="239">
        <f>AJ60+AJ61</f>
        <v>-341.54563967611045</v>
      </c>
      <c r="AK62" s="155">
        <f t="shared" si="74"/>
        <v>-322.58660327181462</v>
      </c>
    </row>
    <row r="63" spans="1:37">
      <c r="B63" s="32"/>
      <c r="C63" s="199"/>
      <c r="D63" s="199"/>
      <c r="E63" s="199"/>
      <c r="F63" s="199"/>
      <c r="G63" s="199"/>
      <c r="H63" s="199"/>
      <c r="I63" s="199"/>
      <c r="J63" s="199"/>
      <c r="K63" s="199"/>
      <c r="L63" s="200"/>
      <c r="M63" s="200"/>
      <c r="N63" s="200"/>
      <c r="O63" s="200"/>
      <c r="P63" s="200"/>
      <c r="Q63" s="200"/>
      <c r="R63" s="199"/>
      <c r="S63" s="199"/>
      <c r="T63" s="199"/>
      <c r="U63" s="199"/>
      <c r="V63" s="199"/>
      <c r="W63" s="199"/>
      <c r="X63" s="199"/>
      <c r="Y63" s="199"/>
      <c r="Z63" s="199"/>
      <c r="AA63" s="199"/>
      <c r="AB63" s="199"/>
      <c r="AC63" s="199"/>
      <c r="AD63" s="199"/>
      <c r="AE63" s="199"/>
      <c r="AF63" s="199"/>
      <c r="AG63" s="199"/>
      <c r="AH63" s="199"/>
      <c r="AI63" s="199"/>
      <c r="AJ63" s="200"/>
      <c r="AK63" s="200"/>
    </row>
    <row r="64" spans="1:37">
      <c r="B64" s="25" t="s">
        <v>292</v>
      </c>
      <c r="C64" s="199"/>
      <c r="D64" s="199"/>
      <c r="E64" s="199"/>
      <c r="F64" s="199"/>
      <c r="G64" s="199"/>
      <c r="H64" s="199"/>
      <c r="I64" s="199"/>
      <c r="J64" s="199"/>
      <c r="K64" s="199"/>
      <c r="L64" s="200"/>
      <c r="M64" s="200"/>
      <c r="N64" s="200"/>
      <c r="O64" s="200"/>
      <c r="P64" s="200"/>
      <c r="Q64" s="200"/>
      <c r="R64" s="199"/>
      <c r="S64" s="199"/>
      <c r="T64" s="199"/>
      <c r="U64" s="199"/>
      <c r="V64" s="199"/>
      <c r="W64" s="199"/>
      <c r="X64" s="199"/>
      <c r="Y64" s="199"/>
      <c r="Z64" s="199"/>
      <c r="AA64" s="199"/>
      <c r="AB64" s="199"/>
      <c r="AC64" s="199"/>
      <c r="AD64" s="199"/>
      <c r="AE64" s="199"/>
      <c r="AF64" s="199"/>
      <c r="AG64" s="199"/>
      <c r="AH64" s="199"/>
      <c r="AI64" s="199"/>
      <c r="AJ64" s="200"/>
      <c r="AK64" s="200"/>
    </row>
    <row r="65" spans="1:37" s="7" customFormat="1">
      <c r="A65" s="24"/>
      <c r="B65" s="25" t="s">
        <v>283</v>
      </c>
      <c r="C65" s="241">
        <f t="shared" ref="C65:K65" si="78">-C60/C70</f>
        <v>0.3049798368189065</v>
      </c>
      <c r="D65" s="241">
        <f t="shared" si="78"/>
        <v>0.29991645781119464</v>
      </c>
      <c r="E65" s="241">
        <f t="shared" si="78"/>
        <v>0.30007704160246534</v>
      </c>
      <c r="F65" s="241">
        <f t="shared" si="78"/>
        <v>0.30723905723905726</v>
      </c>
      <c r="G65" s="241">
        <f t="shared" si="78"/>
        <v>0.300790330079033</v>
      </c>
      <c r="H65" s="241">
        <f t="shared" si="78"/>
        <v>0.27081339712918662</v>
      </c>
      <c r="I65" s="241">
        <f t="shared" si="78"/>
        <v>0.2898728987289873</v>
      </c>
      <c r="J65" s="241">
        <f t="shared" si="78"/>
        <v>0.30728956906967381</v>
      </c>
      <c r="K65" s="241">
        <f t="shared" si="78"/>
        <v>0.29233144621718993</v>
      </c>
      <c r="L65" s="242">
        <v>0.29699999999999999</v>
      </c>
      <c r="M65" s="242">
        <v>0.29699999999999999</v>
      </c>
      <c r="N65" s="242">
        <v>0.29699999999999999</v>
      </c>
      <c r="O65" s="242">
        <v>0.29699999999999999</v>
      </c>
      <c r="P65" s="242">
        <v>0.29699999999999999</v>
      </c>
      <c r="Q65" s="243"/>
      <c r="R65" s="241">
        <f>-R60/R70</f>
        <v>0.30112010465211347</v>
      </c>
      <c r="S65" s="241">
        <f t="shared" ref="S65:AI65" si="79">-S60/S70</f>
        <v>0.28662873399715511</v>
      </c>
      <c r="T65" s="241">
        <f t="shared" si="79"/>
        <v>0.29970326409495551</v>
      </c>
      <c r="U65" s="241">
        <f t="shared" si="79"/>
        <v>0.30019120458891013</v>
      </c>
      <c r="V65" s="241">
        <f t="shared" si="79"/>
        <v>0.29970326409495551</v>
      </c>
      <c r="W65" s="241">
        <f t="shared" si="79"/>
        <v>0.30048076923076922</v>
      </c>
      <c r="X65" s="241">
        <f t="shared" si="79"/>
        <v>0.29545767377838955</v>
      </c>
      <c r="Y65" s="241">
        <f t="shared" si="79"/>
        <v>0.32578548212351027</v>
      </c>
      <c r="Z65" s="241">
        <f t="shared" si="79"/>
        <v>0.30417007358953391</v>
      </c>
      <c r="AA65" s="241">
        <f t="shared" si="79"/>
        <v>0.29633620689655171</v>
      </c>
      <c r="AB65" s="241">
        <f t="shared" si="79"/>
        <v>0.25908345155708035</v>
      </c>
      <c r="AC65" s="241">
        <f t="shared" si="79"/>
        <v>0.28328139386777029</v>
      </c>
      <c r="AD65" s="241">
        <f t="shared" si="79"/>
        <v>0.29434546862896976</v>
      </c>
      <c r="AE65" s="241">
        <f t="shared" si="79"/>
        <v>0.28484320557491288</v>
      </c>
      <c r="AF65" s="241">
        <f t="shared" si="79"/>
        <v>0.29760119940029983</v>
      </c>
      <c r="AG65" s="241">
        <f t="shared" si="79"/>
        <v>0.31853785900783288</v>
      </c>
      <c r="AH65" s="241">
        <f t="shared" si="79"/>
        <v>0.28405797101449276</v>
      </c>
      <c r="AI65" s="241">
        <f t="shared" si="79"/>
        <v>0.30176211453744495</v>
      </c>
      <c r="AJ65" s="242">
        <v>0.29499999999999998</v>
      </c>
      <c r="AK65" s="243">
        <f t="shared" ref="AK65" si="80">-AK60/AK70</f>
        <v>0.29914731374869513</v>
      </c>
    </row>
    <row r="66" spans="1:37">
      <c r="B66" s="32" t="s">
        <v>83</v>
      </c>
      <c r="C66" s="244">
        <f t="shared" ref="C66:K66" si="81">-C61/C71</f>
        <v>0</v>
      </c>
      <c r="D66" s="244">
        <f t="shared" si="81"/>
        <v>0</v>
      </c>
      <c r="E66" s="244">
        <f t="shared" si="81"/>
        <v>0.1069364161849711</v>
      </c>
      <c r="F66" s="244">
        <f t="shared" si="81"/>
        <v>0.1070931849791377</v>
      </c>
      <c r="G66" s="244">
        <f t="shared" si="81"/>
        <v>7.8899082568807344E-2</v>
      </c>
      <c r="H66" s="244">
        <f t="shared" si="81"/>
        <v>6.0037523452157598E-2</v>
      </c>
      <c r="I66" s="244">
        <f t="shared" si="81"/>
        <v>1.7283950617283949E-2</v>
      </c>
      <c r="J66" s="244">
        <f t="shared" si="81"/>
        <v>1.6906170752324597E-3</v>
      </c>
      <c r="K66" s="244">
        <f t="shared" si="81"/>
        <v>0.1484848484848485</v>
      </c>
      <c r="L66" s="242">
        <v>0.29699999999999999</v>
      </c>
      <c r="M66" s="242">
        <v>0.29699999999999999</v>
      </c>
      <c r="N66" s="242">
        <v>0.29699999999999999</v>
      </c>
      <c r="O66" s="242">
        <v>0.29699999999999999</v>
      </c>
      <c r="P66" s="242">
        <v>0.29699999999999999</v>
      </c>
      <c r="Q66" s="166"/>
      <c r="R66" s="244">
        <f>-R61/R71</f>
        <v>0</v>
      </c>
      <c r="S66" s="244">
        <f t="shared" ref="S66:AG66" si="82">-S61/S71</f>
        <v>-0.14310344827586219</v>
      </c>
      <c r="T66" s="244" t="e">
        <f t="shared" si="82"/>
        <v>#DIV/0!</v>
      </c>
      <c r="U66" s="244">
        <f t="shared" si="82"/>
        <v>-0.10584958217270195</v>
      </c>
      <c r="V66" s="244">
        <f t="shared" si="82"/>
        <v>0.30769230769230771</v>
      </c>
      <c r="W66" s="244">
        <f t="shared" si="82"/>
        <v>-1.4097744360902255E-2</v>
      </c>
      <c r="X66" s="244">
        <f t="shared" si="82"/>
        <v>0.3000000000000001</v>
      </c>
      <c r="Y66" s="244">
        <f t="shared" si="82"/>
        <v>-6.8324407039020665E-2</v>
      </c>
      <c r="Z66" s="244">
        <f t="shared" si="82"/>
        <v>0.29102844638949671</v>
      </c>
      <c r="AA66" s="244">
        <f t="shared" si="82"/>
        <v>0.17564870259481039</v>
      </c>
      <c r="AB66" s="244">
        <f t="shared" si="82"/>
        <v>0.17946740801798777</v>
      </c>
      <c r="AC66" s="244">
        <f t="shared" si="82"/>
        <v>1.5458861577646166E-2</v>
      </c>
      <c r="AD66" s="244">
        <f t="shared" si="82"/>
        <v>0.18421052631578946</v>
      </c>
      <c r="AE66" s="244">
        <f t="shared" si="82"/>
        <v>0</v>
      </c>
      <c r="AF66" s="244">
        <f t="shared" si="82"/>
        <v>2.3337222870478411E-3</v>
      </c>
      <c r="AG66" s="244">
        <f t="shared" si="82"/>
        <v>0</v>
      </c>
      <c r="AH66" s="244">
        <f t="shared" ref="AH66:AI66" si="83">-AH61/AH71</f>
        <v>0</v>
      </c>
      <c r="AI66" s="244">
        <f t="shared" si="83"/>
        <v>0.21120689655172414</v>
      </c>
      <c r="AJ66" s="245">
        <v>0.3</v>
      </c>
      <c r="AK66" s="166"/>
    </row>
    <row r="67" spans="1:37" s="7" customFormat="1">
      <c r="A67" s="24"/>
      <c r="B67" s="25" t="s">
        <v>291</v>
      </c>
      <c r="C67" s="241">
        <f t="shared" ref="C67:K67" si="84">-C62/C72</f>
        <v>0.45867418899858953</v>
      </c>
      <c r="D67" s="241">
        <f t="shared" si="84"/>
        <v>0.42840095465393796</v>
      </c>
      <c r="E67" s="241">
        <f t="shared" si="84"/>
        <v>0.42875481386392811</v>
      </c>
      <c r="F67" s="241">
        <f t="shared" si="84"/>
        <v>0.61407249466950964</v>
      </c>
      <c r="G67" s="241">
        <f t="shared" si="84"/>
        <v>0.37608966376089664</v>
      </c>
      <c r="H67" s="241">
        <f t="shared" si="84"/>
        <v>0.34296724470134876</v>
      </c>
      <c r="I67" s="241">
        <f t="shared" si="84"/>
        <v>0.425414364640884</v>
      </c>
      <c r="J67" s="241">
        <f t="shared" si="84"/>
        <v>6.4871794871794872</v>
      </c>
      <c r="K67" s="241">
        <f t="shared" si="84"/>
        <v>0.44176285414480587</v>
      </c>
      <c r="L67" s="243">
        <f>-L62/L72</f>
        <v>0.29699999999999999</v>
      </c>
      <c r="M67" s="243">
        <f t="shared" ref="M67:P67" si="85">-M62/M72</f>
        <v>0.29699999999999999</v>
      </c>
      <c r="N67" s="243">
        <f t="shared" si="85"/>
        <v>0.29699999999999999</v>
      </c>
      <c r="O67" s="243">
        <f t="shared" si="85"/>
        <v>0.29699999999999999</v>
      </c>
      <c r="P67" s="243">
        <f t="shared" si="85"/>
        <v>0.29699999999999999</v>
      </c>
      <c r="Q67" s="243"/>
      <c r="R67" s="241">
        <f t="shared" ref="R67:AB67" si="86">-R62/R72</f>
        <v>0.31006903519110962</v>
      </c>
      <c r="S67" s="241">
        <f t="shared" si="86"/>
        <v>1.6941789748045175</v>
      </c>
      <c r="T67" s="241">
        <f t="shared" si="86"/>
        <v>0.29970326409495551</v>
      </c>
      <c r="U67" s="241">
        <f t="shared" si="86"/>
        <v>1.1890243902439024</v>
      </c>
      <c r="V67" s="241">
        <f t="shared" si="86"/>
        <v>0.29985443959243085</v>
      </c>
      <c r="W67" s="241">
        <f t="shared" si="86"/>
        <v>2.1195652173913042</v>
      </c>
      <c r="X67" s="241">
        <f t="shared" si="86"/>
        <v>0.29500756429652042</v>
      </c>
      <c r="Y67" s="241">
        <f t="shared" si="86"/>
        <v>-1.015625</v>
      </c>
      <c r="Z67" s="241">
        <f t="shared" si="86"/>
        <v>0.30059523809523808</v>
      </c>
      <c r="AA67" s="241">
        <f t="shared" si="86"/>
        <v>-1.3378378378378379</v>
      </c>
      <c r="AB67" s="241">
        <f t="shared" si="86"/>
        <v>0.27145922746781115</v>
      </c>
      <c r="AC67" s="241">
        <f t="shared" ref="AC67:AG67" si="87">-AC62/AC72</f>
        <v>0.4496</v>
      </c>
      <c r="AD67" s="241">
        <f t="shared" si="87"/>
        <v>0.3012345679012346</v>
      </c>
      <c r="AE67" s="241">
        <f t="shared" si="87"/>
        <v>0.78985507246376807</v>
      </c>
      <c r="AF67" s="241">
        <f t="shared" si="87"/>
        <v>-1.0342105263157895</v>
      </c>
      <c r="AG67" s="241">
        <f t="shared" si="87"/>
        <v>0.73641851106639844</v>
      </c>
      <c r="AH67" s="241">
        <f t="shared" ref="AH67:AJ67" si="88">-AH62/AH72</f>
        <v>0.39676113360323889</v>
      </c>
      <c r="AI67" s="241">
        <f t="shared" si="88"/>
        <v>0.59905660377358494</v>
      </c>
      <c r="AJ67" s="243">
        <f t="shared" si="88"/>
        <v>0.29499999999999998</v>
      </c>
      <c r="AK67" s="243">
        <f t="shared" ref="AK67" si="89">-AK62/AK72</f>
        <v>0.29914731374869513</v>
      </c>
    </row>
    <row r="68" spans="1:37">
      <c r="B68" s="32"/>
      <c r="C68" s="199"/>
      <c r="D68" s="199"/>
      <c r="E68" s="199"/>
      <c r="F68" s="199"/>
      <c r="G68" s="199"/>
      <c r="H68" s="199"/>
      <c r="I68" s="199"/>
      <c r="J68" s="199"/>
      <c r="K68" s="199"/>
      <c r="L68" s="200"/>
      <c r="M68" s="200"/>
      <c r="N68" s="200"/>
      <c r="O68" s="200"/>
      <c r="P68" s="200"/>
      <c r="Q68" s="200"/>
      <c r="R68" s="199"/>
      <c r="S68" s="199"/>
      <c r="T68" s="199"/>
      <c r="U68" s="199"/>
      <c r="V68" s="199"/>
      <c r="W68" s="199"/>
      <c r="X68" s="199"/>
      <c r="Y68" s="199"/>
      <c r="Z68" s="199"/>
      <c r="AA68" s="199"/>
      <c r="AB68" s="199"/>
      <c r="AC68" s="199"/>
      <c r="AD68" s="199"/>
      <c r="AE68" s="199"/>
      <c r="AF68" s="199"/>
      <c r="AG68" s="199"/>
      <c r="AH68" s="199"/>
      <c r="AI68" s="199"/>
      <c r="AJ68" s="200"/>
      <c r="AK68" s="200"/>
    </row>
    <row r="69" spans="1:37">
      <c r="B69" s="25" t="s">
        <v>86</v>
      </c>
      <c r="C69" s="199"/>
      <c r="D69" s="199"/>
      <c r="E69" s="199"/>
      <c r="F69" s="199"/>
      <c r="G69" s="199"/>
      <c r="H69" s="199"/>
      <c r="I69" s="199"/>
      <c r="J69" s="199"/>
      <c r="K69" s="199"/>
      <c r="L69" s="200"/>
      <c r="M69" s="200"/>
      <c r="N69" s="200"/>
      <c r="O69" s="200"/>
      <c r="P69" s="200"/>
      <c r="Q69" s="200"/>
      <c r="R69" s="199"/>
      <c r="S69" s="199"/>
      <c r="T69" s="199"/>
      <c r="U69" s="199"/>
      <c r="V69" s="199"/>
      <c r="W69" s="199"/>
      <c r="X69" s="199"/>
      <c r="Y69" s="199"/>
      <c r="Z69" s="199"/>
      <c r="AA69" s="199"/>
      <c r="AB69" s="199"/>
      <c r="AC69" s="199"/>
      <c r="AD69" s="199"/>
      <c r="AE69" s="199"/>
      <c r="AF69" s="199"/>
      <c r="AG69" s="199"/>
      <c r="AH69" s="199"/>
      <c r="AI69" s="199"/>
      <c r="AJ69" s="200"/>
      <c r="AK69" s="200"/>
    </row>
    <row r="70" spans="1:37">
      <c r="B70" s="25" t="s">
        <v>282</v>
      </c>
      <c r="C70" s="215">
        <f t="shared" ref="C70:K70" si="90">C39</f>
        <v>2132.6</v>
      </c>
      <c r="D70" s="215">
        <f t="shared" si="90"/>
        <v>2394</v>
      </c>
      <c r="E70" s="215">
        <f t="shared" si="90"/>
        <v>2596</v>
      </c>
      <c r="F70" s="215">
        <f t="shared" si="90"/>
        <v>2376</v>
      </c>
      <c r="G70" s="215">
        <f t="shared" si="90"/>
        <v>2151</v>
      </c>
      <c r="H70" s="215">
        <f t="shared" si="90"/>
        <v>2090</v>
      </c>
      <c r="I70" s="215">
        <f t="shared" si="90"/>
        <v>2439</v>
      </c>
      <c r="J70" s="215">
        <f t="shared" si="90"/>
        <v>2483</v>
      </c>
      <c r="K70" s="215">
        <f t="shared" si="90"/>
        <v>1943</v>
      </c>
      <c r="L70" s="216">
        <f t="shared" ref="L70:P70" si="91">L39</f>
        <v>2236.1354981411619</v>
      </c>
      <c r="M70" s="216">
        <f t="shared" si="91"/>
        <v>2560.5772883961963</v>
      </c>
      <c r="N70" s="216">
        <f t="shared" si="91"/>
        <v>2913.3037949074969</v>
      </c>
      <c r="O70" s="216">
        <f t="shared" si="91"/>
        <v>3120.9523817731774</v>
      </c>
      <c r="P70" s="216">
        <f t="shared" si="91"/>
        <v>3336.7419942894358</v>
      </c>
      <c r="Q70" s="216"/>
      <c r="R70" s="215">
        <f t="shared" ref="R70:AJ70" si="92">R39</f>
        <v>1223.1000000000001</v>
      </c>
      <c r="S70" s="215">
        <f t="shared" si="92"/>
        <v>984.1999999999997</v>
      </c>
      <c r="T70" s="215">
        <f t="shared" si="92"/>
        <v>1348</v>
      </c>
      <c r="U70" s="215">
        <f t="shared" si="92"/>
        <v>1046</v>
      </c>
      <c r="V70" s="215">
        <f t="shared" si="92"/>
        <v>1348</v>
      </c>
      <c r="W70" s="215">
        <f t="shared" si="92"/>
        <v>1248</v>
      </c>
      <c r="X70" s="215">
        <f t="shared" si="92"/>
        <v>1453</v>
      </c>
      <c r="Y70" s="215">
        <f t="shared" si="92"/>
        <v>923</v>
      </c>
      <c r="Z70" s="215">
        <f t="shared" si="92"/>
        <v>1223</v>
      </c>
      <c r="AA70" s="215">
        <f t="shared" si="92"/>
        <v>928</v>
      </c>
      <c r="AB70" s="215">
        <f t="shared" si="92"/>
        <v>1076.8731014011973</v>
      </c>
      <c r="AC70" s="215">
        <f t="shared" si="92"/>
        <v>1013.1268985988027</v>
      </c>
      <c r="AD70" s="215">
        <f t="shared" si="92"/>
        <v>1291</v>
      </c>
      <c r="AE70" s="215">
        <f t="shared" si="92"/>
        <v>1148</v>
      </c>
      <c r="AF70" s="215">
        <f t="shared" si="92"/>
        <v>1334</v>
      </c>
      <c r="AG70" s="215">
        <f t="shared" si="92"/>
        <v>1149</v>
      </c>
      <c r="AH70" s="215">
        <f t="shared" si="92"/>
        <v>1035</v>
      </c>
      <c r="AI70" s="215">
        <f t="shared" si="92"/>
        <v>908</v>
      </c>
      <c r="AJ70" s="216">
        <f t="shared" si="92"/>
        <v>1157.7818294105439</v>
      </c>
      <c r="AK70" s="155">
        <f t="shared" ref="AK70:AK72" si="93">L70-AJ70</f>
        <v>1078.353668730618</v>
      </c>
    </row>
    <row r="71" spans="1:37">
      <c r="B71" s="32" t="s">
        <v>83</v>
      </c>
      <c r="C71" s="201">
        <f t="shared" ref="C71:K71" si="94">C72-C70</f>
        <v>-714.59999999999991</v>
      </c>
      <c r="D71" s="201">
        <f t="shared" si="94"/>
        <v>-718</v>
      </c>
      <c r="E71" s="201">
        <f t="shared" si="94"/>
        <v>-1038</v>
      </c>
      <c r="F71" s="201">
        <f t="shared" si="94"/>
        <v>-1438</v>
      </c>
      <c r="G71" s="201">
        <f t="shared" si="94"/>
        <v>-545</v>
      </c>
      <c r="H71" s="201">
        <f t="shared" si="94"/>
        <v>-533</v>
      </c>
      <c r="I71" s="201">
        <f t="shared" si="94"/>
        <v>-810</v>
      </c>
      <c r="J71" s="201">
        <f t="shared" si="94"/>
        <v>-2366</v>
      </c>
      <c r="K71" s="201">
        <f t="shared" si="94"/>
        <v>-990</v>
      </c>
      <c r="L71" s="204">
        <f>L31</f>
        <v>0</v>
      </c>
      <c r="M71" s="204">
        <f>M31</f>
        <v>0</v>
      </c>
      <c r="N71" s="204">
        <f>N31</f>
        <v>0</v>
      </c>
      <c r="O71" s="204">
        <f>O31</f>
        <v>0</v>
      </c>
      <c r="P71" s="204">
        <f>P31</f>
        <v>0</v>
      </c>
      <c r="Q71" s="204"/>
      <c r="R71" s="201">
        <f t="shared" ref="R71:AG71" si="95">R72-R70</f>
        <v>-35.300000000000182</v>
      </c>
      <c r="S71" s="201">
        <f t="shared" si="95"/>
        <v>-753.99999999999966</v>
      </c>
      <c r="T71" s="201">
        <f t="shared" si="95"/>
        <v>0</v>
      </c>
      <c r="U71" s="201">
        <f t="shared" si="95"/>
        <v>-718</v>
      </c>
      <c r="V71" s="201">
        <f t="shared" si="95"/>
        <v>26</v>
      </c>
      <c r="W71" s="201">
        <f t="shared" si="95"/>
        <v>-1064</v>
      </c>
      <c r="X71" s="201">
        <f t="shared" si="95"/>
        <v>-131</v>
      </c>
      <c r="Y71" s="201">
        <f t="shared" si="95"/>
        <v>-1307</v>
      </c>
      <c r="Z71" s="201">
        <f t="shared" si="95"/>
        <v>457</v>
      </c>
      <c r="AA71" s="201">
        <f t="shared" si="95"/>
        <v>-1002</v>
      </c>
      <c r="AB71" s="201">
        <f t="shared" si="95"/>
        <v>-144.87310140119735</v>
      </c>
      <c r="AC71" s="201">
        <f>H71-AB71</f>
        <v>-388.12689859880265</v>
      </c>
      <c r="AD71" s="201">
        <f t="shared" si="95"/>
        <v>-76</v>
      </c>
      <c r="AE71" s="201">
        <f t="shared" si="95"/>
        <v>-734</v>
      </c>
      <c r="AF71" s="201">
        <f t="shared" si="95"/>
        <v>-1714</v>
      </c>
      <c r="AG71" s="201">
        <f t="shared" si="95"/>
        <v>-652</v>
      </c>
      <c r="AH71" s="201">
        <f>AH72-AH70</f>
        <v>-294</v>
      </c>
      <c r="AI71" s="201">
        <f t="shared" ref="AI71" si="96">AI72-AI70</f>
        <v>-696</v>
      </c>
      <c r="AJ71" s="204">
        <f>AJ31</f>
        <v>0</v>
      </c>
      <c r="AK71" s="155">
        <f t="shared" si="93"/>
        <v>0</v>
      </c>
    </row>
    <row r="72" spans="1:37" s="7" customFormat="1">
      <c r="A72" s="24"/>
      <c r="B72" s="25" t="s">
        <v>87</v>
      </c>
      <c r="C72" s="40">
        <v>1418</v>
      </c>
      <c r="D72" s="40">
        <v>1676</v>
      </c>
      <c r="E72" s="40">
        <v>1558</v>
      </c>
      <c r="F72" s="40">
        <v>938</v>
      </c>
      <c r="G72" s="40">
        <v>1606</v>
      </c>
      <c r="H72" s="40">
        <v>1557</v>
      </c>
      <c r="I72" s="40">
        <v>1629</v>
      </c>
      <c r="J72" s="40">
        <v>117</v>
      </c>
      <c r="K72" s="40">
        <v>953</v>
      </c>
      <c r="L72" s="155">
        <f>L70+L71</f>
        <v>2236.1354981411619</v>
      </c>
      <c r="M72" s="155">
        <f t="shared" ref="M72:P72" si="97">M70+M71</f>
        <v>2560.5772883961963</v>
      </c>
      <c r="N72" s="155">
        <f t="shared" si="97"/>
        <v>2913.3037949074969</v>
      </c>
      <c r="O72" s="155">
        <f t="shared" si="97"/>
        <v>3120.9523817731774</v>
      </c>
      <c r="P72" s="155">
        <f t="shared" si="97"/>
        <v>3336.7419942894358</v>
      </c>
      <c r="Q72" s="240"/>
      <c r="R72" s="107">
        <v>1187.8</v>
      </c>
      <c r="S72" s="228">
        <f>C72-R72</f>
        <v>230.20000000000005</v>
      </c>
      <c r="T72" s="107">
        <v>1348</v>
      </c>
      <c r="U72" s="228">
        <f>D72-T72</f>
        <v>328</v>
      </c>
      <c r="V72" s="40">
        <v>1374</v>
      </c>
      <c r="W72" s="215">
        <f>E72-V72</f>
        <v>184</v>
      </c>
      <c r="X72" s="40">
        <v>1322</v>
      </c>
      <c r="Y72" s="215">
        <f>F72-X72</f>
        <v>-384</v>
      </c>
      <c r="Z72" s="40">
        <v>1680</v>
      </c>
      <c r="AA72" s="215">
        <f>G72-Z72</f>
        <v>-74</v>
      </c>
      <c r="AB72" s="40">
        <v>932</v>
      </c>
      <c r="AC72" s="215">
        <f>H72-AB72</f>
        <v>625</v>
      </c>
      <c r="AD72" s="40">
        <v>1215</v>
      </c>
      <c r="AE72" s="215">
        <f>I72-AD72</f>
        <v>414</v>
      </c>
      <c r="AF72" s="40">
        <v>-380</v>
      </c>
      <c r="AG72" s="215">
        <f>J72-AF72</f>
        <v>497</v>
      </c>
      <c r="AH72" s="40">
        <v>741</v>
      </c>
      <c r="AI72" s="215">
        <f>K72-AH72</f>
        <v>212</v>
      </c>
      <c r="AJ72" s="155">
        <f>AJ70+AJ71</f>
        <v>1157.7818294105439</v>
      </c>
      <c r="AK72" s="155">
        <f t="shared" si="93"/>
        <v>1078.353668730618</v>
      </c>
    </row>
    <row r="73" spans="1:37">
      <c r="B73" s="32"/>
      <c r="C73" s="199"/>
      <c r="D73" s="199"/>
      <c r="E73" s="199"/>
      <c r="F73" s="199"/>
      <c r="G73" s="199"/>
      <c r="H73" s="199"/>
      <c r="I73" s="199"/>
      <c r="J73" s="199"/>
      <c r="K73" s="199"/>
      <c r="L73" s="200"/>
      <c r="M73" s="200"/>
      <c r="N73" s="200"/>
      <c r="O73" s="200"/>
      <c r="P73" s="200"/>
      <c r="Q73" s="200"/>
      <c r="R73" s="199"/>
      <c r="S73" s="199"/>
      <c r="T73" s="199"/>
      <c r="U73" s="199"/>
      <c r="V73" s="199"/>
      <c r="W73" s="199"/>
      <c r="X73" s="199"/>
      <c r="Y73" s="199"/>
      <c r="Z73" s="199"/>
      <c r="AA73" s="199"/>
      <c r="AB73" s="199"/>
      <c r="AC73" s="199"/>
      <c r="AD73" s="199"/>
      <c r="AE73" s="199"/>
      <c r="AF73" s="199"/>
      <c r="AG73" s="199"/>
      <c r="AH73" s="199"/>
      <c r="AI73" s="199"/>
      <c r="AJ73" s="200"/>
      <c r="AK73" s="200"/>
    </row>
    <row r="74" spans="1:37">
      <c r="A74" s="24" t="s">
        <v>481</v>
      </c>
      <c r="B74" s="25" t="s">
        <v>307</v>
      </c>
      <c r="C74" s="74">
        <v>1294.4000000000001</v>
      </c>
      <c r="D74" s="79">
        <v>1313.3</v>
      </c>
      <c r="E74" s="79">
        <v>1258.7</v>
      </c>
      <c r="F74" s="79">
        <v>1263.091936</v>
      </c>
      <c r="G74" s="79">
        <v>1267.652417</v>
      </c>
      <c r="H74" s="79">
        <v>1213.9000000000001</v>
      </c>
      <c r="I74" s="79">
        <v>1214.7</v>
      </c>
      <c r="J74" s="79">
        <v>1219.8</v>
      </c>
      <c r="K74" s="79">
        <v>1220.4000000000001</v>
      </c>
      <c r="L74" s="161">
        <f t="shared" ref="L74:L75" si="98">K74+(K74-J74)</f>
        <v>1221.0000000000002</v>
      </c>
      <c r="M74" s="161">
        <f t="shared" ref="M74:M75" si="99">L74+(L74-K74)</f>
        <v>1221.6000000000004</v>
      </c>
      <c r="N74" s="161">
        <f t="shared" ref="N74:N75" si="100">M74+(M74-L74)</f>
        <v>1222.2000000000005</v>
      </c>
      <c r="O74" s="161">
        <f t="shared" ref="O74:O75" si="101">N74+(N74-M74)</f>
        <v>1222.8000000000006</v>
      </c>
      <c r="P74" s="161">
        <f t="shared" ref="P74:P75" si="102">O74+(O74-N74)</f>
        <v>1223.4000000000008</v>
      </c>
      <c r="Q74" s="189"/>
      <c r="R74" s="74">
        <v>1288.2</v>
      </c>
      <c r="S74" s="75">
        <f>C74</f>
        <v>1294.4000000000001</v>
      </c>
      <c r="T74" s="74">
        <v>1304.8</v>
      </c>
      <c r="U74" s="75">
        <f>D74</f>
        <v>1313.3</v>
      </c>
      <c r="V74" s="107">
        <v>1261.2</v>
      </c>
      <c r="W74" s="75">
        <f>E74</f>
        <v>1258.7</v>
      </c>
      <c r="X74" s="79">
        <v>1261.210319</v>
      </c>
      <c r="Y74" s="75">
        <f>F74</f>
        <v>1263.091936</v>
      </c>
      <c r="Z74" s="79">
        <v>1263.9000000000001</v>
      </c>
      <c r="AA74" s="75">
        <f>G74</f>
        <v>1267.652417</v>
      </c>
      <c r="AB74" s="79">
        <v>1212</v>
      </c>
      <c r="AC74" s="75">
        <f>H74</f>
        <v>1213.9000000000001</v>
      </c>
      <c r="AD74" s="79">
        <v>1215.2</v>
      </c>
      <c r="AE74" s="75">
        <f>I74</f>
        <v>1214.7</v>
      </c>
      <c r="AF74" s="79">
        <v>1221.0999999999999</v>
      </c>
      <c r="AG74" s="75">
        <f>J74</f>
        <v>1219.8</v>
      </c>
      <c r="AH74" s="79">
        <v>1221.0999999999999</v>
      </c>
      <c r="AI74" s="75">
        <f>K74</f>
        <v>1220.4000000000001</v>
      </c>
      <c r="AJ74" s="161">
        <f>AVERAGE(K74:L74)</f>
        <v>1220.7000000000003</v>
      </c>
      <c r="AK74" s="162">
        <f>L74</f>
        <v>1221.0000000000002</v>
      </c>
    </row>
    <row r="75" spans="1:37">
      <c r="B75" s="32" t="s">
        <v>293</v>
      </c>
      <c r="C75" s="76">
        <v>1283.9000000000001</v>
      </c>
      <c r="D75" s="78">
        <v>1300.5</v>
      </c>
      <c r="E75" s="78">
        <v>1305.7</v>
      </c>
      <c r="F75" s="78">
        <v>1257.9000000000001</v>
      </c>
      <c r="G75" s="78">
        <v>1256.9000000000001</v>
      </c>
      <c r="H75" s="78">
        <v>1221.5</v>
      </c>
      <c r="I75" s="78">
        <v>1214.3</v>
      </c>
      <c r="J75" s="78">
        <v>1219.8</v>
      </c>
      <c r="K75" s="78">
        <v>1220.8</v>
      </c>
      <c r="L75" s="156">
        <f t="shared" si="98"/>
        <v>1221.8</v>
      </c>
      <c r="M75" s="156">
        <f t="shared" si="99"/>
        <v>1222.8</v>
      </c>
      <c r="N75" s="156">
        <f t="shared" si="100"/>
        <v>1223.8</v>
      </c>
      <c r="O75" s="156">
        <f t="shared" si="101"/>
        <v>1224.8</v>
      </c>
      <c r="P75" s="156">
        <f t="shared" si="102"/>
        <v>1225.8</v>
      </c>
      <c r="Q75" s="157"/>
      <c r="R75" s="76">
        <v>1282.0999999999999</v>
      </c>
      <c r="S75" s="77">
        <f>C75</f>
        <v>1283.9000000000001</v>
      </c>
      <c r="T75" s="76">
        <f>(T74+C74)*0.5</f>
        <v>1299.5999999999999</v>
      </c>
      <c r="U75" s="77">
        <f>D75</f>
        <v>1300.5</v>
      </c>
      <c r="V75" s="78">
        <v>1310</v>
      </c>
      <c r="W75" s="77">
        <f>E75</f>
        <v>1305.7</v>
      </c>
      <c r="X75" s="78">
        <v>1260</v>
      </c>
      <c r="Y75" s="77">
        <f>F75</f>
        <v>1257.9000000000001</v>
      </c>
      <c r="Z75" s="78">
        <v>1264.2</v>
      </c>
      <c r="AA75" s="77">
        <f>G75</f>
        <v>1256.9000000000001</v>
      </c>
      <c r="AB75" s="78">
        <f t="shared" ref="AB75:AB76" si="103">H75</f>
        <v>1221.5</v>
      </c>
      <c r="AC75" s="77">
        <f>H75</f>
        <v>1221.5</v>
      </c>
      <c r="AD75" s="78">
        <v>1236.8</v>
      </c>
      <c r="AE75" s="77">
        <f t="shared" ref="AE75:AE76" si="104">I75</f>
        <v>1214.3</v>
      </c>
      <c r="AF75" s="78">
        <v>1218.7</v>
      </c>
      <c r="AG75" s="77">
        <f t="shared" ref="AG75:AG76" si="105">J75</f>
        <v>1219.8</v>
      </c>
      <c r="AH75" s="78">
        <v>1220.7</v>
      </c>
      <c r="AI75" s="77">
        <f t="shared" ref="AI75:AI76" si="106">K75</f>
        <v>1220.8</v>
      </c>
      <c r="AJ75" s="161">
        <f t="shared" ref="AJ75:AJ76" si="107">AVERAGE(K75:L75)</f>
        <v>1221.3</v>
      </c>
      <c r="AK75" s="162">
        <f t="shared" ref="AK75:AK76" si="108">L75</f>
        <v>1221.8</v>
      </c>
    </row>
    <row r="76" spans="1:37">
      <c r="A76" s="24" t="s">
        <v>507</v>
      </c>
      <c r="B76" s="32" t="s">
        <v>294</v>
      </c>
      <c r="C76" s="76">
        <v>1287.3</v>
      </c>
      <c r="D76" s="78">
        <v>1303.9000000000001</v>
      </c>
      <c r="E76" s="78">
        <v>1313.7</v>
      </c>
      <c r="F76" s="78">
        <v>1265.4000000000001</v>
      </c>
      <c r="G76" s="78">
        <v>1262.5999999999999</v>
      </c>
      <c r="H76" s="78">
        <v>1230.3</v>
      </c>
      <c r="I76" s="78">
        <v>1223.0999999999999</v>
      </c>
      <c r="J76" s="78">
        <v>1225.7</v>
      </c>
      <c r="K76" s="78">
        <v>1228.7</v>
      </c>
      <c r="L76" s="156">
        <f>K76+2</f>
        <v>1230.7</v>
      </c>
      <c r="M76" s="156">
        <f t="shared" ref="M76:P76" si="109">L76+2</f>
        <v>1232.7</v>
      </c>
      <c r="N76" s="156">
        <f t="shared" si="109"/>
        <v>1234.7</v>
      </c>
      <c r="O76" s="156">
        <f t="shared" si="109"/>
        <v>1236.7</v>
      </c>
      <c r="P76" s="156">
        <f t="shared" si="109"/>
        <v>1238.7</v>
      </c>
      <c r="Q76" s="157"/>
      <c r="R76" s="76">
        <v>1282.0999999999999</v>
      </c>
      <c r="S76" s="77">
        <f>C76</f>
        <v>1287.3</v>
      </c>
      <c r="T76" s="76">
        <f>T75</f>
        <v>1299.5999999999999</v>
      </c>
      <c r="U76" s="77">
        <f>D76</f>
        <v>1303.9000000000001</v>
      </c>
      <c r="V76" s="78">
        <v>1313.4</v>
      </c>
      <c r="W76" s="77">
        <f>E76</f>
        <v>1313.7</v>
      </c>
      <c r="X76" s="78">
        <v>1268</v>
      </c>
      <c r="Y76" s="77">
        <f>F76</f>
        <v>1265.4000000000001</v>
      </c>
      <c r="Z76" s="78">
        <v>1264.2</v>
      </c>
      <c r="AA76" s="77">
        <f>G76</f>
        <v>1262.5999999999999</v>
      </c>
      <c r="AB76" s="78">
        <f t="shared" si="103"/>
        <v>1230.3</v>
      </c>
      <c r="AC76" s="77">
        <f>H76</f>
        <v>1230.3</v>
      </c>
      <c r="AD76" s="78">
        <v>1243.5</v>
      </c>
      <c r="AE76" s="77">
        <f t="shared" si="104"/>
        <v>1223.0999999999999</v>
      </c>
      <c r="AF76" s="78">
        <v>1218.7</v>
      </c>
      <c r="AG76" s="77">
        <f t="shared" si="105"/>
        <v>1225.7</v>
      </c>
      <c r="AH76" s="78">
        <v>1227.0999999999999</v>
      </c>
      <c r="AI76" s="77">
        <f t="shared" si="106"/>
        <v>1228.7</v>
      </c>
      <c r="AJ76" s="161">
        <f t="shared" si="107"/>
        <v>1229.7</v>
      </c>
      <c r="AK76" s="162">
        <f t="shared" si="108"/>
        <v>1230.7</v>
      </c>
    </row>
    <row r="77" spans="1:37">
      <c r="B77" s="32"/>
      <c r="C77" s="199"/>
      <c r="D77" s="199"/>
      <c r="E77" s="199"/>
      <c r="F77" s="199"/>
      <c r="G77" s="199"/>
      <c r="H77" s="199"/>
      <c r="I77" s="199"/>
      <c r="J77" s="199"/>
      <c r="K77" s="199"/>
      <c r="L77" s="200"/>
      <c r="M77" s="200"/>
      <c r="N77" s="200"/>
      <c r="O77" s="200"/>
      <c r="P77" s="200"/>
      <c r="Q77" s="200"/>
      <c r="R77" s="199"/>
      <c r="S77" s="199"/>
      <c r="T77" s="104"/>
      <c r="U77" s="199"/>
      <c r="V77" s="104"/>
      <c r="W77" s="199"/>
      <c r="X77" s="199"/>
      <c r="Y77" s="199"/>
      <c r="Z77" s="199"/>
      <c r="AA77" s="199"/>
      <c r="AB77" s="199"/>
      <c r="AC77" s="199"/>
      <c r="AD77" s="199"/>
      <c r="AE77" s="199"/>
      <c r="AF77" s="199"/>
      <c r="AG77" s="199"/>
      <c r="AH77" s="199"/>
      <c r="AI77" s="199"/>
      <c r="AJ77" s="200"/>
      <c r="AK77" s="200"/>
    </row>
    <row r="78" spans="1:37">
      <c r="B78" s="32" t="s">
        <v>408</v>
      </c>
      <c r="C78" s="246">
        <v>0.84</v>
      </c>
      <c r="D78" s="246">
        <v>0.93</v>
      </c>
      <c r="E78" s="246">
        <v>1.02</v>
      </c>
      <c r="F78" s="246">
        <v>0.94</v>
      </c>
      <c r="G78" s="246">
        <v>1.08</v>
      </c>
      <c r="H78" s="246">
        <v>0.92</v>
      </c>
      <c r="I78" s="246">
        <v>1.04</v>
      </c>
      <c r="J78" s="246">
        <v>1.04</v>
      </c>
      <c r="K78" s="246">
        <v>0.84</v>
      </c>
      <c r="L78" s="247">
        <f>L81*L56</f>
        <v>0.9512329640391608</v>
      </c>
      <c r="M78" s="247">
        <f>M81*M56</f>
        <v>1.0866094889019788</v>
      </c>
      <c r="N78" s="247">
        <f>N81*N56</f>
        <v>1.2334647284253484</v>
      </c>
      <c r="O78" s="247">
        <f>O81*O56</f>
        <v>1.3188176987515503</v>
      </c>
      <c r="P78" s="247">
        <f>P81*P56</f>
        <v>1.4073140552750869</v>
      </c>
      <c r="Q78" s="248"/>
      <c r="R78" s="246">
        <v>0.34</v>
      </c>
      <c r="S78" s="249">
        <f>C78-R78</f>
        <v>0.49999999999999994</v>
      </c>
      <c r="T78" s="246">
        <v>0.43</v>
      </c>
      <c r="U78" s="249">
        <f>D78-T78</f>
        <v>0.5</v>
      </c>
      <c r="V78" s="246">
        <v>0.45</v>
      </c>
      <c r="W78" s="249">
        <f>E78-V78</f>
        <v>0.57000000000000006</v>
      </c>
      <c r="X78" s="246">
        <v>0.46</v>
      </c>
      <c r="Y78" s="249">
        <f>F78-X78</f>
        <v>0.47999999999999993</v>
      </c>
      <c r="Z78" s="246">
        <v>0.53</v>
      </c>
      <c r="AA78" s="249">
        <f>G78-Z78</f>
        <v>0.55000000000000004</v>
      </c>
      <c r="AB78" s="246">
        <v>0.39</v>
      </c>
      <c r="AC78" s="249">
        <f>H78-AB78</f>
        <v>0.53</v>
      </c>
      <c r="AD78" s="246">
        <v>0.46</v>
      </c>
      <c r="AE78" s="249">
        <f>I78-AD78</f>
        <v>0.58000000000000007</v>
      </c>
      <c r="AF78" s="246">
        <v>0.47</v>
      </c>
      <c r="AG78" s="249">
        <f>J78-AF78</f>
        <v>0.57000000000000006</v>
      </c>
      <c r="AH78" s="246">
        <v>0.39</v>
      </c>
      <c r="AI78" s="249">
        <f>K78-AH78</f>
        <v>0.44999999999999996</v>
      </c>
      <c r="AJ78" s="247">
        <f>AJ81*AJ56</f>
        <v>0.42722403486316229</v>
      </c>
      <c r="AK78" s="247">
        <f>L78-AJ78</f>
        <v>0.52400892917599851</v>
      </c>
    </row>
    <row r="79" spans="1:37">
      <c r="B79" s="32" t="s">
        <v>409</v>
      </c>
      <c r="C79" s="246">
        <v>0</v>
      </c>
      <c r="D79" s="246">
        <v>0.1</v>
      </c>
      <c r="E79" s="246">
        <v>0</v>
      </c>
      <c r="F79" s="246">
        <v>0</v>
      </c>
      <c r="G79" s="246">
        <v>0</v>
      </c>
      <c r="H79" s="246">
        <v>0</v>
      </c>
      <c r="I79" s="246">
        <v>0</v>
      </c>
      <c r="J79" s="246">
        <v>0.4</v>
      </c>
      <c r="K79" s="246">
        <v>0</v>
      </c>
      <c r="L79" s="156">
        <v>0</v>
      </c>
      <c r="M79" s="156">
        <v>0</v>
      </c>
      <c r="N79" s="156">
        <v>0</v>
      </c>
      <c r="O79" s="156">
        <v>0</v>
      </c>
      <c r="P79" s="156">
        <v>0</v>
      </c>
      <c r="Q79" s="248"/>
      <c r="R79" s="246">
        <v>0</v>
      </c>
      <c r="S79" s="249">
        <f>C79-R79</f>
        <v>0</v>
      </c>
      <c r="T79" s="246">
        <v>0</v>
      </c>
      <c r="U79" s="249">
        <f>D79-T79</f>
        <v>0.1</v>
      </c>
      <c r="V79" s="246">
        <v>0</v>
      </c>
      <c r="W79" s="249">
        <f>E79-V79</f>
        <v>0</v>
      </c>
      <c r="X79" s="246">
        <v>0</v>
      </c>
      <c r="Y79" s="249">
        <f>F79-X79</f>
        <v>0</v>
      </c>
      <c r="Z79" s="246">
        <v>0</v>
      </c>
      <c r="AA79" s="249">
        <f>G79-Z79</f>
        <v>0</v>
      </c>
      <c r="AB79" s="246">
        <v>0</v>
      </c>
      <c r="AC79" s="249">
        <f>H79-AB79</f>
        <v>0</v>
      </c>
      <c r="AD79" s="246">
        <v>0</v>
      </c>
      <c r="AE79" s="249">
        <f>I79-AD79</f>
        <v>0</v>
      </c>
      <c r="AF79" s="246">
        <v>0</v>
      </c>
      <c r="AG79" s="249">
        <f>J79-AF79</f>
        <v>0.4</v>
      </c>
      <c r="AH79" s="246">
        <v>0</v>
      </c>
      <c r="AI79" s="249">
        <f>K79-AH79</f>
        <v>0</v>
      </c>
      <c r="AJ79" s="147">
        <v>0</v>
      </c>
      <c r="AK79" s="247">
        <f t="shared" ref="AK79:AK80" si="110">L79-AJ79</f>
        <v>0</v>
      </c>
    </row>
    <row r="80" spans="1:37">
      <c r="A80" s="24" t="s">
        <v>219</v>
      </c>
      <c r="B80" s="32" t="s">
        <v>410</v>
      </c>
      <c r="C80" s="249">
        <f t="shared" ref="C80:K80" si="111">SUM(C78:C79)</f>
        <v>0.84</v>
      </c>
      <c r="D80" s="249">
        <f t="shared" si="111"/>
        <v>1.03</v>
      </c>
      <c r="E80" s="249">
        <f t="shared" si="111"/>
        <v>1.02</v>
      </c>
      <c r="F80" s="249">
        <f t="shared" si="111"/>
        <v>0.94</v>
      </c>
      <c r="G80" s="249">
        <f t="shared" si="111"/>
        <v>1.08</v>
      </c>
      <c r="H80" s="249">
        <f t="shared" si="111"/>
        <v>0.92</v>
      </c>
      <c r="I80" s="249">
        <f t="shared" si="111"/>
        <v>1.04</v>
      </c>
      <c r="J80" s="249">
        <f t="shared" si="111"/>
        <v>1.44</v>
      </c>
      <c r="K80" s="249">
        <f t="shared" si="111"/>
        <v>0.84</v>
      </c>
      <c r="L80" s="247">
        <f t="shared" ref="L80:P80" si="112">SUM(L78:L79)</f>
        <v>0.9512329640391608</v>
      </c>
      <c r="M80" s="247">
        <f t="shared" si="112"/>
        <v>1.0866094889019788</v>
      </c>
      <c r="N80" s="247">
        <f t="shared" si="112"/>
        <v>1.2334647284253484</v>
      </c>
      <c r="O80" s="247">
        <f t="shared" si="112"/>
        <v>1.3188176987515503</v>
      </c>
      <c r="P80" s="247">
        <f t="shared" si="112"/>
        <v>1.4073140552750869</v>
      </c>
      <c r="Q80" s="247"/>
      <c r="R80" s="249">
        <f>SUM(R78:R79)</f>
        <v>0.34</v>
      </c>
      <c r="S80" s="249">
        <f>C80-R80</f>
        <v>0.49999999999999994</v>
      </c>
      <c r="T80" s="249">
        <f t="shared" ref="T80:AH80" si="113">SUM(T78:T79)</f>
        <v>0.43</v>
      </c>
      <c r="U80" s="249">
        <f>D80-T80</f>
        <v>0.60000000000000009</v>
      </c>
      <c r="V80" s="249">
        <f t="shared" si="113"/>
        <v>0.45</v>
      </c>
      <c r="W80" s="249">
        <f>E80-V80</f>
        <v>0.57000000000000006</v>
      </c>
      <c r="X80" s="249">
        <f t="shared" si="113"/>
        <v>0.46</v>
      </c>
      <c r="Y80" s="249">
        <f>F80-X80</f>
        <v>0.47999999999999993</v>
      </c>
      <c r="Z80" s="249">
        <f t="shared" si="113"/>
        <v>0.53</v>
      </c>
      <c r="AA80" s="249">
        <f>G80-Z80</f>
        <v>0.55000000000000004</v>
      </c>
      <c r="AB80" s="249">
        <f t="shared" si="113"/>
        <v>0.39</v>
      </c>
      <c r="AC80" s="249">
        <f>H80-AB80</f>
        <v>0.53</v>
      </c>
      <c r="AD80" s="249">
        <f t="shared" si="113"/>
        <v>0.46</v>
      </c>
      <c r="AE80" s="249">
        <f>I80-AD80</f>
        <v>0.58000000000000007</v>
      </c>
      <c r="AF80" s="249">
        <f t="shared" si="113"/>
        <v>0.47</v>
      </c>
      <c r="AG80" s="249">
        <f>J80-AF80</f>
        <v>0.97</v>
      </c>
      <c r="AH80" s="249">
        <f t="shared" si="113"/>
        <v>0.39</v>
      </c>
      <c r="AI80" s="249">
        <f>K80-AH80</f>
        <v>0.44999999999999996</v>
      </c>
      <c r="AJ80" s="247">
        <f t="shared" ref="AJ80" si="114">SUM(AJ78:AJ79)</f>
        <v>0.42722403486316229</v>
      </c>
      <c r="AK80" s="247">
        <f t="shared" si="110"/>
        <v>0.52400892917599851</v>
      </c>
    </row>
    <row r="81" spans="1:37">
      <c r="A81" s="24" t="s">
        <v>473</v>
      </c>
      <c r="B81" s="32" t="s">
        <v>345</v>
      </c>
      <c r="C81" s="244">
        <f t="shared" ref="C81:K81" si="115">(C80*C74)/C46</f>
        <v>0.76446319341910995</v>
      </c>
      <c r="D81" s="244">
        <f t="shared" si="115"/>
        <v>0.84280311526479756</v>
      </c>
      <c r="E81" s="244">
        <f t="shared" si="115"/>
        <v>0.73322330097087385</v>
      </c>
      <c r="F81" s="244">
        <f t="shared" si="115"/>
        <v>0.74114008729088643</v>
      </c>
      <c r="G81" s="244">
        <f t="shared" si="115"/>
        <v>0.91028232071808524</v>
      </c>
      <c r="H81" s="244">
        <f t="shared" si="115"/>
        <v>0.73764068692206097</v>
      </c>
      <c r="I81" s="244">
        <f t="shared" si="115"/>
        <v>0.73404299825682739</v>
      </c>
      <c r="J81" s="244">
        <f t="shared" si="115"/>
        <v>1.0265996493278784</v>
      </c>
      <c r="K81" s="244">
        <f t="shared" si="115"/>
        <v>0.74017039711191335</v>
      </c>
      <c r="L81" s="245">
        <v>0.74</v>
      </c>
      <c r="M81" s="245">
        <v>0.74</v>
      </c>
      <c r="N81" s="245">
        <v>0.74</v>
      </c>
      <c r="O81" s="245">
        <v>0.74</v>
      </c>
      <c r="P81" s="245">
        <v>0.74</v>
      </c>
      <c r="Q81" s="166"/>
      <c r="R81" s="244">
        <f t="shared" ref="R81:AK81" si="116">(R80*R74)/R46</f>
        <v>0.49289669142471304</v>
      </c>
      <c r="S81" s="244">
        <f t="shared" si="116"/>
        <v>1.0637738330046025</v>
      </c>
      <c r="T81" s="244">
        <f t="shared" si="116"/>
        <v>0.62202217294900219</v>
      </c>
      <c r="U81" s="244">
        <f t="shared" si="116"/>
        <v>1.1208819345661454</v>
      </c>
      <c r="V81" s="244">
        <f t="shared" si="116"/>
        <v>0.62920177383592024</v>
      </c>
      <c r="W81" s="244">
        <f t="shared" si="116"/>
        <v>0.84506360424028271</v>
      </c>
      <c r="X81" s="244">
        <f t="shared" si="116"/>
        <v>0.59278302517625425</v>
      </c>
      <c r="Y81" s="244">
        <f t="shared" si="116"/>
        <v>0.97270035180490921</v>
      </c>
      <c r="Z81" s="244">
        <f t="shared" si="116"/>
        <v>0.78807882352941183</v>
      </c>
      <c r="AA81" s="244">
        <f t="shared" si="116"/>
        <v>1.0660685464067279</v>
      </c>
      <c r="AB81" s="244">
        <f t="shared" si="116"/>
        <v>0.59466095804067676</v>
      </c>
      <c r="AC81" s="244">
        <f t="shared" si="116"/>
        <v>0.89465016710344381</v>
      </c>
      <c r="AD81" s="244">
        <f t="shared" si="116"/>
        <v>0.61630871003307619</v>
      </c>
      <c r="AE81" s="244">
        <f t="shared" si="116"/>
        <v>0.86551105651105664</v>
      </c>
      <c r="AF81" s="244">
        <f t="shared" si="116"/>
        <v>0.61777933261571571</v>
      </c>
      <c r="AG81" s="244">
        <f t="shared" si="116"/>
        <v>1.5130511508951405</v>
      </c>
      <c r="AH81" s="244">
        <f t="shared" si="116"/>
        <v>0.64442354533152912</v>
      </c>
      <c r="AI81" s="244">
        <f t="shared" si="116"/>
        <v>0.8501238390092879</v>
      </c>
      <c r="AJ81" s="245">
        <f>AH81</f>
        <v>0.64442354533152912</v>
      </c>
      <c r="AK81" s="166">
        <f t="shared" si="116"/>
        <v>0.83443190421990032</v>
      </c>
    </row>
    <row r="82" spans="1:37">
      <c r="B82" s="32"/>
      <c r="C82" s="199"/>
      <c r="D82" s="250"/>
      <c r="E82" s="199"/>
      <c r="F82" s="199"/>
      <c r="G82" s="199"/>
      <c r="H82" s="199"/>
      <c r="I82" s="199"/>
      <c r="J82" s="199"/>
      <c r="K82" s="199"/>
      <c r="L82" s="200"/>
      <c r="M82" s="200"/>
      <c r="N82" s="200"/>
      <c r="O82" s="200"/>
      <c r="P82" s="200"/>
      <c r="Q82" s="200"/>
      <c r="R82" s="199"/>
      <c r="S82" s="199"/>
      <c r="T82" s="199"/>
      <c r="U82" s="199"/>
      <c r="V82" s="199"/>
      <c r="W82" s="199"/>
      <c r="X82" s="199"/>
      <c r="Y82" s="199"/>
      <c r="Z82" s="199"/>
      <c r="AA82" s="199"/>
      <c r="AB82" s="199"/>
      <c r="AC82" s="199"/>
      <c r="AD82" s="199"/>
      <c r="AE82" s="199"/>
      <c r="AF82" s="199"/>
      <c r="AG82" s="199"/>
      <c r="AH82" s="199"/>
      <c r="AI82" s="199"/>
      <c r="AJ82" s="200"/>
      <c r="AK82" s="200"/>
    </row>
    <row r="83" spans="1:37">
      <c r="B83" s="17" t="s">
        <v>88</v>
      </c>
      <c r="C83" s="94">
        <v>1</v>
      </c>
      <c r="D83" s="94">
        <v>1</v>
      </c>
      <c r="E83" s="94">
        <v>1</v>
      </c>
      <c r="F83" s="94">
        <v>1</v>
      </c>
      <c r="G83" s="94">
        <v>1</v>
      </c>
      <c r="H83" s="94">
        <v>1</v>
      </c>
      <c r="I83" s="94">
        <v>1</v>
      </c>
      <c r="J83" s="94">
        <v>1</v>
      </c>
      <c r="K83" s="94">
        <v>1</v>
      </c>
      <c r="L83" s="160">
        <f>K83</f>
        <v>1</v>
      </c>
      <c r="M83" s="160">
        <f t="shared" ref="M83:P83" si="117">L83</f>
        <v>1</v>
      </c>
      <c r="N83" s="160">
        <f t="shared" si="117"/>
        <v>1</v>
      </c>
      <c r="O83" s="160">
        <f t="shared" si="117"/>
        <v>1</v>
      </c>
      <c r="P83" s="160">
        <f t="shared" si="117"/>
        <v>1</v>
      </c>
      <c r="Q83" s="190"/>
      <c r="R83" s="94">
        <v>1</v>
      </c>
      <c r="S83" s="94">
        <v>1</v>
      </c>
      <c r="T83" s="94">
        <v>1</v>
      </c>
      <c r="U83" s="94">
        <v>1</v>
      </c>
      <c r="V83" s="94">
        <v>1</v>
      </c>
      <c r="W83" s="95">
        <f>E83</f>
        <v>1</v>
      </c>
      <c r="X83" s="94">
        <v>1</v>
      </c>
      <c r="Y83" s="95">
        <f>F83</f>
        <v>1</v>
      </c>
      <c r="Z83" s="94">
        <v>1</v>
      </c>
      <c r="AA83" s="95">
        <f>G83</f>
        <v>1</v>
      </c>
      <c r="AB83" s="94">
        <v>1</v>
      </c>
      <c r="AC83" s="95">
        <f>H83</f>
        <v>1</v>
      </c>
      <c r="AD83" s="94">
        <v>1</v>
      </c>
      <c r="AE83" s="95">
        <f>I83</f>
        <v>1</v>
      </c>
      <c r="AF83" s="94">
        <v>1</v>
      </c>
      <c r="AG83" s="95">
        <f>J83</f>
        <v>1</v>
      </c>
      <c r="AH83" s="94">
        <v>1</v>
      </c>
      <c r="AI83" s="95">
        <f>K83</f>
        <v>1</v>
      </c>
      <c r="AJ83" s="158"/>
      <c r="AK83" s="158"/>
    </row>
    <row r="84" spans="1:37">
      <c r="B84" s="17" t="s">
        <v>89</v>
      </c>
      <c r="C84" s="94">
        <v>0.3</v>
      </c>
      <c r="D84" s="94">
        <v>0.3</v>
      </c>
      <c r="E84" s="94">
        <v>0.3</v>
      </c>
      <c r="F84" s="94">
        <v>0.3</v>
      </c>
      <c r="G84" s="94">
        <v>0.3</v>
      </c>
      <c r="H84" s="94">
        <v>0.3</v>
      </c>
      <c r="I84" s="94">
        <v>0.3</v>
      </c>
      <c r="J84" s="94">
        <v>0.3</v>
      </c>
      <c r="K84" s="94">
        <v>0.3</v>
      </c>
      <c r="L84" s="160">
        <f>K84</f>
        <v>0.3</v>
      </c>
      <c r="M84" s="160">
        <f t="shared" ref="M84:P84" si="118">L84</f>
        <v>0.3</v>
      </c>
      <c r="N84" s="160">
        <f t="shared" si="118"/>
        <v>0.3</v>
      </c>
      <c r="O84" s="160">
        <f t="shared" si="118"/>
        <v>0.3</v>
      </c>
      <c r="P84" s="160">
        <f t="shared" si="118"/>
        <v>0.3</v>
      </c>
      <c r="Q84" s="190"/>
      <c r="R84" s="94">
        <v>0.3</v>
      </c>
      <c r="S84" s="94">
        <v>0.3</v>
      </c>
      <c r="T84" s="94">
        <v>0.3</v>
      </c>
      <c r="U84" s="94">
        <v>0.3</v>
      </c>
      <c r="V84" s="94">
        <v>0.3</v>
      </c>
      <c r="W84" s="95">
        <f>E84</f>
        <v>0.3</v>
      </c>
      <c r="X84" s="94">
        <v>0.3</v>
      </c>
      <c r="Y84" s="95">
        <f>F84</f>
        <v>0.3</v>
      </c>
      <c r="Z84" s="94">
        <v>0.3</v>
      </c>
      <c r="AA84" s="95">
        <f>G84</f>
        <v>0.3</v>
      </c>
      <c r="AB84" s="94">
        <v>0.3</v>
      </c>
      <c r="AC84" s="95">
        <f>H84</f>
        <v>0.3</v>
      </c>
      <c r="AD84" s="94">
        <v>0.3</v>
      </c>
      <c r="AE84" s="95">
        <f>I84</f>
        <v>0.3</v>
      </c>
      <c r="AF84" s="94">
        <v>0.3</v>
      </c>
      <c r="AG84" s="95">
        <f>J84</f>
        <v>0.3</v>
      </c>
      <c r="AH84" s="94">
        <v>0.3</v>
      </c>
      <c r="AI84" s="95">
        <f>K84</f>
        <v>0.3</v>
      </c>
      <c r="AJ84" s="158"/>
      <c r="AK84" s="158"/>
    </row>
    <row r="85" spans="1:37">
      <c r="B85" s="17" t="s">
        <v>90</v>
      </c>
      <c r="C85" s="76">
        <v>2577.1999999999998</v>
      </c>
      <c r="D85" s="45">
        <v>2610</v>
      </c>
      <c r="E85" s="76">
        <v>1953</v>
      </c>
      <c r="F85" s="76">
        <v>1546</v>
      </c>
      <c r="G85" s="76">
        <v>1740</v>
      </c>
      <c r="H85" s="76">
        <v>981</v>
      </c>
      <c r="I85" s="76">
        <v>1240</v>
      </c>
      <c r="J85" s="76">
        <v>1550</v>
      </c>
      <c r="K85" s="76">
        <v>1509</v>
      </c>
      <c r="L85" s="157"/>
      <c r="M85" s="157"/>
      <c r="N85" s="157"/>
      <c r="O85" s="157"/>
      <c r="P85" s="157"/>
      <c r="Q85" s="157"/>
      <c r="R85" s="19"/>
      <c r="S85" s="19"/>
      <c r="T85" s="46"/>
      <c r="U85" s="46"/>
      <c r="V85" s="46"/>
      <c r="W85" s="46"/>
      <c r="X85" s="46"/>
      <c r="Y85" s="46"/>
      <c r="Z85" s="96"/>
      <c r="AA85" s="96"/>
      <c r="AB85" s="96"/>
      <c r="AC85" s="96"/>
      <c r="AD85" s="46"/>
      <c r="AE85" s="96"/>
      <c r="AF85" s="46"/>
      <c r="AG85" s="96"/>
      <c r="AH85" s="46"/>
      <c r="AI85" s="96"/>
      <c r="AJ85" s="159"/>
      <c r="AK85" s="159"/>
    </row>
  </sheetData>
  <pageMargins left="0.7" right="0.7" top="0.75" bottom="0.75" header="0.3" footer="0.3"/>
  <customProperties>
    <customPr name="Qube.Worksheet.Visibility" r:id="rId1"/>
    <customPr name="QXL_SHEET_ID" r:id="rId2"/>
  </customProperties>
  <legacyDrawing r:id="rId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69E274-56F1-4A57-B130-8086CFD83C5B}">
  <sheetPr>
    <tabColor theme="7" tint="0.59999389629810485"/>
  </sheetPr>
  <dimension ref="A1:AK81"/>
  <sheetViews>
    <sheetView showGridLines="0" topLeftCell="B1" zoomScale="70" zoomScaleNormal="70" workbookViewId="0">
      <selection activeCell="K15" sqref="K15"/>
    </sheetView>
  </sheetViews>
  <sheetFormatPr defaultRowHeight="15" outlineLevelCol="1"/>
  <cols>
    <col min="1" max="1" width="17.42578125" style="170" hidden="1" customWidth="1" outlineLevel="1"/>
    <col min="2" max="2" width="38.28515625" bestFit="1" customWidth="1" collapsed="1"/>
    <col min="3" max="3" width="9.42578125" style="222" customWidth="1"/>
    <col min="4" max="10" width="9.85546875" style="222" bestFit="1" customWidth="1"/>
    <col min="11" max="16" width="9.140625" style="222"/>
    <col min="17" max="17" width="9.85546875" style="222" customWidth="1"/>
    <col min="18" max="18" width="14.5703125" style="222" bestFit="1" customWidth="1"/>
    <col min="19" max="19" width="9.140625" style="222"/>
    <col min="20" max="20" width="9.85546875" style="222" bestFit="1" customWidth="1"/>
    <col min="21" max="21" width="9.140625" style="222"/>
    <col min="22" max="22" width="9.85546875" style="222" bestFit="1" customWidth="1"/>
    <col min="23" max="23" width="9.140625" style="222"/>
    <col min="24" max="24" width="9.85546875" style="222" bestFit="1" customWidth="1"/>
    <col min="25" max="25" width="9.140625" style="222"/>
    <col min="26" max="26" width="9.85546875" style="222" bestFit="1" customWidth="1"/>
    <col min="27" max="27" width="9.140625" style="222"/>
    <col min="28" max="28" width="9.85546875" style="222" bestFit="1" customWidth="1"/>
    <col min="29" max="29" width="9.140625" style="222"/>
    <col min="30" max="30" width="9.85546875" style="222" bestFit="1" customWidth="1"/>
    <col min="31" max="31" width="9.140625" style="222"/>
    <col min="32" max="32" width="9.85546875" style="222" bestFit="1" customWidth="1"/>
    <col min="33" max="33" width="9.140625" style="222"/>
    <col min="34" max="35" width="9.85546875" style="222" bestFit="1" customWidth="1"/>
  </cols>
  <sheetData>
    <row r="1" spans="1:37" s="8" customFormat="1" ht="12.75">
      <c r="A1" s="140"/>
      <c r="B1" s="5" t="s">
        <v>226</v>
      </c>
      <c r="C1" s="167"/>
      <c r="D1" s="167"/>
      <c r="E1" s="167"/>
      <c r="F1" s="167"/>
      <c r="G1" s="167"/>
      <c r="H1" s="167"/>
      <c r="I1" s="167"/>
      <c r="J1" s="167"/>
      <c r="K1" s="167"/>
      <c r="L1" s="167"/>
      <c r="M1" s="167"/>
      <c r="N1" s="167"/>
      <c r="O1" s="167"/>
      <c r="P1" s="167"/>
      <c r="Q1" s="167"/>
      <c r="R1" s="167"/>
      <c r="S1" s="167"/>
      <c r="T1" s="167"/>
      <c r="U1" s="167"/>
      <c r="V1" s="167"/>
      <c r="W1" s="167"/>
      <c r="X1" s="167"/>
      <c r="Y1" s="167"/>
      <c r="Z1" s="167"/>
      <c r="AA1" s="167"/>
      <c r="AB1" s="167"/>
      <c r="AC1" s="167"/>
      <c r="AD1" s="167"/>
      <c r="AE1" s="167"/>
      <c r="AF1" s="167"/>
      <c r="AG1" s="167"/>
      <c r="AH1" s="167"/>
      <c r="AI1" s="167"/>
    </row>
    <row r="2" spans="1:37" s="8" customFormat="1" ht="12.75">
      <c r="A2" s="140"/>
      <c r="B2" s="5" t="s">
        <v>81</v>
      </c>
      <c r="C2" s="167"/>
      <c r="D2" s="167"/>
      <c r="E2" s="167"/>
      <c r="F2" s="167"/>
      <c r="G2" s="167"/>
      <c r="H2" s="167"/>
      <c r="I2" s="167"/>
      <c r="J2" s="167"/>
      <c r="K2" s="167"/>
      <c r="L2" s="167"/>
      <c r="M2" s="167"/>
      <c r="N2" s="167"/>
      <c r="O2" s="167"/>
      <c r="P2" s="167"/>
      <c r="Q2" s="167"/>
      <c r="R2" s="167"/>
      <c r="S2" s="167"/>
      <c r="T2" s="167"/>
      <c r="U2" s="167"/>
      <c r="V2" s="167"/>
      <c r="W2" s="167"/>
      <c r="X2" s="167"/>
      <c r="Y2" s="167"/>
      <c r="Z2" s="167"/>
      <c r="AA2" s="167"/>
      <c r="AB2" s="167"/>
      <c r="AC2" s="167"/>
      <c r="AD2" s="167"/>
      <c r="AE2" s="167"/>
      <c r="AF2" s="167"/>
      <c r="AG2" s="167"/>
      <c r="AH2" s="167"/>
      <c r="AI2" s="167"/>
    </row>
    <row r="3" spans="1:37" s="10" customFormat="1" ht="12.75">
      <c r="A3" s="150"/>
      <c r="B3" s="98"/>
      <c r="C3" s="14" t="str">
        <f>Model!C3</f>
        <v>FY17</v>
      </c>
      <c r="D3" s="14" t="str">
        <f>Model!D3</f>
        <v>FY18</v>
      </c>
      <c r="E3" s="14" t="str">
        <f>Model!E3</f>
        <v>FY19</v>
      </c>
      <c r="F3" s="14" t="str">
        <f>Model!F3</f>
        <v>FY20</v>
      </c>
      <c r="G3" s="14" t="str">
        <f>Model!G3</f>
        <v>FY21</v>
      </c>
      <c r="H3" s="14" t="str">
        <f>Model!H3</f>
        <v>FY22</v>
      </c>
      <c r="I3" s="14" t="str">
        <f>Model!I3</f>
        <v>FY23</v>
      </c>
      <c r="J3" s="14" t="str">
        <f>Model!J3</f>
        <v>FY24</v>
      </c>
      <c r="K3" s="14" t="str">
        <f>Model!K3</f>
        <v>FY25</v>
      </c>
      <c r="L3" s="14" t="s">
        <v>35</v>
      </c>
      <c r="M3" s="14" t="s">
        <v>36</v>
      </c>
      <c r="N3" s="14" t="s">
        <v>372</v>
      </c>
      <c r="O3" s="14" t="s">
        <v>426</v>
      </c>
      <c r="P3" s="14" t="s">
        <v>427</v>
      </c>
      <c r="Q3" s="14"/>
      <c r="R3" s="14" t="str">
        <f>Model!R3</f>
        <v>1H17</v>
      </c>
      <c r="S3" s="14" t="str">
        <f>Model!S3</f>
        <v>2H17</v>
      </c>
      <c r="T3" s="14" t="str">
        <f>Model!T3</f>
        <v>1H18</v>
      </c>
      <c r="U3" s="14" t="str">
        <f>Model!U3</f>
        <v>2H18</v>
      </c>
      <c r="V3" s="14" t="str">
        <f>Model!V3</f>
        <v>1H19</v>
      </c>
      <c r="W3" s="14" t="str">
        <f>Model!W3</f>
        <v>2H19</v>
      </c>
      <c r="X3" s="14" t="str">
        <f>Model!X3</f>
        <v>1H20</v>
      </c>
      <c r="Y3" s="14" t="str">
        <f>Model!Y3</f>
        <v>2H20</v>
      </c>
      <c r="Z3" s="14" t="str">
        <f>Model!Z3</f>
        <v>1H21</v>
      </c>
      <c r="AA3" s="14" t="str">
        <f>Model!AA3</f>
        <v>2H21</v>
      </c>
      <c r="AB3" s="14" t="str">
        <f>Model!AB3</f>
        <v>1H22</v>
      </c>
      <c r="AC3" s="14" t="str">
        <f>Model!AC3</f>
        <v>2H22</v>
      </c>
      <c r="AD3" s="14" t="str">
        <f>Model!AD3</f>
        <v>1H23</v>
      </c>
      <c r="AE3" s="14" t="str">
        <f>Model!AE3</f>
        <v>2H23</v>
      </c>
      <c r="AF3" s="14" t="str">
        <f>Model!AF3</f>
        <v>1H24</v>
      </c>
      <c r="AG3" s="14" t="str">
        <f>Model!AG3</f>
        <v>2H24</v>
      </c>
      <c r="AH3" s="14" t="str">
        <f>Model!AH3</f>
        <v>1H25</v>
      </c>
      <c r="AI3" s="14" t="str">
        <f>Model!AI3</f>
        <v>2H25</v>
      </c>
    </row>
    <row r="4" spans="1:37" s="8" customFormat="1" ht="12.75">
      <c r="A4" s="140"/>
      <c r="B4" s="1" t="s">
        <v>91</v>
      </c>
      <c r="C4" s="167"/>
      <c r="D4" s="167"/>
      <c r="E4" s="167"/>
      <c r="F4" s="167"/>
      <c r="G4" s="167"/>
      <c r="H4" s="167"/>
      <c r="I4" s="167"/>
      <c r="J4" s="167"/>
      <c r="K4" s="167"/>
      <c r="L4" s="167"/>
      <c r="M4" s="167"/>
      <c r="N4" s="167"/>
      <c r="O4" s="167"/>
      <c r="P4" s="167"/>
      <c r="Q4" s="167"/>
      <c r="R4" s="167"/>
      <c r="S4" s="167"/>
      <c r="T4" s="167"/>
      <c r="U4" s="167"/>
      <c r="V4" s="167"/>
      <c r="W4" s="167"/>
      <c r="X4" s="167"/>
      <c r="Y4" s="167"/>
      <c r="Z4" s="167"/>
      <c r="AA4" s="167"/>
      <c r="AB4" s="167"/>
      <c r="AC4" s="167"/>
      <c r="AD4" s="167"/>
      <c r="AE4" s="167"/>
      <c r="AF4" s="167"/>
      <c r="AG4" s="167"/>
      <c r="AH4" s="167"/>
      <c r="AI4" s="167"/>
    </row>
    <row r="5" spans="1:37">
      <c r="A5" s="24"/>
      <c r="B5" s="25" t="s">
        <v>93</v>
      </c>
      <c r="C5" s="199"/>
      <c r="D5" s="199"/>
      <c r="E5" s="199"/>
      <c r="F5" s="199"/>
      <c r="G5" s="199"/>
      <c r="H5" s="199"/>
      <c r="I5" s="199"/>
      <c r="J5" s="199"/>
      <c r="K5" s="199"/>
      <c r="L5" s="200"/>
      <c r="M5" s="200"/>
      <c r="N5" s="200"/>
      <c r="O5" s="200"/>
      <c r="P5" s="200"/>
      <c r="Q5" s="200"/>
      <c r="R5" s="199"/>
      <c r="S5" s="199"/>
      <c r="T5" s="199"/>
      <c r="U5" s="199"/>
      <c r="V5" s="199"/>
      <c r="W5" s="199"/>
      <c r="X5" s="199"/>
      <c r="Y5" s="199"/>
      <c r="Z5" s="199"/>
      <c r="AA5" s="199"/>
      <c r="AB5" s="199"/>
      <c r="AC5" s="199"/>
      <c r="AD5" s="199"/>
      <c r="AE5" s="199"/>
      <c r="AF5" s="199"/>
      <c r="AG5" s="199"/>
      <c r="AH5" s="199"/>
      <c r="AI5" s="199"/>
      <c r="AJ5" s="6"/>
    </row>
    <row r="6" spans="1:37">
      <c r="A6" s="24" t="s">
        <v>39</v>
      </c>
      <c r="B6" s="17" t="s">
        <v>39</v>
      </c>
      <c r="C6" s="201">
        <f>PL!C28</f>
        <v>2326.1999999999998</v>
      </c>
      <c r="D6" s="201">
        <f>PL!D28</f>
        <v>2548</v>
      </c>
      <c r="E6" s="201">
        <f>PL!E28</f>
        <v>2722</v>
      </c>
      <c r="F6" s="201">
        <f>PL!F28</f>
        <v>3219</v>
      </c>
      <c r="G6" s="201">
        <f>PL!G28</f>
        <v>2764</v>
      </c>
      <c r="H6" s="201">
        <f>PL!H28</f>
        <v>2690</v>
      </c>
      <c r="I6" s="201">
        <f>PL!I28</f>
        <v>3116</v>
      </c>
      <c r="J6" s="201">
        <f>PL!J28</f>
        <v>3223</v>
      </c>
      <c r="K6" s="201">
        <f>PL!K28</f>
        <v>2754</v>
      </c>
      <c r="L6" s="204">
        <f>PL!L28</f>
        <v>3051.1354981411619</v>
      </c>
      <c r="M6" s="204">
        <f>PL!M28</f>
        <v>3393.8772883961965</v>
      </c>
      <c r="N6" s="204">
        <f>PL!N28</f>
        <v>3765.4527949074968</v>
      </c>
      <c r="O6" s="204">
        <f>PL!O28</f>
        <v>3992.5158517731775</v>
      </c>
      <c r="P6" s="204">
        <f>PL!P28</f>
        <v>4228.3023683894362</v>
      </c>
      <c r="Q6" s="204"/>
      <c r="R6" s="201">
        <f>PL!R28</f>
        <v>1336.6000000000001</v>
      </c>
      <c r="S6" s="201">
        <f>PL!S28</f>
        <v>1064.2999999999997</v>
      </c>
      <c r="T6" s="201">
        <f>PL!T28</f>
        <v>1430</v>
      </c>
      <c r="U6" s="201">
        <f>PL!U28</f>
        <v>1118</v>
      </c>
      <c r="V6" s="201">
        <f>PL!V28</f>
        <v>1419</v>
      </c>
      <c r="W6" s="201">
        <f>PL!W28</f>
        <v>1303</v>
      </c>
      <c r="X6" s="201">
        <f>PL!X28</f>
        <v>1893</v>
      </c>
      <c r="Y6" s="201">
        <f>PL!Y28</f>
        <v>1326</v>
      </c>
      <c r="Z6" s="201">
        <f>PL!Z28</f>
        <v>1554</v>
      </c>
      <c r="AA6" s="201">
        <f>PL!AA28</f>
        <v>1210</v>
      </c>
      <c r="AB6" s="201">
        <f>PL!AB28</f>
        <v>1382</v>
      </c>
      <c r="AC6" s="201">
        <f>PL!AC28</f>
        <v>1308</v>
      </c>
      <c r="AD6" s="201">
        <f>PL!AD28</f>
        <v>1637</v>
      </c>
      <c r="AE6" s="201">
        <f>PL!AE28</f>
        <v>1479</v>
      </c>
      <c r="AF6" s="201">
        <f>PL!AF28</f>
        <v>1692</v>
      </c>
      <c r="AG6" s="201">
        <f>PL!AG28</f>
        <v>1531</v>
      </c>
      <c r="AH6" s="201">
        <f>PL!AH28</f>
        <v>1451</v>
      </c>
      <c r="AI6" s="201">
        <f>PL!AI28</f>
        <v>1303</v>
      </c>
      <c r="AJ6" s="6"/>
    </row>
    <row r="7" spans="1:37">
      <c r="A7" s="24" t="s">
        <v>45</v>
      </c>
      <c r="B7" s="17" t="s">
        <v>92</v>
      </c>
      <c r="C7" s="201">
        <f>-PL!C26</f>
        <v>1037.5999999999999</v>
      </c>
      <c r="D7" s="201">
        <f>-PL!D26</f>
        <v>1103</v>
      </c>
      <c r="E7" s="201">
        <f>-PL!E26</f>
        <v>1222</v>
      </c>
      <c r="F7" s="201">
        <f>-PL!F26</f>
        <v>1968</v>
      </c>
      <c r="G7" s="201">
        <f>-PL!G26</f>
        <v>2079</v>
      </c>
      <c r="H7" s="201">
        <f>-PL!H26</f>
        <v>2361</v>
      </c>
      <c r="I7" s="201">
        <f>-PL!I26</f>
        <v>2578</v>
      </c>
      <c r="J7" s="201">
        <f>-PL!J26</f>
        <v>2778</v>
      </c>
      <c r="K7" s="201">
        <f>-PL!K26</f>
        <v>2953</v>
      </c>
      <c r="L7" s="204">
        <f>-PL!L26</f>
        <v>3071.12</v>
      </c>
      <c r="M7" s="204">
        <f>-PL!M26</f>
        <v>3193.9648000000002</v>
      </c>
      <c r="N7" s="204">
        <f>-PL!N26</f>
        <v>3321.7233920000003</v>
      </c>
      <c r="O7" s="204">
        <f>-PL!O26</f>
        <v>3454.5923276800004</v>
      </c>
      <c r="P7" s="204">
        <f>-PL!P26</f>
        <v>3592.7760207872007</v>
      </c>
      <c r="Q7" s="204"/>
      <c r="R7" s="201">
        <f>-PL!R26</f>
        <v>524.79999999999995</v>
      </c>
      <c r="S7" s="201">
        <f>-PL!S26</f>
        <v>512.79999999999995</v>
      </c>
      <c r="T7" s="201">
        <f>-PL!T26</f>
        <v>563</v>
      </c>
      <c r="U7" s="201">
        <f>-PL!U26</f>
        <v>540</v>
      </c>
      <c r="V7" s="201">
        <f>-PL!V26</f>
        <v>611</v>
      </c>
      <c r="W7" s="201">
        <f>-PL!W26</f>
        <v>611</v>
      </c>
      <c r="X7" s="201">
        <f>-PL!X26</f>
        <v>1248</v>
      </c>
      <c r="Y7" s="201">
        <f>-PL!Y26</f>
        <v>720</v>
      </c>
      <c r="Z7" s="201">
        <f>-PL!Z26</f>
        <v>1056</v>
      </c>
      <c r="AA7" s="201">
        <f>-PL!AA26</f>
        <v>1023</v>
      </c>
      <c r="AB7" s="201">
        <f>-PL!AB26</f>
        <v>1214</v>
      </c>
      <c r="AC7" s="201">
        <f>-PL!AC26</f>
        <v>1147</v>
      </c>
      <c r="AD7" s="201">
        <f>-PL!AD26</f>
        <v>1287</v>
      </c>
      <c r="AE7" s="201">
        <f>-PL!AE26</f>
        <v>1291</v>
      </c>
      <c r="AF7" s="201">
        <f>-PL!AF26</f>
        <v>1387</v>
      </c>
      <c r="AG7" s="201">
        <f>-PL!AG26</f>
        <v>1391</v>
      </c>
      <c r="AH7" s="201">
        <f>-PL!AH26</f>
        <v>1505</v>
      </c>
      <c r="AI7" s="201">
        <f>-PL!AI26</f>
        <v>1448</v>
      </c>
      <c r="AJ7" s="6"/>
    </row>
    <row r="8" spans="1:37">
      <c r="A8" s="24" t="s">
        <v>418</v>
      </c>
      <c r="B8" s="32" t="s">
        <v>301</v>
      </c>
      <c r="C8" s="18"/>
      <c r="D8" s="21">
        <f>BS!D66</f>
        <v>38.900000000000546</v>
      </c>
      <c r="E8" s="21">
        <f>BS!E66</f>
        <v>-25</v>
      </c>
      <c r="F8" s="21">
        <f>BS!F66</f>
        <v>412</v>
      </c>
      <c r="G8" s="21">
        <f>BS!G66</f>
        <v>2017</v>
      </c>
      <c r="H8" s="21">
        <f>BS!H66</f>
        <v>-321</v>
      </c>
      <c r="I8" s="21">
        <f>BS!I66</f>
        <v>544</v>
      </c>
      <c r="J8" s="21">
        <f>BS!J66</f>
        <v>-396</v>
      </c>
      <c r="K8" s="21">
        <f>BS!K66</f>
        <v>367</v>
      </c>
      <c r="L8" s="148">
        <f>BS!L66</f>
        <v>86.543365534438635</v>
      </c>
      <c r="M8" s="148">
        <f>BS!M66</f>
        <v>118.62836255846378</v>
      </c>
      <c r="N8" s="148">
        <f>BS!N66</f>
        <v>126.45619241337772</v>
      </c>
      <c r="O8" s="148">
        <f>BS!O66</f>
        <v>131.11441219632434</v>
      </c>
      <c r="P8" s="148">
        <f>BS!P66</f>
        <v>135.93925561096785</v>
      </c>
      <c r="Q8" s="148"/>
      <c r="R8" s="18"/>
      <c r="S8" s="21"/>
      <c r="T8" s="21">
        <f>BS!T66</f>
        <v>5.8020808712426515</v>
      </c>
      <c r="U8" s="21">
        <f>BS!U66</f>
        <v>33.097919128757894</v>
      </c>
      <c r="V8" s="21">
        <f>BS!V66</f>
        <v>1077.2649006622514</v>
      </c>
      <c r="W8" s="21">
        <f>BS!W66</f>
        <v>-1102.2649006622514</v>
      </c>
      <c r="X8" s="21">
        <f>BS!X66</f>
        <v>304.22962852007186</v>
      </c>
      <c r="Y8" s="21">
        <f>BS!Y66</f>
        <v>107.77037147992814</v>
      </c>
      <c r="Z8" s="21">
        <f>BS!Z66</f>
        <v>-2038</v>
      </c>
      <c r="AA8" s="21">
        <f>BS!AA66</f>
        <v>4055</v>
      </c>
      <c r="AB8" s="21">
        <f>BS!AB66</f>
        <v>315</v>
      </c>
      <c r="AC8" s="21">
        <f>BS!AC66</f>
        <v>-636</v>
      </c>
      <c r="AD8" s="21">
        <f>BS!AD66</f>
        <v>132</v>
      </c>
      <c r="AE8" s="21">
        <f>BS!AE66</f>
        <v>412</v>
      </c>
      <c r="AF8" s="21">
        <f>BS!AF66</f>
        <v>-66</v>
      </c>
      <c r="AG8" s="21">
        <f>BS!AG66</f>
        <v>-330</v>
      </c>
      <c r="AH8" s="21">
        <f>BS!AH66</f>
        <v>98</v>
      </c>
      <c r="AI8" s="21">
        <f>BS!AI66</f>
        <v>269</v>
      </c>
      <c r="AJ8" s="6"/>
    </row>
    <row r="9" spans="1:37">
      <c r="A9" s="24" t="s">
        <v>396</v>
      </c>
      <c r="B9" s="32" t="s">
        <v>302</v>
      </c>
      <c r="C9" s="201">
        <f>PL!C42</f>
        <v>-650.4</v>
      </c>
      <c r="D9" s="201">
        <f>PL!D42</f>
        <v>-718</v>
      </c>
      <c r="E9" s="201">
        <f>PL!E42</f>
        <v>-779</v>
      </c>
      <c r="F9" s="201">
        <f>PL!F42</f>
        <v>-730</v>
      </c>
      <c r="G9" s="201">
        <f>PL!G42</f>
        <v>-647</v>
      </c>
      <c r="H9" s="201">
        <f>PL!H42</f>
        <v>-566</v>
      </c>
      <c r="I9" s="201">
        <f>PL!I42</f>
        <v>-707</v>
      </c>
      <c r="J9" s="201">
        <f>PL!J42</f>
        <v>-763</v>
      </c>
      <c r="K9" s="201">
        <f>PL!K42</f>
        <v>-568</v>
      </c>
      <c r="L9" s="204">
        <f>PL!L42</f>
        <v>-664.13224294792508</v>
      </c>
      <c r="M9" s="204">
        <f>PL!M42</f>
        <v>-760.4914546536703</v>
      </c>
      <c r="N9" s="204">
        <f>PL!N42</f>
        <v>-865.25122708752656</v>
      </c>
      <c r="O9" s="204">
        <f>PL!O42</f>
        <v>-926.92285738663361</v>
      </c>
      <c r="P9" s="204">
        <f>PL!P42</f>
        <v>-991.01237230396237</v>
      </c>
      <c r="Q9" s="204"/>
      <c r="R9" s="201">
        <f>PL!R42</f>
        <v>-368.3</v>
      </c>
      <c r="S9" s="201">
        <f>PL!S42</f>
        <v>-282.09999999999997</v>
      </c>
      <c r="T9" s="201">
        <f>PL!T42</f>
        <v>-404</v>
      </c>
      <c r="U9" s="201">
        <f>PL!U42</f>
        <v>-314</v>
      </c>
      <c r="V9" s="201">
        <f>PL!V42</f>
        <v>-404</v>
      </c>
      <c r="W9" s="201">
        <f>PL!W42</f>
        <v>-375</v>
      </c>
      <c r="X9" s="201">
        <f>PL!X42</f>
        <v>-429.3</v>
      </c>
      <c r="Y9" s="201">
        <f>PL!Y42</f>
        <v>-300.7</v>
      </c>
      <c r="Z9" s="201">
        <f>PL!Z42</f>
        <v>-372</v>
      </c>
      <c r="AA9" s="201">
        <f>PL!AA42</f>
        <v>-275</v>
      </c>
      <c r="AB9" s="201">
        <f>PL!AB42</f>
        <v>-279</v>
      </c>
      <c r="AC9" s="201">
        <f>PL!AC42</f>
        <v>-287</v>
      </c>
      <c r="AD9" s="201">
        <f>PL!AD42</f>
        <v>-380</v>
      </c>
      <c r="AE9" s="201">
        <f>PL!AE42</f>
        <v>-327</v>
      </c>
      <c r="AF9" s="201">
        <f>PL!AF42</f>
        <v>-397</v>
      </c>
      <c r="AG9" s="201">
        <f>PL!AG42</f>
        <v>-366</v>
      </c>
      <c r="AH9" s="201">
        <f>PL!AH42</f>
        <v>-294</v>
      </c>
      <c r="AI9" s="201">
        <f>PL!AI42</f>
        <v>-274</v>
      </c>
      <c r="AJ9" s="6"/>
    </row>
    <row r="10" spans="1:37">
      <c r="A10" s="24" t="s">
        <v>85</v>
      </c>
      <c r="B10" s="32" t="s">
        <v>85</v>
      </c>
      <c r="C10" s="201">
        <f>PL!C37</f>
        <v>-193.6</v>
      </c>
      <c r="D10" s="201">
        <f>PL!D37</f>
        <v>-154</v>
      </c>
      <c r="E10" s="201">
        <f>PL!E37</f>
        <v>-126</v>
      </c>
      <c r="F10" s="201">
        <f>PL!F37</f>
        <v>-843</v>
      </c>
      <c r="G10" s="201">
        <f>PL!G37</f>
        <v>-613</v>
      </c>
      <c r="H10" s="201">
        <f>PL!H37</f>
        <v>-600</v>
      </c>
      <c r="I10" s="201">
        <f>PL!I37</f>
        <v>-677</v>
      </c>
      <c r="J10" s="201">
        <f>PL!J37</f>
        <v>-740</v>
      </c>
      <c r="K10" s="201">
        <f>PL!K37</f>
        <v>-811</v>
      </c>
      <c r="L10" s="204">
        <f>PL!L37</f>
        <v>-815</v>
      </c>
      <c r="M10" s="204">
        <f>PL!M37</f>
        <v>-833.30000000000007</v>
      </c>
      <c r="N10" s="204">
        <f>PL!N37</f>
        <v>-852.14900000000011</v>
      </c>
      <c r="O10" s="204">
        <f>PL!O37</f>
        <v>-871.56347000000017</v>
      </c>
      <c r="P10" s="204">
        <f>PL!P37</f>
        <v>-891.56037410000022</v>
      </c>
      <c r="Q10" s="204"/>
      <c r="R10" s="201">
        <f>PL!R37</f>
        <v>-113.5</v>
      </c>
      <c r="S10" s="201">
        <f>PL!S37</f>
        <v>-80.099999999999994</v>
      </c>
      <c r="T10" s="201">
        <f>PL!T37</f>
        <v>-82</v>
      </c>
      <c r="U10" s="201">
        <f>PL!U37</f>
        <v>-72</v>
      </c>
      <c r="V10" s="201">
        <f>PL!V37</f>
        <v>-71</v>
      </c>
      <c r="W10" s="201">
        <f>PL!W37</f>
        <v>-55</v>
      </c>
      <c r="X10" s="201">
        <f>PL!X37</f>
        <v>-440</v>
      </c>
      <c r="Y10" s="201">
        <f>PL!Y37</f>
        <v>-403</v>
      </c>
      <c r="Z10" s="201">
        <f>PL!Z37</f>
        <v>-331</v>
      </c>
      <c r="AA10" s="201">
        <f>PL!AA37</f>
        <v>-282</v>
      </c>
      <c r="AB10" s="201">
        <f>PL!AB37</f>
        <v>-305.12689859880271</v>
      </c>
      <c r="AC10" s="201">
        <f>PL!AC37</f>
        <v>-294.87310140119729</v>
      </c>
      <c r="AD10" s="201">
        <f>PL!AD37</f>
        <v>-346</v>
      </c>
      <c r="AE10" s="201">
        <f>PL!AE37</f>
        <v>-331</v>
      </c>
      <c r="AF10" s="201">
        <f>PL!AF37</f>
        <v>-358</v>
      </c>
      <c r="AG10" s="201">
        <f>PL!AG37</f>
        <v>-382</v>
      </c>
      <c r="AH10" s="201">
        <f>PL!AH37</f>
        <v>-416</v>
      </c>
      <c r="AI10" s="201">
        <f>PL!AI37</f>
        <v>-395</v>
      </c>
      <c r="AJ10" s="6"/>
    </row>
    <row r="11" spans="1:37">
      <c r="A11" s="24" t="s">
        <v>77</v>
      </c>
      <c r="B11" s="32" t="s">
        <v>77</v>
      </c>
      <c r="C11" s="201">
        <f>C12-SUM(C6:C10)</f>
        <v>602.19999999999891</v>
      </c>
      <c r="D11" s="201">
        <f>D12-SUM(D6:D10)</f>
        <v>112.09999999999945</v>
      </c>
      <c r="E11" s="201">
        <f>E12-SUM(E6:E10)</f>
        <v>-66</v>
      </c>
      <c r="F11" s="201">
        <f>F12-SUM(F6:F10)</f>
        <v>535</v>
      </c>
      <c r="G11" s="201">
        <f>G12-SUM(G6:G10)</f>
        <v>-976</v>
      </c>
      <c r="H11" s="201">
        <f t="shared" ref="H11" si="0">H12-SUM(H6:H10)</f>
        <v>-186</v>
      </c>
      <c r="I11" s="201">
        <f t="shared" ref="I11" si="1">I12-SUM(I6:I10)</f>
        <v>-100</v>
      </c>
      <c r="J11" s="201">
        <f t="shared" ref="J11" si="2">J12-SUM(J6:J10)</f>
        <v>257</v>
      </c>
      <c r="K11" s="201">
        <f t="shared" ref="K11" si="3">K12-SUM(K6:K10)</f>
        <v>-145</v>
      </c>
      <c r="L11" s="204">
        <v>0</v>
      </c>
      <c r="M11" s="204">
        <v>0</v>
      </c>
      <c r="N11" s="204">
        <v>0</v>
      </c>
      <c r="O11" s="204">
        <v>0</v>
      </c>
      <c r="P11" s="204">
        <v>0</v>
      </c>
      <c r="Q11" s="204"/>
      <c r="R11" s="201">
        <f>R12-SUM(R6:R10)</f>
        <v>816.09999999999832</v>
      </c>
      <c r="S11" s="201">
        <f>S12-SUM(S6:S10)</f>
        <v>-288.59999999999968</v>
      </c>
      <c r="T11" s="201">
        <f t="shared" ref="T11:AA11" si="4">T12-SUM(T6:T10)</f>
        <v>462.19791912875735</v>
      </c>
      <c r="U11" s="201">
        <f t="shared" si="4"/>
        <v>-350.09791912875789</v>
      </c>
      <c r="V11" s="201">
        <f t="shared" si="4"/>
        <v>-617.26490066225142</v>
      </c>
      <c r="W11" s="201">
        <f t="shared" si="4"/>
        <v>551.26490066225142</v>
      </c>
      <c r="X11" s="201">
        <f t="shared" si="4"/>
        <v>-514.92962852007167</v>
      </c>
      <c r="Y11" s="201">
        <f t="shared" si="4"/>
        <v>1049.9296285200719</v>
      </c>
      <c r="Z11" s="201">
        <f t="shared" si="4"/>
        <v>3011</v>
      </c>
      <c r="AA11" s="201">
        <f t="shared" si="4"/>
        <v>-3987</v>
      </c>
      <c r="AB11" s="201">
        <f t="shared" ref="AB11" si="5">AB12-SUM(AB6:AB10)</f>
        <v>-595.87310140119735</v>
      </c>
      <c r="AC11" s="201">
        <f t="shared" ref="AC11" si="6">AC12-SUM(AC6:AC10)</f>
        <v>409.87310140119735</v>
      </c>
      <c r="AD11" s="201">
        <f t="shared" ref="AD11" si="7">AD12-SUM(AD6:AD10)</f>
        <v>-181</v>
      </c>
      <c r="AE11" s="201">
        <f t="shared" ref="AE11" si="8">AE12-SUM(AE6:AE10)</f>
        <v>81</v>
      </c>
      <c r="AF11" s="201">
        <f t="shared" ref="AF11" si="9">AF12-SUM(AF6:AF10)</f>
        <v>324</v>
      </c>
      <c r="AG11" s="201">
        <f t="shared" ref="AG11" si="10">AG12-SUM(AG6:AG10)</f>
        <v>-67</v>
      </c>
      <c r="AH11" s="201">
        <f>AH12-SUM(AH6:AH10)</f>
        <v>-445</v>
      </c>
      <c r="AI11" s="201">
        <f t="shared" ref="AI11" si="11">AI12-SUM(AI6:AI10)</f>
        <v>300</v>
      </c>
      <c r="AJ11" s="6"/>
    </row>
    <row r="12" spans="1:37" s="7" customFormat="1">
      <c r="A12" s="24" t="s">
        <v>220</v>
      </c>
      <c r="B12" s="142" t="s">
        <v>300</v>
      </c>
      <c r="C12" s="202">
        <f t="shared" ref="C12:K12" si="12">C20</f>
        <v>3121.9999999999986</v>
      </c>
      <c r="D12" s="202">
        <f t="shared" si="12"/>
        <v>2930</v>
      </c>
      <c r="E12" s="202">
        <f t="shared" si="12"/>
        <v>2948</v>
      </c>
      <c r="F12" s="202">
        <f t="shared" si="12"/>
        <v>4561</v>
      </c>
      <c r="G12" s="202">
        <f t="shared" si="12"/>
        <v>4624</v>
      </c>
      <c r="H12" s="202">
        <f t="shared" si="12"/>
        <v>3378</v>
      </c>
      <c r="I12" s="202">
        <f t="shared" si="12"/>
        <v>4754</v>
      </c>
      <c r="J12" s="202">
        <f t="shared" si="12"/>
        <v>4359</v>
      </c>
      <c r="K12" s="202">
        <f t="shared" si="12"/>
        <v>4550</v>
      </c>
      <c r="L12" s="202">
        <f>SUM(L6:L11)</f>
        <v>4729.6666207276749</v>
      </c>
      <c r="M12" s="202">
        <f t="shared" ref="M12:P12" si="13">SUM(M6:M11)</f>
        <v>5112.6789963009905</v>
      </c>
      <c r="N12" s="202">
        <f t="shared" si="13"/>
        <v>5496.2321522333477</v>
      </c>
      <c r="O12" s="202">
        <f t="shared" si="13"/>
        <v>5779.7362642628686</v>
      </c>
      <c r="P12" s="202">
        <f t="shared" si="13"/>
        <v>6074.4448983836419</v>
      </c>
      <c r="Q12" s="202"/>
      <c r="R12" s="202">
        <f>R20</f>
        <v>2195.6999999999985</v>
      </c>
      <c r="S12" s="202">
        <f>C12-R12</f>
        <v>926.30000000000018</v>
      </c>
      <c r="T12" s="202">
        <f t="shared" ref="T12:AH12" si="14">T20</f>
        <v>1975</v>
      </c>
      <c r="U12" s="202">
        <f>D12-T12</f>
        <v>955</v>
      </c>
      <c r="V12" s="202">
        <f t="shared" si="14"/>
        <v>2015</v>
      </c>
      <c r="W12" s="202">
        <f>E12-V12</f>
        <v>933</v>
      </c>
      <c r="X12" s="202">
        <f t="shared" si="14"/>
        <v>2061</v>
      </c>
      <c r="Y12" s="202">
        <f>F12-X12</f>
        <v>2500</v>
      </c>
      <c r="Z12" s="202">
        <f t="shared" si="14"/>
        <v>2880</v>
      </c>
      <c r="AA12" s="202">
        <f>G12-Z12</f>
        <v>1744</v>
      </c>
      <c r="AB12" s="202">
        <f t="shared" si="14"/>
        <v>1731</v>
      </c>
      <c r="AC12" s="202">
        <f>H12-AB12</f>
        <v>1647</v>
      </c>
      <c r="AD12" s="202">
        <f t="shared" si="14"/>
        <v>2149</v>
      </c>
      <c r="AE12" s="202">
        <f>I12-AD12</f>
        <v>2605</v>
      </c>
      <c r="AF12" s="202">
        <f t="shared" si="14"/>
        <v>2582</v>
      </c>
      <c r="AG12" s="202">
        <f>J12-AF12</f>
        <v>1777</v>
      </c>
      <c r="AH12" s="202">
        <f t="shared" si="14"/>
        <v>1899</v>
      </c>
      <c r="AI12" s="202">
        <f>K12-AH12</f>
        <v>2651</v>
      </c>
      <c r="AJ12" s="6"/>
      <c r="AK12"/>
    </row>
    <row r="13" spans="1:37">
      <c r="B13" s="25" t="s">
        <v>353</v>
      </c>
      <c r="C13" s="199"/>
      <c r="D13" s="199"/>
      <c r="E13" s="199"/>
      <c r="F13" s="199"/>
      <c r="G13" s="199"/>
      <c r="H13" s="199"/>
      <c r="I13" s="199"/>
      <c r="J13" s="199"/>
      <c r="K13" s="199"/>
      <c r="L13" s="200"/>
      <c r="M13" s="200"/>
      <c r="N13" s="200"/>
      <c r="O13" s="200"/>
      <c r="P13" s="200"/>
      <c r="Q13" s="200"/>
      <c r="R13" s="199"/>
      <c r="S13" s="199"/>
      <c r="T13" s="199"/>
      <c r="U13" s="199"/>
      <c r="V13" s="199"/>
      <c r="W13" s="199"/>
      <c r="X13" s="199"/>
      <c r="Y13" s="199"/>
      <c r="Z13" s="199"/>
      <c r="AA13" s="199"/>
      <c r="AB13" s="199"/>
      <c r="AC13" s="199"/>
      <c r="AD13" s="199"/>
      <c r="AE13" s="199"/>
      <c r="AF13" s="199"/>
      <c r="AG13" s="199"/>
      <c r="AH13" s="199"/>
      <c r="AI13" s="199"/>
      <c r="AJ13" s="6"/>
    </row>
    <row r="14" spans="1:37">
      <c r="B14" s="32" t="s">
        <v>94</v>
      </c>
      <c r="C14" s="22">
        <v>65498.9</v>
      </c>
      <c r="D14" s="22">
        <v>66899</v>
      </c>
      <c r="E14" s="22">
        <v>68998</v>
      </c>
      <c r="F14" s="22">
        <v>68898</v>
      </c>
      <c r="G14" s="22">
        <v>72688</v>
      </c>
      <c r="H14" s="22">
        <v>64538</v>
      </c>
      <c r="I14" s="22">
        <v>68275</v>
      </c>
      <c r="J14" s="22">
        <v>72155</v>
      </c>
      <c r="K14" s="22">
        <v>73510</v>
      </c>
      <c r="L14" s="179"/>
      <c r="M14" s="179"/>
      <c r="N14" s="179"/>
      <c r="O14" s="179"/>
      <c r="P14" s="179"/>
      <c r="Q14" s="179"/>
      <c r="R14" s="22">
        <v>35014.199999999997</v>
      </c>
      <c r="S14" s="21">
        <f>C14-R14</f>
        <v>30484.700000000004</v>
      </c>
      <c r="T14" s="22">
        <v>35298</v>
      </c>
      <c r="U14" s="21">
        <f>D14-T14</f>
        <v>31601</v>
      </c>
      <c r="V14" s="22">
        <v>35909</v>
      </c>
      <c r="W14" s="21">
        <f>E14-V14</f>
        <v>33089</v>
      </c>
      <c r="X14" s="22">
        <v>35105</v>
      </c>
      <c r="Y14" s="21">
        <f>F14-X14</f>
        <v>33793</v>
      </c>
      <c r="Z14" s="22">
        <v>38659</v>
      </c>
      <c r="AA14" s="21">
        <f>G14-Z14</f>
        <v>34029</v>
      </c>
      <c r="AB14" s="22">
        <v>33811</v>
      </c>
      <c r="AC14" s="21">
        <f>H14-AB14</f>
        <v>30727</v>
      </c>
      <c r="AD14" s="22">
        <v>35210</v>
      </c>
      <c r="AE14" s="21">
        <f>I14-AD14</f>
        <v>33065</v>
      </c>
      <c r="AF14" s="22">
        <v>36841</v>
      </c>
      <c r="AG14" s="21">
        <f>J14-AF14</f>
        <v>35314</v>
      </c>
      <c r="AH14" s="22">
        <v>38157</v>
      </c>
      <c r="AI14" s="21">
        <f>K14-AH14</f>
        <v>35353</v>
      </c>
      <c r="AJ14" s="6"/>
    </row>
    <row r="15" spans="1:37">
      <c r="B15" s="32" t="s">
        <v>95</v>
      </c>
      <c r="C15" s="22">
        <v>-61474.8</v>
      </c>
      <c r="D15" s="22">
        <v>-63124</v>
      </c>
      <c r="E15" s="22">
        <v>-65140</v>
      </c>
      <c r="F15" s="22">
        <v>-62831</v>
      </c>
      <c r="G15" s="22">
        <v>-66526</v>
      </c>
      <c r="H15" s="22">
        <v>-59721</v>
      </c>
      <c r="I15" s="22">
        <v>-62259</v>
      </c>
      <c r="J15" s="22">
        <v>-66292</v>
      </c>
      <c r="K15" s="22">
        <v>-67336</v>
      </c>
      <c r="L15" s="179"/>
      <c r="M15" s="179"/>
      <c r="N15" s="179"/>
      <c r="O15" s="179"/>
      <c r="P15" s="179"/>
      <c r="Q15" s="179"/>
      <c r="R15" s="22">
        <v>-32256.6</v>
      </c>
      <c r="S15" s="21">
        <f>C15-R15</f>
        <v>-29218.200000000004</v>
      </c>
      <c r="T15" s="22">
        <v>-32892</v>
      </c>
      <c r="U15" s="21">
        <f>D15-T15</f>
        <v>-30232</v>
      </c>
      <c r="V15" s="22">
        <v>-33422</v>
      </c>
      <c r="W15" s="21">
        <f>E15-V15</f>
        <v>-31718</v>
      </c>
      <c r="X15" s="22">
        <v>-32154</v>
      </c>
      <c r="Y15" s="21">
        <f>F15-X15</f>
        <v>-30677</v>
      </c>
      <c r="Z15" s="22">
        <v>-34886</v>
      </c>
      <c r="AA15" s="21">
        <f>G15-Z15</f>
        <v>-31640</v>
      </c>
      <c r="AB15" s="22">
        <v>-31235</v>
      </c>
      <c r="AC15" s="21">
        <f>H15-AB15</f>
        <v>-28486</v>
      </c>
      <c r="AD15" s="22">
        <v>-32335</v>
      </c>
      <c r="AE15" s="21">
        <f>I15-AD15</f>
        <v>-29924</v>
      </c>
      <c r="AF15" s="22">
        <v>-33435</v>
      </c>
      <c r="AG15" s="21">
        <f>J15-AF15</f>
        <v>-32857</v>
      </c>
      <c r="AH15" s="22">
        <v>-35138</v>
      </c>
      <c r="AI15" s="21">
        <f>K15-AH15</f>
        <v>-32198</v>
      </c>
      <c r="AJ15" s="6"/>
    </row>
    <row r="16" spans="1:37">
      <c r="B16" s="32" t="s">
        <v>239</v>
      </c>
      <c r="C16" s="22"/>
      <c r="D16" s="22"/>
      <c r="E16" s="22"/>
      <c r="F16" s="22">
        <v>-701</v>
      </c>
      <c r="G16" s="22">
        <v>-687</v>
      </c>
      <c r="H16" s="22">
        <v>-542</v>
      </c>
      <c r="I16" s="22">
        <v>-542</v>
      </c>
      <c r="J16" s="22">
        <v>-570</v>
      </c>
      <c r="K16" s="22">
        <v>-597</v>
      </c>
      <c r="L16" s="179"/>
      <c r="M16" s="179"/>
      <c r="N16" s="179"/>
      <c r="O16" s="179"/>
      <c r="P16" s="179"/>
      <c r="Q16" s="179"/>
      <c r="R16" s="22"/>
      <c r="S16" s="21">
        <f>C16-R16</f>
        <v>0</v>
      </c>
      <c r="T16" s="22"/>
      <c r="U16" s="21">
        <f>D16-T16</f>
        <v>0</v>
      </c>
      <c r="V16" s="22"/>
      <c r="W16" s="21">
        <f>E16-V16</f>
        <v>0</v>
      </c>
      <c r="X16" s="22">
        <v>-414</v>
      </c>
      <c r="Y16" s="21">
        <f>F16-X16</f>
        <v>-287</v>
      </c>
      <c r="Z16" s="22">
        <v>-407</v>
      </c>
      <c r="AA16" s="21">
        <f>G16-Z16</f>
        <v>-280</v>
      </c>
      <c r="AB16" s="22">
        <v>-322</v>
      </c>
      <c r="AC16" s="21">
        <f>H16-AB16</f>
        <v>-220</v>
      </c>
      <c r="AD16" s="22">
        <v>-320</v>
      </c>
      <c r="AE16" s="21">
        <f>I16-AD16</f>
        <v>-222</v>
      </c>
      <c r="AF16" s="22">
        <v>-333</v>
      </c>
      <c r="AG16" s="21">
        <f>J16-AF16</f>
        <v>-237</v>
      </c>
      <c r="AH16" s="22">
        <v>-356</v>
      </c>
      <c r="AI16" s="21">
        <f>K16-AH16</f>
        <v>-241</v>
      </c>
      <c r="AJ16" s="6"/>
    </row>
    <row r="17" spans="1:37">
      <c r="B17" s="32" t="s">
        <v>240</v>
      </c>
      <c r="C17" s="22">
        <v>-234</v>
      </c>
      <c r="D17" s="22">
        <v>-184</v>
      </c>
      <c r="E17" s="22">
        <v>-166</v>
      </c>
      <c r="F17" s="22">
        <v>-155</v>
      </c>
      <c r="G17" s="22">
        <v>-113</v>
      </c>
      <c r="H17" s="22">
        <v>-59</v>
      </c>
      <c r="I17" s="22">
        <v>-133</v>
      </c>
      <c r="J17" s="22">
        <v>-160</v>
      </c>
      <c r="K17" s="22">
        <v>-226</v>
      </c>
      <c r="L17" s="179"/>
      <c r="M17" s="179"/>
      <c r="N17" s="179"/>
      <c r="O17" s="179"/>
      <c r="P17" s="179"/>
      <c r="Q17" s="179"/>
      <c r="R17" s="22">
        <v>-132.5</v>
      </c>
      <c r="S17" s="21">
        <f>C17-R17</f>
        <v>-101.5</v>
      </c>
      <c r="T17" s="22">
        <v>-95</v>
      </c>
      <c r="U17" s="21">
        <f>D17-T17</f>
        <v>-89</v>
      </c>
      <c r="V17" s="22">
        <v>-86</v>
      </c>
      <c r="W17" s="21">
        <f>E17-V17</f>
        <v>-80</v>
      </c>
      <c r="X17" s="22">
        <v>-91</v>
      </c>
      <c r="Y17" s="21">
        <f>F17-X17</f>
        <v>-64</v>
      </c>
      <c r="Z17" s="22">
        <v>-67</v>
      </c>
      <c r="AA17" s="21">
        <f>G17-Z17</f>
        <v>-46</v>
      </c>
      <c r="AB17" s="22">
        <v>-13</v>
      </c>
      <c r="AC17" s="21">
        <f>H17-AB17</f>
        <v>-46</v>
      </c>
      <c r="AD17" s="22">
        <v>-52</v>
      </c>
      <c r="AE17" s="21">
        <f>I17-AD17</f>
        <v>-81</v>
      </c>
      <c r="AF17" s="22">
        <v>-67</v>
      </c>
      <c r="AG17" s="21">
        <f>J17-AF17</f>
        <v>-93</v>
      </c>
      <c r="AH17" s="22">
        <v>-105</v>
      </c>
      <c r="AI17" s="21">
        <f>K17-AH17</f>
        <v>-121</v>
      </c>
      <c r="AJ17" s="6"/>
    </row>
    <row r="18" spans="1:37">
      <c r="B18" s="32" t="s">
        <v>241</v>
      </c>
      <c r="C18" s="22">
        <v>-668.1</v>
      </c>
      <c r="D18" s="22">
        <v>-661</v>
      </c>
      <c r="E18" s="22">
        <v>-744</v>
      </c>
      <c r="F18" s="22">
        <v>-650</v>
      </c>
      <c r="G18" s="22">
        <v>-738</v>
      </c>
      <c r="H18" s="22">
        <v>-838</v>
      </c>
      <c r="I18" s="22">
        <v>-587</v>
      </c>
      <c r="J18" s="22">
        <v>-774</v>
      </c>
      <c r="K18" s="22">
        <v>-801</v>
      </c>
      <c r="L18" s="179"/>
      <c r="M18" s="179"/>
      <c r="N18" s="179"/>
      <c r="O18" s="179"/>
      <c r="P18" s="179"/>
      <c r="Q18" s="179"/>
      <c r="R18" s="22">
        <v>-429.4</v>
      </c>
      <c r="S18" s="21">
        <f>C18-R18</f>
        <v>-238.70000000000005</v>
      </c>
      <c r="T18" s="22">
        <v>-336</v>
      </c>
      <c r="U18" s="21">
        <f>D18-T18</f>
        <v>-325</v>
      </c>
      <c r="V18" s="22">
        <v>-386</v>
      </c>
      <c r="W18" s="21">
        <f>E18-V18</f>
        <v>-358</v>
      </c>
      <c r="X18" s="22">
        <v>-385</v>
      </c>
      <c r="Y18" s="21">
        <f>F18-X18</f>
        <v>-265</v>
      </c>
      <c r="Z18" s="22">
        <v>-419</v>
      </c>
      <c r="AA18" s="21">
        <f>G18-Z18</f>
        <v>-319</v>
      </c>
      <c r="AB18" s="22">
        <v>-510</v>
      </c>
      <c r="AC18" s="21">
        <f>H18-AB18</f>
        <v>-328</v>
      </c>
      <c r="AD18" s="22">
        <v>-354</v>
      </c>
      <c r="AE18" s="21">
        <f>I18-AD18</f>
        <v>-233</v>
      </c>
      <c r="AF18" s="22">
        <v>-424</v>
      </c>
      <c r="AG18" s="21">
        <f>J18-AF18</f>
        <v>-350</v>
      </c>
      <c r="AH18" s="22">
        <v>-659</v>
      </c>
      <c r="AI18" s="21">
        <f>K18-AH18</f>
        <v>-142</v>
      </c>
      <c r="AJ18" s="6"/>
    </row>
    <row r="19" spans="1:37">
      <c r="B19" s="32" t="s">
        <v>77</v>
      </c>
      <c r="C19" s="22"/>
      <c r="D19" s="22"/>
      <c r="E19" s="22"/>
      <c r="F19" s="22"/>
      <c r="G19" s="22"/>
      <c r="H19" s="22"/>
      <c r="I19" s="22"/>
      <c r="J19" s="22"/>
      <c r="K19" s="22"/>
      <c r="L19" s="179"/>
      <c r="M19" s="179"/>
      <c r="N19" s="179"/>
      <c r="O19" s="179"/>
      <c r="P19" s="179"/>
      <c r="Q19" s="179"/>
      <c r="R19" s="22"/>
      <c r="S19" s="22"/>
      <c r="T19" s="22"/>
      <c r="U19" s="22"/>
      <c r="V19" s="22"/>
      <c r="W19" s="22"/>
      <c r="X19" s="22"/>
      <c r="Y19" s="22"/>
      <c r="Z19" s="22"/>
      <c r="AA19" s="22"/>
      <c r="AB19" s="22"/>
      <c r="AC19" s="22"/>
      <c r="AD19" s="22"/>
      <c r="AE19" s="22"/>
      <c r="AF19" s="22"/>
      <c r="AG19" s="22"/>
      <c r="AH19" s="22"/>
      <c r="AI19" s="22"/>
      <c r="AJ19" s="6"/>
    </row>
    <row r="20" spans="1:37" s="7" customFormat="1">
      <c r="A20" s="24"/>
      <c r="B20" s="142" t="s">
        <v>346</v>
      </c>
      <c r="C20" s="202">
        <f t="shared" ref="C20:K20" si="15">SUM(C13:C19)</f>
        <v>3121.9999999999986</v>
      </c>
      <c r="D20" s="202">
        <f t="shared" si="15"/>
        <v>2930</v>
      </c>
      <c r="E20" s="202">
        <f t="shared" si="15"/>
        <v>2948</v>
      </c>
      <c r="F20" s="202">
        <f t="shared" si="15"/>
        <v>4561</v>
      </c>
      <c r="G20" s="202">
        <f t="shared" si="15"/>
        <v>4624</v>
      </c>
      <c r="H20" s="202">
        <f t="shared" si="15"/>
        <v>3378</v>
      </c>
      <c r="I20" s="202">
        <f t="shared" si="15"/>
        <v>4754</v>
      </c>
      <c r="J20" s="202">
        <f t="shared" si="15"/>
        <v>4359</v>
      </c>
      <c r="K20" s="202">
        <f t="shared" si="15"/>
        <v>4550</v>
      </c>
      <c r="L20" s="202">
        <f>L12</f>
        <v>4729.6666207276749</v>
      </c>
      <c r="M20" s="202">
        <f>M12</f>
        <v>5112.6789963009905</v>
      </c>
      <c r="N20" s="202">
        <f>N12</f>
        <v>5496.2321522333477</v>
      </c>
      <c r="O20" s="202">
        <f>O12</f>
        <v>5779.7362642628686</v>
      </c>
      <c r="P20" s="202">
        <f>P12</f>
        <v>6074.4448983836419</v>
      </c>
      <c r="Q20" s="202"/>
      <c r="R20" s="202">
        <f>SUM(R13:R19)</f>
        <v>2195.6999999999985</v>
      </c>
      <c r="S20" s="202">
        <f>C20-R20</f>
        <v>926.30000000000018</v>
      </c>
      <c r="T20" s="202">
        <f>SUM(T13:T19)</f>
        <v>1975</v>
      </c>
      <c r="U20" s="202">
        <f>D20-T20</f>
        <v>955</v>
      </c>
      <c r="V20" s="202">
        <f>SUM(V13:V19)</f>
        <v>2015</v>
      </c>
      <c r="W20" s="202">
        <f>E20-V20</f>
        <v>933</v>
      </c>
      <c r="X20" s="202">
        <f>SUM(X13:X19)</f>
        <v>2061</v>
      </c>
      <c r="Y20" s="202">
        <f>F20-X20</f>
        <v>2500</v>
      </c>
      <c r="Z20" s="202">
        <f>SUM(Z13:Z19)</f>
        <v>2880</v>
      </c>
      <c r="AA20" s="202">
        <f>G20-Z20</f>
        <v>1744</v>
      </c>
      <c r="AB20" s="202">
        <f>SUM(AB13:AB19)</f>
        <v>1731</v>
      </c>
      <c r="AC20" s="202">
        <f>H20-AB20</f>
        <v>1647</v>
      </c>
      <c r="AD20" s="202">
        <f>SUM(AD13:AD19)</f>
        <v>2149</v>
      </c>
      <c r="AE20" s="202">
        <f>I20-AD20</f>
        <v>2605</v>
      </c>
      <c r="AF20" s="202">
        <f>SUM(AF13:AF19)</f>
        <v>2582</v>
      </c>
      <c r="AG20" s="202">
        <f>J20-AF20</f>
        <v>1777</v>
      </c>
      <c r="AH20" s="202">
        <f>SUM(AH13:AH19)</f>
        <v>1899</v>
      </c>
      <c r="AI20" s="202">
        <f>K20-AH20</f>
        <v>2651</v>
      </c>
      <c r="AJ20" s="6"/>
      <c r="AK20"/>
    </row>
    <row r="21" spans="1:37">
      <c r="A21" s="170" t="s">
        <v>449</v>
      </c>
      <c r="B21" s="32" t="s">
        <v>242</v>
      </c>
      <c r="C21" s="22">
        <v>279.8</v>
      </c>
      <c r="D21" s="22">
        <v>85</v>
      </c>
      <c r="E21" s="22">
        <v>177</v>
      </c>
      <c r="F21" s="22">
        <v>261</v>
      </c>
      <c r="G21" s="22">
        <v>389</v>
      </c>
      <c r="H21" s="22">
        <v>332</v>
      </c>
      <c r="I21" s="22">
        <v>361</v>
      </c>
      <c r="J21" s="22">
        <v>342</v>
      </c>
      <c r="K21" s="22">
        <v>298</v>
      </c>
      <c r="L21" s="148">
        <f>-Model!L365</f>
        <v>250</v>
      </c>
      <c r="M21" s="148">
        <f>-Model!M365</f>
        <v>250</v>
      </c>
      <c r="N21" s="148">
        <f>-Model!N365</f>
        <v>250</v>
      </c>
      <c r="O21" s="148">
        <f>-Model!O365</f>
        <v>250</v>
      </c>
      <c r="P21" s="148">
        <f>-Model!P365</f>
        <v>250</v>
      </c>
      <c r="Q21" s="179"/>
      <c r="R21" s="22">
        <v>167.2</v>
      </c>
      <c r="S21" s="21">
        <f t="shared" ref="S21:S28" si="16">C21-R21</f>
        <v>112.60000000000002</v>
      </c>
      <c r="T21" s="22">
        <v>35</v>
      </c>
      <c r="U21" s="21">
        <f t="shared" ref="U21:U28" si="17">D21-T21</f>
        <v>50</v>
      </c>
      <c r="V21" s="22">
        <v>115</v>
      </c>
      <c r="W21" s="21">
        <f t="shared" ref="W21:W28" si="18">E21-V21</f>
        <v>62</v>
      </c>
      <c r="X21" s="22">
        <v>158</v>
      </c>
      <c r="Y21" s="21">
        <f t="shared" ref="Y21:Y28" si="19">F21-X21</f>
        <v>103</v>
      </c>
      <c r="Z21" s="22">
        <v>298</v>
      </c>
      <c r="AA21" s="21">
        <f t="shared" ref="AA21:AA28" si="20">G21-Z21</f>
        <v>91</v>
      </c>
      <c r="AB21" s="22">
        <v>228</v>
      </c>
      <c r="AC21" s="21">
        <f t="shared" ref="AC21:AC28" si="21">H21-AB21</f>
        <v>104</v>
      </c>
      <c r="AD21" s="22">
        <v>134</v>
      </c>
      <c r="AE21" s="21">
        <f t="shared" ref="AE21:AE28" si="22">I21-AD21</f>
        <v>227</v>
      </c>
      <c r="AF21" s="22">
        <v>124</v>
      </c>
      <c r="AG21" s="21">
        <f t="shared" ref="AG21:AG28" si="23">J21-AF21</f>
        <v>218</v>
      </c>
      <c r="AH21" s="22">
        <v>142</v>
      </c>
      <c r="AI21" s="21">
        <f t="shared" ref="AI21:AI28" si="24">K21-AH21</f>
        <v>156</v>
      </c>
      <c r="AJ21" s="6"/>
    </row>
    <row r="22" spans="1:37">
      <c r="A22" s="170" t="s">
        <v>399</v>
      </c>
      <c r="B22" s="32" t="s">
        <v>243</v>
      </c>
      <c r="C22" s="22">
        <f>-253.2-1633.6-23</f>
        <v>-1909.8</v>
      </c>
      <c r="D22" s="22">
        <f>-1848</f>
        <v>-1848</v>
      </c>
      <c r="E22" s="22">
        <v>-1991</v>
      </c>
      <c r="F22" s="22">
        <v>-2149</v>
      </c>
      <c r="G22" s="22">
        <v>-2389</v>
      </c>
      <c r="H22" s="22">
        <v>-2416</v>
      </c>
      <c r="I22" s="22">
        <v>-2519</v>
      </c>
      <c r="J22" s="22">
        <v>-2548</v>
      </c>
      <c r="K22" s="22">
        <v>-2528</v>
      </c>
      <c r="L22" s="148">
        <f>-Model!L374</f>
        <v>-2430</v>
      </c>
      <c r="M22" s="148">
        <f>-Model!M374</f>
        <v>-2430</v>
      </c>
      <c r="N22" s="148">
        <f>-Model!N374</f>
        <v>-2430</v>
      </c>
      <c r="O22" s="148">
        <f>-Model!O374</f>
        <v>-2430</v>
      </c>
      <c r="P22" s="148">
        <f>-Model!P374</f>
        <v>-2430</v>
      </c>
      <c r="Q22" s="179"/>
      <c r="R22" s="22">
        <f>-88.7-646.1-19.6</f>
        <v>-754.40000000000009</v>
      </c>
      <c r="S22" s="21">
        <f t="shared" si="16"/>
        <v>-1155.3999999999999</v>
      </c>
      <c r="T22" s="22">
        <f>-106-765-5</f>
        <v>-876</v>
      </c>
      <c r="U22" s="21">
        <f t="shared" si="17"/>
        <v>-972</v>
      </c>
      <c r="V22" s="22">
        <v>-1002</v>
      </c>
      <c r="W22" s="21">
        <f t="shared" si="18"/>
        <v>-989</v>
      </c>
      <c r="X22" s="22">
        <v>-888</v>
      </c>
      <c r="Y22" s="21">
        <f t="shared" si="19"/>
        <v>-1261</v>
      </c>
      <c r="Z22" s="22">
        <v>-1005</v>
      </c>
      <c r="AA22" s="21">
        <f t="shared" si="20"/>
        <v>-1384</v>
      </c>
      <c r="AB22" s="22">
        <v>-1144</v>
      </c>
      <c r="AC22" s="21">
        <f t="shared" si="21"/>
        <v>-1272</v>
      </c>
      <c r="AD22" s="22">
        <v>-1274</v>
      </c>
      <c r="AE22" s="21">
        <f t="shared" si="22"/>
        <v>-1245</v>
      </c>
      <c r="AF22" s="22">
        <v>-1315</v>
      </c>
      <c r="AG22" s="21">
        <f t="shared" si="23"/>
        <v>-1233</v>
      </c>
      <c r="AH22" s="22">
        <v>-1218</v>
      </c>
      <c r="AI22" s="21">
        <f t="shared" si="24"/>
        <v>-1310</v>
      </c>
      <c r="AJ22" s="6"/>
    </row>
    <row r="23" spans="1:37">
      <c r="A23" s="170" t="s">
        <v>550</v>
      </c>
      <c r="B23" s="32" t="s">
        <v>244</v>
      </c>
      <c r="C23" s="22">
        <v>200.7</v>
      </c>
      <c r="D23" s="22">
        <v>287</v>
      </c>
      <c r="E23" s="22">
        <v>1682</v>
      </c>
      <c r="F23" s="22">
        <v>34</v>
      </c>
      <c r="G23" s="22">
        <v>19</v>
      </c>
      <c r="H23" s="22">
        <v>53</v>
      </c>
      <c r="I23" s="22">
        <v>659</v>
      </c>
      <c r="J23" s="22">
        <v>466</v>
      </c>
      <c r="K23" s="22">
        <v>408</v>
      </c>
      <c r="L23" s="179"/>
      <c r="M23" s="179"/>
      <c r="N23" s="179"/>
      <c r="O23" s="179"/>
      <c r="P23" s="179"/>
      <c r="Q23" s="179"/>
      <c r="R23" s="22">
        <f>2.8+197.9</f>
        <v>200.70000000000002</v>
      </c>
      <c r="S23" s="21">
        <f t="shared" si="16"/>
        <v>0</v>
      </c>
      <c r="T23" s="22">
        <v>272</v>
      </c>
      <c r="U23" s="21">
        <f t="shared" si="17"/>
        <v>15</v>
      </c>
      <c r="V23" s="22"/>
      <c r="W23" s="21">
        <f t="shared" si="18"/>
        <v>1682</v>
      </c>
      <c r="X23" s="22">
        <v>18</v>
      </c>
      <c r="Y23" s="21">
        <f t="shared" si="19"/>
        <v>16</v>
      </c>
      <c r="Z23" s="22">
        <v>19</v>
      </c>
      <c r="AA23" s="21">
        <f t="shared" si="20"/>
        <v>0</v>
      </c>
      <c r="AB23" s="22">
        <v>53</v>
      </c>
      <c r="AC23" s="21">
        <f t="shared" si="21"/>
        <v>0</v>
      </c>
      <c r="AD23" s="22">
        <v>659</v>
      </c>
      <c r="AE23" s="21">
        <f t="shared" si="22"/>
        <v>0</v>
      </c>
      <c r="AF23" s="22"/>
      <c r="AG23" s="21">
        <f t="shared" si="23"/>
        <v>466</v>
      </c>
      <c r="AH23" s="22">
        <v>408</v>
      </c>
      <c r="AI23" s="21">
        <f t="shared" si="24"/>
        <v>0</v>
      </c>
      <c r="AJ23" s="6"/>
    </row>
    <row r="24" spans="1:37">
      <c r="A24" s="170" t="s">
        <v>109</v>
      </c>
      <c r="B24" s="32" t="s">
        <v>245</v>
      </c>
      <c r="C24" s="22">
        <v>-5.6</v>
      </c>
      <c r="D24" s="22">
        <v>-38</v>
      </c>
      <c r="E24" s="22">
        <v>-80</v>
      </c>
      <c r="F24" s="22">
        <v>-91</v>
      </c>
      <c r="G24" s="22">
        <v>-209</v>
      </c>
      <c r="H24" s="22">
        <v>-425</v>
      </c>
      <c r="I24" s="22">
        <v>-373</v>
      </c>
      <c r="J24" s="22">
        <v>-487</v>
      </c>
      <c r="K24" s="22">
        <v>-84</v>
      </c>
      <c r="L24" s="179"/>
      <c r="M24" s="179"/>
      <c r="N24" s="220"/>
      <c r="O24" s="179"/>
      <c r="P24" s="179"/>
      <c r="Q24" s="179"/>
      <c r="R24" s="22">
        <v>-1.6</v>
      </c>
      <c r="S24" s="21">
        <f t="shared" si="16"/>
        <v>-3.9999999999999996</v>
      </c>
      <c r="T24" s="22">
        <v>-38</v>
      </c>
      <c r="U24" s="21">
        <f t="shared" si="17"/>
        <v>0</v>
      </c>
      <c r="V24" s="22">
        <v>-26</v>
      </c>
      <c r="W24" s="21">
        <f t="shared" si="18"/>
        <v>-54</v>
      </c>
      <c r="X24" s="22">
        <v>-47</v>
      </c>
      <c r="Y24" s="21">
        <f t="shared" si="19"/>
        <v>-44</v>
      </c>
      <c r="Z24" s="22">
        <v>-28</v>
      </c>
      <c r="AA24" s="21">
        <f t="shared" si="20"/>
        <v>-181</v>
      </c>
      <c r="AB24" s="22">
        <v>-396</v>
      </c>
      <c r="AC24" s="21">
        <f t="shared" si="21"/>
        <v>-29</v>
      </c>
      <c r="AD24" s="22">
        <v>-365</v>
      </c>
      <c r="AE24" s="21">
        <f t="shared" si="22"/>
        <v>-8</v>
      </c>
      <c r="AF24" s="22">
        <v>-8</v>
      </c>
      <c r="AG24" s="21">
        <f t="shared" si="23"/>
        <v>-479</v>
      </c>
      <c r="AH24" s="22"/>
      <c r="AI24" s="21">
        <f t="shared" si="24"/>
        <v>-84</v>
      </c>
      <c r="AJ24" s="6"/>
    </row>
    <row r="25" spans="1:37">
      <c r="B25" s="32" t="s">
        <v>246</v>
      </c>
      <c r="C25" s="22"/>
      <c r="D25" s="22"/>
      <c r="E25" s="22"/>
      <c r="F25" s="22"/>
      <c r="G25" s="22">
        <v>-35</v>
      </c>
      <c r="H25" s="22">
        <v>-32</v>
      </c>
      <c r="I25" s="22">
        <v>-30</v>
      </c>
      <c r="J25" s="22">
        <v>-86</v>
      </c>
      <c r="K25" s="22">
        <v>-12</v>
      </c>
      <c r="L25" s="179"/>
      <c r="M25" s="179"/>
      <c r="N25" s="179"/>
      <c r="O25" s="179"/>
      <c r="P25" s="179"/>
      <c r="Q25" s="179"/>
      <c r="R25" s="22">
        <v>0</v>
      </c>
      <c r="S25" s="21">
        <f t="shared" si="16"/>
        <v>0</v>
      </c>
      <c r="T25" s="22"/>
      <c r="U25" s="21">
        <f t="shared" si="17"/>
        <v>0</v>
      </c>
      <c r="V25" s="22"/>
      <c r="W25" s="21">
        <f t="shared" si="18"/>
        <v>0</v>
      </c>
      <c r="X25" s="22"/>
      <c r="Y25" s="21">
        <f t="shared" si="19"/>
        <v>0</v>
      </c>
      <c r="Z25" s="22"/>
      <c r="AA25" s="21">
        <f t="shared" si="20"/>
        <v>-35</v>
      </c>
      <c r="AB25" s="22">
        <v>-23</v>
      </c>
      <c r="AC25" s="21">
        <f t="shared" si="21"/>
        <v>-9</v>
      </c>
      <c r="AD25" s="22">
        <v>-13</v>
      </c>
      <c r="AE25" s="21">
        <f t="shared" si="22"/>
        <v>-17</v>
      </c>
      <c r="AF25" s="22">
        <v>-2</v>
      </c>
      <c r="AG25" s="21">
        <f t="shared" si="23"/>
        <v>-84</v>
      </c>
      <c r="AH25" s="22"/>
      <c r="AI25" s="21">
        <f t="shared" si="24"/>
        <v>-12</v>
      </c>
      <c r="AJ25" s="6"/>
    </row>
    <row r="26" spans="1:37">
      <c r="B26" s="32" t="s">
        <v>247</v>
      </c>
      <c r="C26" s="22"/>
      <c r="D26" s="22"/>
      <c r="E26" s="22">
        <v>-38</v>
      </c>
      <c r="F26" s="22">
        <v>-4</v>
      </c>
      <c r="G26" s="22">
        <v>12</v>
      </c>
      <c r="H26" s="22">
        <v>-20</v>
      </c>
      <c r="I26" s="22">
        <v>15</v>
      </c>
      <c r="J26" s="22"/>
      <c r="K26" s="22">
        <v>-8</v>
      </c>
      <c r="L26" s="179"/>
      <c r="M26" s="179"/>
      <c r="N26" s="179"/>
      <c r="O26" s="179"/>
      <c r="P26" s="179"/>
      <c r="Q26" s="179"/>
      <c r="R26" s="22"/>
      <c r="S26" s="21">
        <f t="shared" si="16"/>
        <v>0</v>
      </c>
      <c r="T26" s="22"/>
      <c r="U26" s="21">
        <f t="shared" si="17"/>
        <v>0</v>
      </c>
      <c r="V26" s="22"/>
      <c r="W26" s="21">
        <f t="shared" si="18"/>
        <v>-38</v>
      </c>
      <c r="X26" s="22">
        <v>-4</v>
      </c>
      <c r="Y26" s="21">
        <f t="shared" si="19"/>
        <v>0</v>
      </c>
      <c r="Z26" s="22"/>
      <c r="AA26" s="21">
        <f t="shared" si="20"/>
        <v>12</v>
      </c>
      <c r="AB26" s="22">
        <v>-17</v>
      </c>
      <c r="AC26" s="21">
        <f t="shared" si="21"/>
        <v>-3</v>
      </c>
      <c r="AD26" s="22"/>
      <c r="AE26" s="21">
        <f t="shared" si="22"/>
        <v>15</v>
      </c>
      <c r="AF26" s="22"/>
      <c r="AG26" s="21">
        <f t="shared" si="23"/>
        <v>0</v>
      </c>
      <c r="AH26" s="22">
        <v>-10</v>
      </c>
      <c r="AI26" s="21">
        <f t="shared" si="24"/>
        <v>2</v>
      </c>
      <c r="AJ26" s="6"/>
    </row>
    <row r="27" spans="1:37">
      <c r="B27" s="32" t="s">
        <v>248</v>
      </c>
      <c r="C27" s="22">
        <v>3.5</v>
      </c>
      <c r="D27" s="22">
        <v>4</v>
      </c>
      <c r="E27" s="22">
        <v>4</v>
      </c>
      <c r="F27" s="22">
        <v>4</v>
      </c>
      <c r="G27" s="22">
        <v>13</v>
      </c>
      <c r="H27" s="22">
        <v>51</v>
      </c>
      <c r="I27" s="22">
        <v>43</v>
      </c>
      <c r="J27" s="22">
        <v>36</v>
      </c>
      <c r="K27" s="22"/>
      <c r="L27" s="179"/>
      <c r="M27" s="179"/>
      <c r="N27" s="179"/>
      <c r="O27" s="179"/>
      <c r="P27" s="179"/>
      <c r="Q27" s="179"/>
      <c r="R27" s="22">
        <v>1.7</v>
      </c>
      <c r="S27" s="21">
        <f t="shared" si="16"/>
        <v>1.8</v>
      </c>
      <c r="T27" s="22">
        <v>2</v>
      </c>
      <c r="U27" s="21">
        <f t="shared" si="17"/>
        <v>2</v>
      </c>
      <c r="V27" s="22">
        <v>2</v>
      </c>
      <c r="W27" s="21">
        <f t="shared" si="18"/>
        <v>2</v>
      </c>
      <c r="X27" s="22">
        <v>2</v>
      </c>
      <c r="Y27" s="21">
        <f t="shared" si="19"/>
        <v>2</v>
      </c>
      <c r="Z27" s="22">
        <v>6</v>
      </c>
      <c r="AA27" s="21">
        <f t="shared" si="20"/>
        <v>7</v>
      </c>
      <c r="AB27" s="22">
        <v>19</v>
      </c>
      <c r="AC27" s="21">
        <f t="shared" si="21"/>
        <v>32</v>
      </c>
      <c r="AD27" s="22">
        <v>20</v>
      </c>
      <c r="AE27" s="21">
        <f t="shared" si="22"/>
        <v>23</v>
      </c>
      <c r="AF27" s="22">
        <v>12</v>
      </c>
      <c r="AG27" s="21">
        <f t="shared" si="23"/>
        <v>24</v>
      </c>
      <c r="AH27" s="22"/>
      <c r="AI27" s="21">
        <f t="shared" si="24"/>
        <v>0</v>
      </c>
      <c r="AJ27" s="6"/>
    </row>
    <row r="28" spans="1:37" s="7" customFormat="1">
      <c r="A28" s="24"/>
      <c r="B28" s="142" t="s">
        <v>347</v>
      </c>
      <c r="C28" s="202">
        <f t="shared" ref="C28:K28" si="25">SUM(C21:C27)</f>
        <v>-1431.3999999999999</v>
      </c>
      <c r="D28" s="202">
        <f t="shared" si="25"/>
        <v>-1510</v>
      </c>
      <c r="E28" s="202">
        <f t="shared" si="25"/>
        <v>-246</v>
      </c>
      <c r="F28" s="202">
        <f t="shared" si="25"/>
        <v>-1945</v>
      </c>
      <c r="G28" s="202">
        <f t="shared" si="25"/>
        <v>-2200</v>
      </c>
      <c r="H28" s="202">
        <f t="shared" si="25"/>
        <v>-2457</v>
      </c>
      <c r="I28" s="202">
        <f t="shared" si="25"/>
        <v>-1844</v>
      </c>
      <c r="J28" s="202">
        <f t="shared" si="25"/>
        <v>-2277</v>
      </c>
      <c r="K28" s="202">
        <f t="shared" si="25"/>
        <v>-1926</v>
      </c>
      <c r="L28" s="202">
        <f t="shared" ref="L28:P28" si="26">SUM(L21:L27)</f>
        <v>-2180</v>
      </c>
      <c r="M28" s="202">
        <f t="shared" si="26"/>
        <v>-2180</v>
      </c>
      <c r="N28" s="202">
        <f t="shared" si="26"/>
        <v>-2180</v>
      </c>
      <c r="O28" s="202">
        <f t="shared" si="26"/>
        <v>-2180</v>
      </c>
      <c r="P28" s="202">
        <f t="shared" si="26"/>
        <v>-2180</v>
      </c>
      <c r="Q28" s="202"/>
      <c r="R28" s="202">
        <f>SUM(R21:R27)</f>
        <v>-386.40000000000003</v>
      </c>
      <c r="S28" s="202">
        <f t="shared" si="16"/>
        <v>-1044.9999999999998</v>
      </c>
      <c r="T28" s="202">
        <f>SUM(T21:T27)</f>
        <v>-605</v>
      </c>
      <c r="U28" s="202">
        <f t="shared" si="17"/>
        <v>-905</v>
      </c>
      <c r="V28" s="202">
        <f>SUM(V21:V27)</f>
        <v>-911</v>
      </c>
      <c r="W28" s="202">
        <f t="shared" si="18"/>
        <v>665</v>
      </c>
      <c r="X28" s="202">
        <f>SUM(X21:X27)</f>
        <v>-761</v>
      </c>
      <c r="Y28" s="202">
        <f t="shared" si="19"/>
        <v>-1184</v>
      </c>
      <c r="Z28" s="202">
        <f>SUM(Z21:Z27)</f>
        <v>-710</v>
      </c>
      <c r="AA28" s="202">
        <f t="shared" si="20"/>
        <v>-1490</v>
      </c>
      <c r="AB28" s="202">
        <f>SUM(AB21:AB27)</f>
        <v>-1280</v>
      </c>
      <c r="AC28" s="202">
        <f t="shared" si="21"/>
        <v>-1177</v>
      </c>
      <c r="AD28" s="202">
        <f>SUM(AD21:AD27)</f>
        <v>-839</v>
      </c>
      <c r="AE28" s="202">
        <f t="shared" si="22"/>
        <v>-1005</v>
      </c>
      <c r="AF28" s="202">
        <f>SUM(AF21:AF27)</f>
        <v>-1189</v>
      </c>
      <c r="AG28" s="202">
        <f t="shared" si="23"/>
        <v>-1088</v>
      </c>
      <c r="AH28" s="202">
        <f>SUM(AH21:AH27)</f>
        <v>-678</v>
      </c>
      <c r="AI28" s="202">
        <f t="shared" si="24"/>
        <v>-1248</v>
      </c>
      <c r="AJ28" s="6"/>
      <c r="AK28"/>
    </row>
    <row r="29" spans="1:37">
      <c r="B29" s="32"/>
      <c r="C29" s="201"/>
      <c r="D29" s="201"/>
      <c r="E29" s="201"/>
      <c r="F29" s="201"/>
      <c r="G29" s="201"/>
      <c r="H29" s="201"/>
      <c r="I29" s="201"/>
      <c r="J29" s="201"/>
      <c r="K29" s="201"/>
      <c r="L29" s="204"/>
      <c r="M29" s="204"/>
      <c r="N29" s="204"/>
      <c r="O29" s="204"/>
      <c r="P29" s="204"/>
      <c r="Q29" s="204"/>
      <c r="R29" s="201"/>
      <c r="S29" s="201"/>
      <c r="T29" s="201"/>
      <c r="U29" s="201"/>
      <c r="V29" s="201"/>
      <c r="W29" s="201"/>
      <c r="X29" s="201"/>
      <c r="Y29" s="201"/>
      <c r="Z29" s="201"/>
      <c r="AA29" s="201"/>
      <c r="AB29" s="201"/>
      <c r="AC29" s="201"/>
      <c r="AD29" s="201"/>
      <c r="AE29" s="201"/>
      <c r="AF29" s="201"/>
      <c r="AG29" s="201"/>
      <c r="AH29" s="201"/>
      <c r="AI29" s="201"/>
      <c r="AJ29" s="6"/>
    </row>
    <row r="30" spans="1:37">
      <c r="A30" s="170" t="s">
        <v>450</v>
      </c>
      <c r="B30" s="32" t="s">
        <v>249</v>
      </c>
      <c r="C30" s="201"/>
      <c r="D30" s="201"/>
      <c r="E30" s="201"/>
      <c r="F30" s="22">
        <v>-1066</v>
      </c>
      <c r="G30" s="22">
        <v>-1158</v>
      </c>
      <c r="H30" s="22">
        <v>-1019</v>
      </c>
      <c r="I30" s="22">
        <v>-1067</v>
      </c>
      <c r="J30" s="22">
        <v>-1138</v>
      </c>
      <c r="K30" s="22">
        <v>-1223</v>
      </c>
      <c r="L30" s="147">
        <f>K30*1.05</f>
        <v>-1284.1500000000001</v>
      </c>
      <c r="M30" s="147">
        <f t="shared" ref="M30:P30" si="27">L30*1.05</f>
        <v>-1348.3575000000001</v>
      </c>
      <c r="N30" s="147">
        <f t="shared" si="27"/>
        <v>-1415.7753750000002</v>
      </c>
      <c r="O30" s="147">
        <f t="shared" si="27"/>
        <v>-1486.5641437500003</v>
      </c>
      <c r="P30" s="147">
        <f t="shared" si="27"/>
        <v>-1560.8923509375004</v>
      </c>
      <c r="Q30" s="204"/>
      <c r="R30" s="201"/>
      <c r="S30" s="21">
        <f t="shared" ref="S30:S36" si="28">C30-R30</f>
        <v>0</v>
      </c>
      <c r="T30" s="201"/>
      <c r="U30" s="21">
        <f t="shared" ref="U30:U36" si="29">D30-T30</f>
        <v>0</v>
      </c>
      <c r="V30" s="201"/>
      <c r="W30" s="21">
        <f t="shared" ref="W30:W36" si="30">E30-V30</f>
        <v>0</v>
      </c>
      <c r="X30" s="22">
        <v>-602</v>
      </c>
      <c r="Y30" s="21">
        <f t="shared" ref="Y30:Y36" si="31">F30-X30</f>
        <v>-464</v>
      </c>
      <c r="Z30" s="22">
        <v>-618</v>
      </c>
      <c r="AA30" s="21">
        <f t="shared" ref="AA30:AA36" si="32">G30-Z30</f>
        <v>-540</v>
      </c>
      <c r="AB30" s="22">
        <v>-554</v>
      </c>
      <c r="AC30" s="21">
        <f t="shared" ref="AC30:AC36" si="33">H30-AB30</f>
        <v>-465</v>
      </c>
      <c r="AD30" s="22">
        <v>-580</v>
      </c>
      <c r="AE30" s="21">
        <f t="shared" ref="AE30:AE36" si="34">I30-AD30</f>
        <v>-487</v>
      </c>
      <c r="AF30" s="22">
        <v>-652</v>
      </c>
      <c r="AG30" s="21">
        <f t="shared" ref="AG30:AG36" si="35">J30-AF30</f>
        <v>-486</v>
      </c>
      <c r="AH30" s="22">
        <v>-674</v>
      </c>
      <c r="AI30" s="21">
        <f t="shared" ref="AI30:AI36" si="36">K30-AH30</f>
        <v>-549</v>
      </c>
      <c r="AJ30" s="6"/>
    </row>
    <row r="31" spans="1:37">
      <c r="B31" s="32" t="s">
        <v>250</v>
      </c>
      <c r="C31" s="22">
        <v>184.1</v>
      </c>
      <c r="D31" s="22">
        <v>4</v>
      </c>
      <c r="E31" s="22">
        <v>665</v>
      </c>
      <c r="F31" s="22">
        <v>1500</v>
      </c>
      <c r="G31" s="22">
        <v>971</v>
      </c>
      <c r="H31" s="22">
        <v>2513</v>
      </c>
      <c r="I31" s="22">
        <v>351</v>
      </c>
      <c r="J31" s="22">
        <v>1215</v>
      </c>
      <c r="K31" s="22">
        <v>2686</v>
      </c>
      <c r="L31" s="179"/>
      <c r="M31" s="179"/>
      <c r="N31" s="179"/>
      <c r="O31" s="179"/>
      <c r="P31" s="179"/>
      <c r="Q31" s="179"/>
      <c r="R31" s="22"/>
      <c r="S31" s="21">
        <f t="shared" si="28"/>
        <v>184.1</v>
      </c>
      <c r="T31" s="22"/>
      <c r="U31" s="21">
        <f t="shared" si="29"/>
        <v>4</v>
      </c>
      <c r="V31" s="22"/>
      <c r="W31" s="21">
        <f t="shared" si="30"/>
        <v>665</v>
      </c>
      <c r="X31" s="22">
        <v>8</v>
      </c>
      <c r="Y31" s="21">
        <f t="shared" si="31"/>
        <v>1492</v>
      </c>
      <c r="Z31" s="22"/>
      <c r="AA31" s="21">
        <f t="shared" si="32"/>
        <v>971</v>
      </c>
      <c r="AB31" s="22">
        <v>1988</v>
      </c>
      <c r="AC31" s="21">
        <f t="shared" si="33"/>
        <v>525</v>
      </c>
      <c r="AD31" s="22">
        <v>775</v>
      </c>
      <c r="AE31" s="21">
        <f t="shared" si="34"/>
        <v>-424</v>
      </c>
      <c r="AF31" s="22">
        <v>784</v>
      </c>
      <c r="AG31" s="21">
        <f t="shared" si="35"/>
        <v>431</v>
      </c>
      <c r="AH31" s="22">
        <v>2093</v>
      </c>
      <c r="AI31" s="21">
        <f t="shared" si="36"/>
        <v>593</v>
      </c>
      <c r="AJ31" s="6"/>
    </row>
    <row r="32" spans="1:37">
      <c r="B32" s="32" t="s">
        <v>251</v>
      </c>
      <c r="C32" s="22">
        <v>-1406.5</v>
      </c>
      <c r="D32" s="22">
        <v>-284</v>
      </c>
      <c r="E32" s="22">
        <v>-503</v>
      </c>
      <c r="F32" s="22">
        <v>-745</v>
      </c>
      <c r="G32" s="22">
        <v>-1525</v>
      </c>
      <c r="H32" s="22">
        <v>-969</v>
      </c>
      <c r="I32" s="22">
        <v>-952</v>
      </c>
      <c r="J32" s="22">
        <v>-764</v>
      </c>
      <c r="K32" s="22">
        <v>-2001</v>
      </c>
      <c r="L32" s="179"/>
      <c r="M32" s="179"/>
      <c r="N32" s="179"/>
      <c r="O32" s="179"/>
      <c r="P32" s="179"/>
      <c r="Q32" s="179"/>
      <c r="R32" s="22">
        <v>-1112.5</v>
      </c>
      <c r="S32" s="21">
        <f t="shared" si="28"/>
        <v>-294</v>
      </c>
      <c r="T32" s="22">
        <v>-165</v>
      </c>
      <c r="U32" s="21">
        <f t="shared" si="29"/>
        <v>-119</v>
      </c>
      <c r="V32" s="22">
        <v>-49</v>
      </c>
      <c r="W32" s="21">
        <f t="shared" si="30"/>
        <v>-454</v>
      </c>
      <c r="X32" s="22">
        <v>-86</v>
      </c>
      <c r="Y32" s="21">
        <f t="shared" si="31"/>
        <v>-659</v>
      </c>
      <c r="Z32" s="22">
        <v>-956</v>
      </c>
      <c r="AA32" s="21">
        <f t="shared" si="32"/>
        <v>-569</v>
      </c>
      <c r="AB32" s="22">
        <v>-969</v>
      </c>
      <c r="AC32" s="21">
        <f t="shared" si="33"/>
        <v>0</v>
      </c>
      <c r="AD32" s="22">
        <v>-925</v>
      </c>
      <c r="AE32" s="21">
        <f t="shared" si="34"/>
        <v>-27</v>
      </c>
      <c r="AF32" s="22">
        <v>-351</v>
      </c>
      <c r="AG32" s="21">
        <f t="shared" si="35"/>
        <v>-413</v>
      </c>
      <c r="AH32" s="22">
        <v>-1043</v>
      </c>
      <c r="AI32" s="21">
        <f t="shared" si="36"/>
        <v>-958</v>
      </c>
      <c r="AJ32" s="6"/>
    </row>
    <row r="33" spans="1:37">
      <c r="A33" s="170" t="s">
        <v>252</v>
      </c>
      <c r="B33" s="32" t="s">
        <v>252</v>
      </c>
      <c r="C33" s="22">
        <v>-540.9</v>
      </c>
      <c r="D33" s="22">
        <v>-724</v>
      </c>
      <c r="E33" s="22">
        <v>-1267</v>
      </c>
      <c r="F33" s="22">
        <v>-1133</v>
      </c>
      <c r="G33" s="22">
        <v>-1104</v>
      </c>
      <c r="H33" s="22">
        <v>-1007</v>
      </c>
      <c r="I33" s="22">
        <v>-1026</v>
      </c>
      <c r="J33" s="22">
        <v>-1172</v>
      </c>
      <c r="K33" s="22">
        <v>-1661</v>
      </c>
      <c r="L33" s="148">
        <f>-PL!L74*PL!L80</f>
        <v>-1161.4554490918156</v>
      </c>
      <c r="M33" s="148">
        <f>-PL!M74*PL!M80</f>
        <v>-1327.4021516426578</v>
      </c>
      <c r="N33" s="148">
        <f>-PL!N74*PL!N80</f>
        <v>-1507.5405910814613</v>
      </c>
      <c r="O33" s="148">
        <f>-PL!O74*PL!O80</f>
        <v>-1612.6502820333965</v>
      </c>
      <c r="P33" s="148">
        <f>-PL!P74*PL!P80</f>
        <v>-1721.7080152235424</v>
      </c>
      <c r="Q33" s="179"/>
      <c r="R33" s="22">
        <v>-265.60000000000002</v>
      </c>
      <c r="S33" s="21">
        <f t="shared" si="28"/>
        <v>-275.29999999999995</v>
      </c>
      <c r="T33" s="22">
        <v>-390</v>
      </c>
      <c r="U33" s="21">
        <f t="shared" si="29"/>
        <v>-334</v>
      </c>
      <c r="V33" s="22">
        <v>-674</v>
      </c>
      <c r="W33" s="21">
        <f t="shared" si="30"/>
        <v>-593</v>
      </c>
      <c r="X33" s="22">
        <v>-623</v>
      </c>
      <c r="Y33" s="21">
        <f t="shared" si="31"/>
        <v>-510</v>
      </c>
      <c r="Z33" s="22">
        <v>-522</v>
      </c>
      <c r="AA33" s="21">
        <f t="shared" si="32"/>
        <v>-582</v>
      </c>
      <c r="AB33" s="22">
        <v>-603</v>
      </c>
      <c r="AC33" s="21">
        <f t="shared" si="33"/>
        <v>-404</v>
      </c>
      <c r="AD33" s="22">
        <v>-549</v>
      </c>
      <c r="AE33" s="21">
        <f t="shared" si="34"/>
        <v>-477</v>
      </c>
      <c r="AF33" s="22">
        <v>-598</v>
      </c>
      <c r="AG33" s="21">
        <f t="shared" si="35"/>
        <v>-574</v>
      </c>
      <c r="AH33" s="22">
        <v>-1185</v>
      </c>
      <c r="AI33" s="21">
        <f t="shared" si="36"/>
        <v>-476</v>
      </c>
      <c r="AJ33" s="6"/>
    </row>
    <row r="34" spans="1:37">
      <c r="B34" s="32" t="s">
        <v>253</v>
      </c>
      <c r="C34" s="22">
        <v>-21.5</v>
      </c>
      <c r="D34" s="22">
        <v>-56</v>
      </c>
      <c r="E34" s="22">
        <v>-51</v>
      </c>
      <c r="F34" s="22">
        <v>-66</v>
      </c>
      <c r="G34" s="22">
        <v>-50</v>
      </c>
      <c r="H34" s="22">
        <v>-5</v>
      </c>
      <c r="I34" s="22">
        <v>-5</v>
      </c>
      <c r="J34" s="22">
        <v>-16</v>
      </c>
      <c r="K34" s="22">
        <v>-3</v>
      </c>
      <c r="L34" s="179"/>
      <c r="M34" s="179"/>
      <c r="N34" s="179"/>
      <c r="O34" s="179"/>
      <c r="P34" s="179"/>
      <c r="Q34" s="179"/>
      <c r="R34" s="22">
        <v>-4.7</v>
      </c>
      <c r="S34" s="21">
        <f t="shared" si="28"/>
        <v>-16.8</v>
      </c>
      <c r="T34" s="22">
        <v>-26</v>
      </c>
      <c r="U34" s="21">
        <f t="shared" si="29"/>
        <v>-30</v>
      </c>
      <c r="V34" s="22">
        <v>-29</v>
      </c>
      <c r="W34" s="21">
        <f t="shared" si="30"/>
        <v>-22</v>
      </c>
      <c r="X34" s="22">
        <v>-25</v>
      </c>
      <c r="Y34" s="21">
        <f t="shared" si="31"/>
        <v>-41</v>
      </c>
      <c r="Z34" s="22">
        <v>-2</v>
      </c>
      <c r="AA34" s="21">
        <f t="shared" si="32"/>
        <v>-48</v>
      </c>
      <c r="AB34" s="22">
        <v>-5</v>
      </c>
      <c r="AC34" s="21">
        <f t="shared" si="33"/>
        <v>0</v>
      </c>
      <c r="AD34" s="22">
        <v>-5</v>
      </c>
      <c r="AE34" s="21">
        <f t="shared" si="34"/>
        <v>0</v>
      </c>
      <c r="AF34" s="22">
        <v>-15</v>
      </c>
      <c r="AG34" s="21">
        <f t="shared" si="35"/>
        <v>-1</v>
      </c>
      <c r="AH34" s="22">
        <v>-3</v>
      </c>
      <c r="AI34" s="21">
        <f t="shared" si="36"/>
        <v>0</v>
      </c>
      <c r="AJ34" s="6"/>
    </row>
    <row r="35" spans="1:37">
      <c r="B35" s="32" t="s">
        <v>254</v>
      </c>
      <c r="C35" s="22"/>
      <c r="D35" s="22"/>
      <c r="E35" s="22"/>
      <c r="F35" s="22"/>
      <c r="G35" s="22"/>
      <c r="H35" s="22"/>
      <c r="I35" s="22"/>
      <c r="J35" s="22"/>
      <c r="K35" s="22">
        <v>-422</v>
      </c>
      <c r="L35" s="179"/>
      <c r="M35" s="179"/>
      <c r="N35" s="179"/>
      <c r="O35" s="179"/>
      <c r="P35" s="179"/>
      <c r="Q35" s="179"/>
      <c r="R35" s="22"/>
      <c r="S35" s="21">
        <f t="shared" si="28"/>
        <v>0</v>
      </c>
      <c r="T35" s="22"/>
      <c r="U35" s="21">
        <f t="shared" si="29"/>
        <v>0</v>
      </c>
      <c r="V35" s="22"/>
      <c r="W35" s="21">
        <f t="shared" si="30"/>
        <v>0</v>
      </c>
      <c r="X35" s="22"/>
      <c r="Y35" s="21">
        <f t="shared" si="31"/>
        <v>0</v>
      </c>
      <c r="Z35" s="22"/>
      <c r="AA35" s="21">
        <f t="shared" si="32"/>
        <v>0</v>
      </c>
      <c r="AB35" s="22"/>
      <c r="AC35" s="21">
        <f t="shared" si="33"/>
        <v>0</v>
      </c>
      <c r="AD35" s="22"/>
      <c r="AE35" s="21">
        <f t="shared" si="34"/>
        <v>0</v>
      </c>
      <c r="AF35" s="22"/>
      <c r="AG35" s="21">
        <f t="shared" si="35"/>
        <v>0</v>
      </c>
      <c r="AH35" s="22">
        <v>-420</v>
      </c>
      <c r="AI35" s="21">
        <f t="shared" si="36"/>
        <v>-2</v>
      </c>
      <c r="AJ35" s="6"/>
    </row>
    <row r="36" spans="1:37">
      <c r="B36" s="32" t="s">
        <v>255</v>
      </c>
      <c r="C36" s="22"/>
      <c r="D36" s="22"/>
      <c r="E36" s="22">
        <v>-60</v>
      </c>
      <c r="F36" s="22">
        <v>-102</v>
      </c>
      <c r="G36" s="22">
        <v>-177</v>
      </c>
      <c r="H36" s="22">
        <v>-125</v>
      </c>
      <c r="I36" s="22">
        <v>-110</v>
      </c>
      <c r="J36" s="22">
        <v>-44</v>
      </c>
      <c r="K36" s="22">
        <v>-25</v>
      </c>
      <c r="L36" s="179"/>
      <c r="M36" s="179"/>
      <c r="N36" s="179"/>
      <c r="O36" s="179"/>
      <c r="P36" s="179"/>
      <c r="Q36" s="179"/>
      <c r="R36" s="22"/>
      <c r="S36" s="21">
        <f t="shared" si="28"/>
        <v>0</v>
      </c>
      <c r="T36" s="22"/>
      <c r="U36" s="21">
        <f t="shared" si="29"/>
        <v>0</v>
      </c>
      <c r="V36" s="22"/>
      <c r="W36" s="21">
        <f t="shared" si="30"/>
        <v>-60</v>
      </c>
      <c r="X36" s="22">
        <v>-1</v>
      </c>
      <c r="Y36" s="21">
        <f t="shared" si="31"/>
        <v>-101</v>
      </c>
      <c r="Z36" s="22">
        <v>-1</v>
      </c>
      <c r="AA36" s="21">
        <f t="shared" si="32"/>
        <v>-176</v>
      </c>
      <c r="AB36" s="22">
        <v>-25</v>
      </c>
      <c r="AC36" s="21">
        <f t="shared" si="33"/>
        <v>-100</v>
      </c>
      <c r="AD36" s="22">
        <v>-1</v>
      </c>
      <c r="AE36" s="21">
        <f t="shared" si="34"/>
        <v>-109</v>
      </c>
      <c r="AF36" s="22">
        <v>-1</v>
      </c>
      <c r="AG36" s="21">
        <f t="shared" si="35"/>
        <v>-43</v>
      </c>
      <c r="AH36" s="22">
        <v>-1</v>
      </c>
      <c r="AI36" s="21">
        <f t="shared" si="36"/>
        <v>-24</v>
      </c>
      <c r="AJ36" s="6"/>
    </row>
    <row r="37" spans="1:37">
      <c r="B37" s="32" t="s">
        <v>77</v>
      </c>
      <c r="C37" s="22">
        <v>55.5</v>
      </c>
      <c r="D37" s="22"/>
      <c r="E37" s="22">
        <v>-1701</v>
      </c>
      <c r="F37" s="22"/>
      <c r="G37" s="22"/>
      <c r="H37" s="22">
        <f>1712-437-2000</f>
        <v>-725</v>
      </c>
      <c r="I37" s="22"/>
      <c r="J37" s="22"/>
      <c r="K37" s="22"/>
      <c r="L37" s="179"/>
      <c r="M37" s="179"/>
      <c r="N37" s="179"/>
      <c r="O37" s="179"/>
      <c r="P37" s="179"/>
      <c r="Q37" s="179"/>
      <c r="R37" s="22">
        <v>55.5</v>
      </c>
      <c r="S37" s="22"/>
      <c r="T37" s="22"/>
      <c r="U37" s="22"/>
      <c r="V37" s="22"/>
      <c r="W37" s="22"/>
      <c r="X37" s="22"/>
      <c r="Y37" s="22"/>
      <c r="Z37" s="22"/>
      <c r="AA37" s="22"/>
      <c r="AB37" s="22">
        <f>1712-437-2000</f>
        <v>-725</v>
      </c>
      <c r="AC37" s="22"/>
      <c r="AD37" s="22"/>
      <c r="AE37" s="22"/>
      <c r="AF37" s="22"/>
      <c r="AG37" s="22"/>
      <c r="AH37" s="22"/>
      <c r="AI37" s="22"/>
      <c r="AJ37" s="6"/>
    </row>
    <row r="38" spans="1:37" s="7" customFormat="1">
      <c r="A38" s="24"/>
      <c r="B38" s="142" t="s">
        <v>348</v>
      </c>
      <c r="C38" s="202">
        <f>SUM(C31:C37)</f>
        <v>-1729.3000000000002</v>
      </c>
      <c r="D38" s="202">
        <f>SUM(D31:D37)</f>
        <v>-1060</v>
      </c>
      <c r="E38" s="202">
        <f>SUM(E31:E37)</f>
        <v>-2917</v>
      </c>
      <c r="F38" s="202">
        <f t="shared" ref="F38:K38" si="37">SUM(F30:F37)</f>
        <v>-1612</v>
      </c>
      <c r="G38" s="202">
        <f t="shared" si="37"/>
        <v>-3043</v>
      </c>
      <c r="H38" s="202">
        <f t="shared" si="37"/>
        <v>-1337</v>
      </c>
      <c r="I38" s="202">
        <f t="shared" si="37"/>
        <v>-2809</v>
      </c>
      <c r="J38" s="202">
        <f t="shared" si="37"/>
        <v>-1919</v>
      </c>
      <c r="K38" s="202">
        <f t="shared" si="37"/>
        <v>-2649</v>
      </c>
      <c r="L38" s="202">
        <f t="shared" ref="L38:P38" si="38">SUM(L30:L37)</f>
        <v>-2445.6054490918159</v>
      </c>
      <c r="M38" s="202">
        <f t="shared" si="38"/>
        <v>-2675.7596516426579</v>
      </c>
      <c r="N38" s="202">
        <f t="shared" si="38"/>
        <v>-2923.3159660814617</v>
      </c>
      <c r="O38" s="202">
        <f t="shared" si="38"/>
        <v>-3099.214425783397</v>
      </c>
      <c r="P38" s="202">
        <f t="shared" si="38"/>
        <v>-3282.600366161043</v>
      </c>
      <c r="Q38" s="202"/>
      <c r="R38" s="202">
        <f>SUM(R31:R37)</f>
        <v>-1327.3</v>
      </c>
      <c r="S38" s="202">
        <f>C38-R38</f>
        <v>-402.00000000000023</v>
      </c>
      <c r="T38" s="202">
        <f>SUM(T31:T37)</f>
        <v>-581</v>
      </c>
      <c r="U38" s="202">
        <f>D38-T38</f>
        <v>-479</v>
      </c>
      <c r="V38" s="202">
        <f>SUM(V31:V37)</f>
        <v>-752</v>
      </c>
      <c r="W38" s="202">
        <f>E38-V38</f>
        <v>-2165</v>
      </c>
      <c r="X38" s="202">
        <f>SUM(X30:X37)</f>
        <v>-1329</v>
      </c>
      <c r="Y38" s="202">
        <f>F38-X38</f>
        <v>-283</v>
      </c>
      <c r="Z38" s="202">
        <f>SUM(Z30:Z37)</f>
        <v>-2099</v>
      </c>
      <c r="AA38" s="202">
        <f>G38-Z38</f>
        <v>-944</v>
      </c>
      <c r="AB38" s="202">
        <f>SUM(AB30:AB37)</f>
        <v>-893</v>
      </c>
      <c r="AC38" s="202">
        <f>H38-AB38</f>
        <v>-444</v>
      </c>
      <c r="AD38" s="202">
        <f>SUM(AD30:AD37)</f>
        <v>-1285</v>
      </c>
      <c r="AE38" s="202">
        <f>I38-AD38</f>
        <v>-1524</v>
      </c>
      <c r="AF38" s="202">
        <f>SUM(AF30:AF37)</f>
        <v>-833</v>
      </c>
      <c r="AG38" s="202">
        <f>J38-AF38</f>
        <v>-1086</v>
      </c>
      <c r="AH38" s="202">
        <f>SUM(AH30:AH37)</f>
        <v>-1233</v>
      </c>
      <c r="AI38" s="202">
        <f>K38-AH38</f>
        <v>-1416</v>
      </c>
      <c r="AJ38" s="6"/>
      <c r="AK38"/>
    </row>
    <row r="39" spans="1:37">
      <c r="B39" s="32"/>
      <c r="C39" s="201"/>
      <c r="D39" s="201"/>
      <c r="E39" s="201"/>
      <c r="F39" s="201"/>
      <c r="G39" s="201"/>
      <c r="H39" s="201"/>
      <c r="I39" s="201"/>
      <c r="J39" s="201"/>
      <c r="K39" s="201"/>
      <c r="L39" s="204"/>
      <c r="M39" s="204"/>
      <c r="N39" s="204"/>
      <c r="O39" s="204"/>
      <c r="P39" s="204"/>
      <c r="Q39" s="204"/>
      <c r="R39" s="201"/>
      <c r="S39" s="201"/>
      <c r="T39" s="201"/>
      <c r="U39" s="201"/>
      <c r="V39" s="201"/>
      <c r="W39" s="201"/>
      <c r="X39" s="201"/>
      <c r="Y39" s="201"/>
      <c r="Z39" s="201"/>
      <c r="AA39" s="201"/>
      <c r="AB39" s="201"/>
      <c r="AC39" s="201"/>
      <c r="AD39" s="201"/>
      <c r="AE39" s="201"/>
      <c r="AF39" s="201"/>
      <c r="AG39" s="201"/>
      <c r="AH39" s="201"/>
      <c r="AI39" s="201"/>
      <c r="AJ39" s="6"/>
    </row>
    <row r="40" spans="1:37" s="7" customFormat="1">
      <c r="A40" s="24"/>
      <c r="B40" s="142" t="s">
        <v>349</v>
      </c>
      <c r="C40" s="202">
        <v>956</v>
      </c>
      <c r="D40" s="202">
        <f t="shared" ref="D40:K40" si="39">C43</f>
        <v>917</v>
      </c>
      <c r="E40" s="202">
        <f t="shared" si="39"/>
        <v>1277</v>
      </c>
      <c r="F40" s="202">
        <f t="shared" si="39"/>
        <v>1066</v>
      </c>
      <c r="G40" s="202">
        <f t="shared" si="39"/>
        <v>2068</v>
      </c>
      <c r="H40" s="202">
        <f t="shared" si="39"/>
        <v>1446</v>
      </c>
      <c r="I40" s="202">
        <f t="shared" si="39"/>
        <v>1032</v>
      </c>
      <c r="J40" s="202">
        <f t="shared" si="39"/>
        <v>1135</v>
      </c>
      <c r="K40" s="205">
        <f t="shared" si="39"/>
        <v>1298</v>
      </c>
      <c r="L40" s="205">
        <f t="shared" ref="L40:P40" si="40">K43</f>
        <v>1275</v>
      </c>
      <c r="M40" s="202">
        <f t="shared" si="40"/>
        <v>1379.061171635859</v>
      </c>
      <c r="N40" s="202">
        <f t="shared" si="40"/>
        <v>1635.9805162941911</v>
      </c>
      <c r="O40" s="202">
        <f t="shared" si="40"/>
        <v>2028.8967024460771</v>
      </c>
      <c r="P40" s="202">
        <f t="shared" si="40"/>
        <v>2529.4185409255488</v>
      </c>
      <c r="Q40" s="202"/>
      <c r="R40" s="202">
        <v>956</v>
      </c>
      <c r="S40" s="202">
        <f>C40-R40</f>
        <v>0</v>
      </c>
      <c r="T40" s="202">
        <f>C43</f>
        <v>917</v>
      </c>
      <c r="U40" s="202">
        <f>D40-T40</f>
        <v>0</v>
      </c>
      <c r="V40" s="202">
        <f>D43</f>
        <v>1277</v>
      </c>
      <c r="W40" s="202">
        <f>E40-V40</f>
        <v>0</v>
      </c>
      <c r="X40" s="202">
        <f>E43</f>
        <v>1066</v>
      </c>
      <c r="Y40" s="202">
        <f>F40-X40</f>
        <v>0</v>
      </c>
      <c r="Z40" s="202">
        <f>F43</f>
        <v>2068</v>
      </c>
      <c r="AA40" s="202">
        <f>G40-Z40</f>
        <v>0</v>
      </c>
      <c r="AB40" s="202">
        <f>G43</f>
        <v>1446</v>
      </c>
      <c r="AC40" s="202">
        <f>H40-AB40</f>
        <v>0</v>
      </c>
      <c r="AD40" s="202">
        <f>H43</f>
        <v>1032</v>
      </c>
      <c r="AE40" s="202">
        <f>I40-AD40</f>
        <v>0</v>
      </c>
      <c r="AF40" s="202">
        <f>I43</f>
        <v>1135</v>
      </c>
      <c r="AG40" s="202">
        <f>J40-AF40</f>
        <v>0</v>
      </c>
      <c r="AH40" s="202">
        <f>J43</f>
        <v>1298</v>
      </c>
      <c r="AI40" s="202">
        <f>K40-AH40</f>
        <v>0</v>
      </c>
      <c r="AJ40" s="6"/>
      <c r="AK40"/>
    </row>
    <row r="41" spans="1:37">
      <c r="A41" s="170" t="s">
        <v>461</v>
      </c>
      <c r="B41" s="32" t="s">
        <v>351</v>
      </c>
      <c r="C41" s="201">
        <f t="shared" ref="C41:P41" si="41">C38+C28+C20</f>
        <v>-38.700000000001182</v>
      </c>
      <c r="D41" s="201">
        <f t="shared" si="41"/>
        <v>360</v>
      </c>
      <c r="E41" s="201">
        <f t="shared" si="41"/>
        <v>-215</v>
      </c>
      <c r="F41" s="201">
        <f t="shared" si="41"/>
        <v>1004</v>
      </c>
      <c r="G41" s="201">
        <f t="shared" si="41"/>
        <v>-619</v>
      </c>
      <c r="H41" s="201">
        <f t="shared" si="41"/>
        <v>-416</v>
      </c>
      <c r="I41" s="201">
        <f t="shared" si="41"/>
        <v>101</v>
      </c>
      <c r="J41" s="201">
        <f t="shared" si="41"/>
        <v>163</v>
      </c>
      <c r="K41" s="208">
        <f t="shared" si="41"/>
        <v>-25</v>
      </c>
      <c r="L41" s="204">
        <f t="shared" si="41"/>
        <v>104.06117163585895</v>
      </c>
      <c r="M41" s="204">
        <f t="shared" si="41"/>
        <v>256.91934465833219</v>
      </c>
      <c r="N41" s="204">
        <f t="shared" si="41"/>
        <v>392.916186151886</v>
      </c>
      <c r="O41" s="204">
        <f t="shared" si="41"/>
        <v>500.52183847947163</v>
      </c>
      <c r="P41" s="204">
        <f t="shared" si="41"/>
        <v>611.8445322225989</v>
      </c>
      <c r="Q41" s="204"/>
      <c r="R41" s="201">
        <f>R38+R28+R20</f>
        <v>481.99999999999841</v>
      </c>
      <c r="S41" s="21">
        <f>C41-R41</f>
        <v>-520.69999999999959</v>
      </c>
      <c r="T41" s="201">
        <f>T38+T28+T20</f>
        <v>789</v>
      </c>
      <c r="U41" s="21">
        <f>D41-T41</f>
        <v>-429</v>
      </c>
      <c r="V41" s="201">
        <f>V38+V28+V20</f>
        <v>352</v>
      </c>
      <c r="W41" s="21">
        <f>E41-V41</f>
        <v>-567</v>
      </c>
      <c r="X41" s="201">
        <f>X38+X28+X20</f>
        <v>-29</v>
      </c>
      <c r="Y41" s="21">
        <f>F41-X41</f>
        <v>1033</v>
      </c>
      <c r="Z41" s="201">
        <f>Z38+Z28+Z20</f>
        <v>71</v>
      </c>
      <c r="AA41" s="21">
        <f>G41-Z41</f>
        <v>-690</v>
      </c>
      <c r="AB41" s="201">
        <f>AB38+AB28+AB20</f>
        <v>-442</v>
      </c>
      <c r="AC41" s="21">
        <f>H41-AB41</f>
        <v>26</v>
      </c>
      <c r="AD41" s="201">
        <f>AD38+AD28+AD20</f>
        <v>25</v>
      </c>
      <c r="AE41" s="21">
        <f>I41-AD41</f>
        <v>76</v>
      </c>
      <c r="AF41" s="201">
        <f>AF38+AF28+AF20</f>
        <v>560</v>
      </c>
      <c r="AG41" s="21">
        <f>J41-AF41</f>
        <v>-397</v>
      </c>
      <c r="AH41" s="201">
        <f>AH38+AH28+AH20</f>
        <v>-12</v>
      </c>
      <c r="AI41" s="21">
        <f>K41-AH41</f>
        <v>-13</v>
      </c>
      <c r="AJ41" s="6"/>
    </row>
    <row r="42" spans="1:37">
      <c r="B42" s="32" t="s">
        <v>352</v>
      </c>
      <c r="C42" s="22">
        <v>-0.6</v>
      </c>
      <c r="D42" s="22">
        <v>0</v>
      </c>
      <c r="E42" s="22">
        <v>4</v>
      </c>
      <c r="F42" s="22">
        <v>-2</v>
      </c>
      <c r="G42" s="22">
        <v>-3</v>
      </c>
      <c r="H42" s="22">
        <v>2</v>
      </c>
      <c r="I42" s="22">
        <v>2</v>
      </c>
      <c r="J42" s="22">
        <v>0</v>
      </c>
      <c r="K42" s="78">
        <v>2</v>
      </c>
      <c r="L42" s="156">
        <v>0</v>
      </c>
      <c r="M42" s="147">
        <v>0</v>
      </c>
      <c r="N42" s="147">
        <v>0</v>
      </c>
      <c r="O42" s="147">
        <v>0</v>
      </c>
      <c r="P42" s="147">
        <v>0</v>
      </c>
      <c r="Q42" s="204"/>
      <c r="R42" s="201">
        <v>0.2</v>
      </c>
      <c r="S42" s="21">
        <f>C42-R42</f>
        <v>-0.8</v>
      </c>
      <c r="T42" s="201">
        <v>-3</v>
      </c>
      <c r="U42" s="21">
        <f>D42-T42</f>
        <v>3</v>
      </c>
      <c r="V42" s="201">
        <v>4</v>
      </c>
      <c r="W42" s="21">
        <f>E42-V42</f>
        <v>0</v>
      </c>
      <c r="X42" s="201">
        <v>0</v>
      </c>
      <c r="Y42" s="21">
        <f>F42-X42</f>
        <v>-2</v>
      </c>
      <c r="Z42" s="201">
        <v>-4</v>
      </c>
      <c r="AA42" s="21">
        <f>G42-Z42</f>
        <v>1</v>
      </c>
      <c r="AB42" s="201">
        <v>2</v>
      </c>
      <c r="AC42" s="21">
        <f>H42-AB42</f>
        <v>0</v>
      </c>
      <c r="AD42" s="201">
        <v>2</v>
      </c>
      <c r="AE42" s="21">
        <f>I42-AD42</f>
        <v>0</v>
      </c>
      <c r="AF42" s="201">
        <v>1</v>
      </c>
      <c r="AG42" s="21">
        <f>J42-AF42</f>
        <v>-1</v>
      </c>
      <c r="AH42" s="201">
        <v>3</v>
      </c>
      <c r="AI42" s="21">
        <f>K42-AH42</f>
        <v>-1</v>
      </c>
      <c r="AJ42" s="6"/>
    </row>
    <row r="43" spans="1:37" s="7" customFormat="1">
      <c r="A43" s="24"/>
      <c r="B43" s="142" t="s">
        <v>350</v>
      </c>
      <c r="C43" s="221">
        <v>917</v>
      </c>
      <c r="D43" s="202">
        <f t="shared" ref="D43:K43" si="42">D40+D41+D42</f>
        <v>1277</v>
      </c>
      <c r="E43" s="202">
        <f t="shared" si="42"/>
        <v>1066</v>
      </c>
      <c r="F43" s="202">
        <f t="shared" si="42"/>
        <v>2068</v>
      </c>
      <c r="G43" s="202">
        <f t="shared" si="42"/>
        <v>1446</v>
      </c>
      <c r="H43" s="202">
        <f t="shared" si="42"/>
        <v>1032</v>
      </c>
      <c r="I43" s="202">
        <f t="shared" si="42"/>
        <v>1135</v>
      </c>
      <c r="J43" s="205">
        <f t="shared" si="42"/>
        <v>1298</v>
      </c>
      <c r="K43" s="205">
        <f t="shared" si="42"/>
        <v>1275</v>
      </c>
      <c r="L43" s="202">
        <f t="shared" ref="L43:P43" si="43">L40+L41+L42</f>
        <v>1379.061171635859</v>
      </c>
      <c r="M43" s="202">
        <f t="shared" si="43"/>
        <v>1635.9805162941911</v>
      </c>
      <c r="N43" s="202">
        <f t="shared" si="43"/>
        <v>2028.8967024460771</v>
      </c>
      <c r="O43" s="202">
        <f t="shared" si="43"/>
        <v>2529.4185409255488</v>
      </c>
      <c r="P43" s="202">
        <f t="shared" si="43"/>
        <v>3141.2630731481477</v>
      </c>
      <c r="Q43" s="202"/>
      <c r="R43" s="202">
        <f>R40+R41+R42</f>
        <v>1438.1999999999985</v>
      </c>
      <c r="S43" s="202">
        <f>C43-R43</f>
        <v>-521.19999999999845</v>
      </c>
      <c r="T43" s="202">
        <f>T40+T41+T42</f>
        <v>1703</v>
      </c>
      <c r="U43" s="202">
        <f>D43-T43</f>
        <v>-426</v>
      </c>
      <c r="V43" s="202">
        <f>V40+V41+V42</f>
        <v>1633</v>
      </c>
      <c r="W43" s="202">
        <f>E43-V43</f>
        <v>-567</v>
      </c>
      <c r="X43" s="202">
        <f>X40+X41+X42</f>
        <v>1037</v>
      </c>
      <c r="Y43" s="202">
        <f>F43-X43</f>
        <v>1031</v>
      </c>
      <c r="Z43" s="202">
        <f>Z40+Z41+Z42</f>
        <v>2135</v>
      </c>
      <c r="AA43" s="202">
        <f>G43-Z43</f>
        <v>-689</v>
      </c>
      <c r="AB43" s="202">
        <f>AB40+AB41+AB42</f>
        <v>1006</v>
      </c>
      <c r="AC43" s="202">
        <f>H43-AB43</f>
        <v>26</v>
      </c>
      <c r="AD43" s="202">
        <f>AD40+AD41+AD42</f>
        <v>1059</v>
      </c>
      <c r="AE43" s="202">
        <f>I43-AD43</f>
        <v>76</v>
      </c>
      <c r="AF43" s="202">
        <f>AF40+AF41+AF42</f>
        <v>1696</v>
      </c>
      <c r="AG43" s="202">
        <f>J43-AF43</f>
        <v>-398</v>
      </c>
      <c r="AH43" s="202">
        <f>AH40+AH41+AH42</f>
        <v>1289</v>
      </c>
      <c r="AI43" s="202">
        <f>K43-AH43</f>
        <v>-14</v>
      </c>
      <c r="AJ43" s="6"/>
      <c r="AK43"/>
    </row>
    <row r="44" spans="1:37">
      <c r="B44" s="320"/>
      <c r="C44" s="321"/>
      <c r="D44" s="321"/>
      <c r="E44" s="321"/>
      <c r="F44" s="321"/>
      <c r="G44" s="321"/>
      <c r="H44" s="321"/>
      <c r="I44" s="321"/>
      <c r="J44" s="321"/>
      <c r="K44" s="321"/>
      <c r="L44" s="322"/>
      <c r="M44" s="322"/>
      <c r="N44" s="322"/>
      <c r="O44" s="322"/>
      <c r="P44" s="322"/>
      <c r="Q44" s="322"/>
      <c r="R44" s="321"/>
      <c r="S44" s="321"/>
      <c r="T44" s="321"/>
      <c r="U44" s="321"/>
      <c r="V44" s="321"/>
      <c r="W44" s="321"/>
      <c r="X44" s="321"/>
      <c r="Y44" s="321"/>
      <c r="Z44" s="321"/>
      <c r="AA44" s="321"/>
      <c r="AB44" s="321"/>
      <c r="AC44" s="321"/>
      <c r="AD44" s="321"/>
      <c r="AE44" s="321"/>
      <c r="AF44" s="321"/>
      <c r="AG44" s="321"/>
      <c r="AH44" s="321"/>
      <c r="AI44" s="321"/>
      <c r="AJ44" s="6"/>
    </row>
    <row r="45" spans="1:37">
      <c r="A45" s="170" t="s">
        <v>516</v>
      </c>
      <c r="B45" s="25" t="s">
        <v>549</v>
      </c>
      <c r="C45" s="201">
        <f>C21+C22</f>
        <v>-1630</v>
      </c>
      <c r="D45" s="201">
        <f t="shared" ref="D45:P45" si="44">D21+D22</f>
        <v>-1763</v>
      </c>
      <c r="E45" s="201">
        <f t="shared" si="44"/>
        <v>-1814</v>
      </c>
      <c r="F45" s="201">
        <f t="shared" si="44"/>
        <v>-1888</v>
      </c>
      <c r="G45" s="201">
        <f t="shared" si="44"/>
        <v>-2000</v>
      </c>
      <c r="H45" s="201">
        <f t="shared" si="44"/>
        <v>-2084</v>
      </c>
      <c r="I45" s="201">
        <f t="shared" si="44"/>
        <v>-2158</v>
      </c>
      <c r="J45" s="201">
        <f t="shared" si="44"/>
        <v>-2206</v>
      </c>
      <c r="K45" s="201">
        <f t="shared" si="44"/>
        <v>-2230</v>
      </c>
      <c r="L45" s="204">
        <f t="shared" si="44"/>
        <v>-2180</v>
      </c>
      <c r="M45" s="204">
        <f t="shared" si="44"/>
        <v>-2180</v>
      </c>
      <c r="N45" s="204">
        <f t="shared" si="44"/>
        <v>-2180</v>
      </c>
      <c r="O45" s="204">
        <f t="shared" si="44"/>
        <v>-2180</v>
      </c>
      <c r="P45" s="204">
        <f t="shared" si="44"/>
        <v>-2180</v>
      </c>
      <c r="Q45" s="200"/>
      <c r="R45" s="199"/>
      <c r="S45" s="199"/>
      <c r="T45" s="199"/>
      <c r="U45" s="199"/>
      <c r="V45" s="321"/>
      <c r="W45" s="321"/>
      <c r="X45" s="321"/>
      <c r="Y45" s="321"/>
      <c r="Z45" s="321"/>
      <c r="AA45" s="321"/>
      <c r="AB45" s="321"/>
      <c r="AC45" s="321"/>
      <c r="AD45" s="321"/>
      <c r="AE45" s="321"/>
      <c r="AF45" s="321"/>
      <c r="AG45" s="321"/>
      <c r="AH45" s="321"/>
      <c r="AI45" s="321"/>
      <c r="AJ45" s="6"/>
    </row>
    <row r="46" spans="1:37">
      <c r="B46" s="32"/>
      <c r="C46" s="199"/>
      <c r="D46" s="199"/>
      <c r="E46" s="199"/>
      <c r="F46" s="199"/>
      <c r="G46" s="199"/>
      <c r="H46" s="199"/>
      <c r="I46" s="199"/>
      <c r="J46" s="199"/>
      <c r="K46" s="199"/>
      <c r="L46" s="200"/>
      <c r="M46" s="200"/>
      <c r="N46" s="200"/>
      <c r="O46" s="200"/>
      <c r="P46" s="200"/>
      <c r="Q46" s="200"/>
      <c r="R46" s="199"/>
      <c r="S46" s="199"/>
      <c r="T46" s="199"/>
      <c r="U46" s="199"/>
      <c r="V46" s="321"/>
      <c r="W46" s="321"/>
      <c r="X46" s="321"/>
      <c r="Y46" s="321"/>
      <c r="Z46" s="321"/>
      <c r="AA46" s="321"/>
      <c r="AB46" s="321"/>
      <c r="AC46" s="321"/>
      <c r="AD46" s="321"/>
      <c r="AE46" s="321"/>
      <c r="AF46" s="321"/>
      <c r="AG46" s="321"/>
      <c r="AH46" s="321"/>
      <c r="AI46" s="321"/>
      <c r="AJ46" s="6"/>
    </row>
    <row r="47" spans="1:37">
      <c r="A47" s="170" t="s">
        <v>553</v>
      </c>
      <c r="B47" s="25" t="s">
        <v>552</v>
      </c>
      <c r="C47" s="201">
        <f t="shared" ref="C47:P47" si="45">C38-C30-C33-C31-C32</f>
        <v>34</v>
      </c>
      <c r="D47" s="201">
        <f t="shared" si="45"/>
        <v>-56</v>
      </c>
      <c r="E47" s="201">
        <f t="shared" si="45"/>
        <v>-1812</v>
      </c>
      <c r="F47" s="201">
        <f t="shared" si="45"/>
        <v>-168</v>
      </c>
      <c r="G47" s="201">
        <f t="shared" si="45"/>
        <v>-227</v>
      </c>
      <c r="H47" s="201">
        <f t="shared" si="45"/>
        <v>-855</v>
      </c>
      <c r="I47" s="201">
        <f t="shared" si="45"/>
        <v>-115</v>
      </c>
      <c r="J47" s="201">
        <f t="shared" si="45"/>
        <v>-60</v>
      </c>
      <c r="K47" s="201">
        <f>K38-K30-K33-K31-K32</f>
        <v>-450</v>
      </c>
      <c r="L47" s="204">
        <f t="shared" si="45"/>
        <v>-2.2737367544323206E-13</v>
      </c>
      <c r="M47" s="204">
        <f t="shared" si="45"/>
        <v>0</v>
      </c>
      <c r="N47" s="204">
        <f t="shared" si="45"/>
        <v>-2.2737367544323206E-13</v>
      </c>
      <c r="O47" s="204">
        <f t="shared" si="45"/>
        <v>-2.2737367544323206E-13</v>
      </c>
      <c r="P47" s="204">
        <f t="shared" si="45"/>
        <v>-2.2737367544323206E-13</v>
      </c>
      <c r="Q47" s="200"/>
      <c r="R47" s="199"/>
      <c r="S47" s="199"/>
      <c r="T47" s="199"/>
      <c r="U47" s="199"/>
      <c r="V47" s="321"/>
      <c r="W47" s="321"/>
      <c r="X47" s="321"/>
      <c r="Y47" s="321"/>
      <c r="Z47" s="321"/>
      <c r="AA47" s="321"/>
      <c r="AB47" s="321"/>
      <c r="AC47" s="321"/>
      <c r="AD47" s="321"/>
      <c r="AE47" s="321"/>
      <c r="AF47" s="321"/>
      <c r="AG47" s="321"/>
      <c r="AH47" s="321"/>
      <c r="AI47" s="321"/>
      <c r="AJ47" s="6"/>
    </row>
    <row r="48" spans="1:37">
      <c r="B48" s="6"/>
      <c r="C48" s="168"/>
      <c r="D48" s="168"/>
      <c r="E48" s="168"/>
      <c r="F48" s="168"/>
      <c r="G48" s="168"/>
      <c r="H48" s="168"/>
      <c r="I48" s="168"/>
      <c r="J48" s="168"/>
      <c r="K48" s="168"/>
      <c r="L48" s="168"/>
      <c r="M48" s="168"/>
      <c r="N48" s="168"/>
      <c r="O48" s="168"/>
      <c r="P48" s="168"/>
      <c r="Q48" s="168"/>
      <c r="R48" s="168"/>
      <c r="S48" s="168"/>
      <c r="T48" s="168"/>
      <c r="U48" s="168"/>
      <c r="AJ48" s="6"/>
    </row>
    <row r="49" spans="2:36">
      <c r="B49" s="6"/>
      <c r="C49" s="168"/>
      <c r="D49" s="219"/>
      <c r="E49" s="219"/>
      <c r="F49" s="219"/>
      <c r="G49" s="219"/>
      <c r="H49" s="219"/>
      <c r="I49" s="219"/>
      <c r="J49" s="219"/>
      <c r="K49" s="219"/>
      <c r="L49" s="168"/>
      <c r="M49" s="168"/>
      <c r="N49" s="168"/>
      <c r="O49" s="168"/>
      <c r="P49" s="168"/>
      <c r="Q49" s="168"/>
      <c r="R49" s="168"/>
      <c r="S49" s="168"/>
      <c r="T49" s="168"/>
      <c r="U49" s="168"/>
      <c r="AJ49" s="6"/>
    </row>
    <row r="50" spans="2:36">
      <c r="B50" s="6"/>
      <c r="C50" s="168"/>
      <c r="D50" s="219"/>
      <c r="E50" s="219"/>
      <c r="F50" s="219"/>
      <c r="G50" s="219"/>
      <c r="H50" s="219"/>
      <c r="I50" s="219"/>
      <c r="J50" s="219"/>
      <c r="K50" s="219"/>
      <c r="L50" s="168"/>
      <c r="M50" s="168"/>
      <c r="N50" s="168"/>
      <c r="O50" s="168"/>
      <c r="P50" s="168"/>
      <c r="Q50" s="168"/>
      <c r="R50" s="168"/>
      <c r="S50" s="168"/>
      <c r="T50" s="168"/>
      <c r="U50" s="168"/>
      <c r="AJ50" s="6"/>
    </row>
    <row r="51" spans="2:36">
      <c r="B51" s="6"/>
      <c r="C51" s="168"/>
      <c r="D51" s="168"/>
      <c r="E51" s="168"/>
      <c r="F51" s="168"/>
      <c r="G51" s="168"/>
      <c r="H51" s="168"/>
      <c r="I51" s="168"/>
      <c r="J51" s="168"/>
      <c r="K51" s="168"/>
      <c r="L51" s="168"/>
      <c r="M51" s="168"/>
      <c r="N51" s="168"/>
      <c r="O51" s="168"/>
      <c r="P51" s="168"/>
      <c r="Q51" s="168"/>
      <c r="R51" s="168"/>
      <c r="S51" s="168"/>
      <c r="T51" s="168"/>
      <c r="U51" s="168"/>
      <c r="AJ51" s="6"/>
    </row>
    <row r="52" spans="2:36">
      <c r="B52" s="6"/>
      <c r="C52" s="168"/>
      <c r="D52" s="168"/>
      <c r="E52" s="168"/>
      <c r="F52" s="168"/>
      <c r="G52" s="168"/>
      <c r="H52" s="168"/>
      <c r="I52" s="168"/>
      <c r="J52" s="168"/>
      <c r="K52" s="168"/>
      <c r="L52" s="168"/>
      <c r="M52" s="168"/>
      <c r="N52" s="168"/>
      <c r="O52" s="168"/>
      <c r="P52" s="168"/>
      <c r="Q52" s="168"/>
      <c r="R52" s="168"/>
      <c r="S52" s="168"/>
      <c r="T52" s="168"/>
      <c r="U52" s="168"/>
      <c r="AJ52" s="6"/>
    </row>
    <row r="53" spans="2:36">
      <c r="B53" s="6"/>
      <c r="C53" s="168"/>
      <c r="D53" s="168"/>
      <c r="E53" s="168"/>
      <c r="F53" s="168"/>
      <c r="G53" s="168"/>
      <c r="H53" s="168"/>
      <c r="I53" s="168"/>
      <c r="J53" s="168"/>
      <c r="K53" s="168"/>
      <c r="L53" s="168"/>
      <c r="M53" s="168"/>
      <c r="N53" s="168"/>
      <c r="O53" s="168"/>
      <c r="P53" s="168"/>
      <c r="Q53" s="168"/>
      <c r="R53" s="168"/>
      <c r="S53" s="168"/>
      <c r="T53" s="168"/>
      <c r="U53" s="168"/>
      <c r="AJ53" s="6"/>
    </row>
    <row r="54" spans="2:36">
      <c r="B54" s="6"/>
      <c r="C54" s="168"/>
      <c r="D54" s="168"/>
      <c r="E54" s="168"/>
      <c r="F54" s="168"/>
      <c r="G54" s="168"/>
      <c r="H54" s="168"/>
      <c r="I54" s="168"/>
      <c r="J54" s="168"/>
      <c r="K54" s="168"/>
      <c r="L54" s="168"/>
      <c r="M54" s="168"/>
      <c r="N54" s="168"/>
      <c r="O54" s="168"/>
      <c r="P54" s="168"/>
      <c r="Q54" s="168"/>
      <c r="R54" s="168"/>
      <c r="S54" s="168"/>
      <c r="T54" s="168"/>
      <c r="U54" s="168"/>
      <c r="AJ54" s="6"/>
    </row>
    <row r="55" spans="2:36">
      <c r="B55" s="6"/>
      <c r="C55" s="168"/>
      <c r="D55" s="168"/>
      <c r="E55" s="168"/>
      <c r="F55" s="168"/>
      <c r="G55" s="168"/>
      <c r="H55" s="168"/>
      <c r="I55" s="168"/>
      <c r="J55" s="168"/>
      <c r="K55" s="168"/>
      <c r="L55" s="168"/>
      <c r="M55" s="168"/>
      <c r="N55" s="168"/>
      <c r="O55" s="168"/>
      <c r="P55" s="168"/>
      <c r="Q55" s="168"/>
      <c r="R55" s="168"/>
      <c r="S55" s="168"/>
      <c r="T55" s="168"/>
      <c r="U55" s="168"/>
      <c r="AJ55" s="6"/>
    </row>
    <row r="56" spans="2:36">
      <c r="B56" s="6"/>
      <c r="C56" s="168"/>
      <c r="D56" s="168"/>
      <c r="E56" s="168"/>
      <c r="F56" s="168"/>
      <c r="G56" s="168"/>
      <c r="H56" s="168"/>
      <c r="I56" s="168"/>
      <c r="J56" s="168"/>
      <c r="K56" s="168"/>
      <c r="L56" s="168"/>
      <c r="M56" s="168"/>
      <c r="N56" s="168"/>
      <c r="O56" s="168"/>
      <c r="P56" s="168"/>
      <c r="Q56" s="168"/>
      <c r="R56" s="168"/>
      <c r="S56" s="168"/>
      <c r="T56" s="168"/>
      <c r="U56" s="168"/>
      <c r="AJ56" s="6"/>
    </row>
    <row r="57" spans="2:36">
      <c r="AJ57" s="6"/>
    </row>
    <row r="58" spans="2:36">
      <c r="AJ58" s="6"/>
    </row>
    <row r="59" spans="2:36">
      <c r="AJ59" s="6"/>
    </row>
    <row r="60" spans="2:36">
      <c r="AJ60" s="6"/>
    </row>
    <row r="61" spans="2:36">
      <c r="AJ61" s="6"/>
    </row>
    <row r="62" spans="2:36">
      <c r="AJ62" s="6"/>
    </row>
    <row r="63" spans="2:36">
      <c r="AJ63" s="6"/>
    </row>
    <row r="64" spans="2:36">
      <c r="AJ64" s="6"/>
    </row>
    <row r="65" spans="36:36">
      <c r="AJ65" s="6"/>
    </row>
    <row r="66" spans="36:36">
      <c r="AJ66" s="6"/>
    </row>
    <row r="81" spans="5:5">
      <c r="E81" s="223"/>
    </row>
  </sheetData>
  <pageMargins left="0.7" right="0.7" top="0.75" bottom="0.75" header="0.3" footer="0.3"/>
  <customProperties>
    <customPr name="Qube.Worksheet.Visibility" r:id="rId1"/>
    <customPr name="QXL_SHEET_ID" r:id="rId2"/>
  </customProperties>
  <legacyDrawing r:id="rId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C8A883-707C-4554-8D0E-ED4157863BF3}">
  <sheetPr>
    <tabColor theme="7" tint="0.59999389629810485"/>
  </sheetPr>
  <dimension ref="A1:AP76"/>
  <sheetViews>
    <sheetView showGridLines="0" topLeftCell="B1" zoomScale="85" zoomScaleNormal="85" workbookViewId="0">
      <selection activeCell="I26" sqref="I26"/>
    </sheetView>
  </sheetViews>
  <sheetFormatPr defaultColWidth="9.140625" defaultRowHeight="12.75" outlineLevelCol="1"/>
  <cols>
    <col min="1" max="1" width="5.28515625" style="24" hidden="1" customWidth="1" outlineLevel="1"/>
    <col min="2" max="2" width="32.140625" style="6" customWidth="1" collapsed="1"/>
    <col min="3" max="11" width="9.42578125" style="168" bestFit="1" customWidth="1"/>
    <col min="12" max="17" width="9.42578125" style="168" customWidth="1"/>
    <col min="18" max="35" width="8.42578125" style="168" customWidth="1"/>
    <col min="36" max="16384" width="9.140625" style="6"/>
  </cols>
  <sheetData>
    <row r="1" spans="1:42" s="8" customFormat="1">
      <c r="A1" s="140"/>
      <c r="B1" s="5" t="s">
        <v>226</v>
      </c>
      <c r="C1" s="167"/>
      <c r="D1" s="167"/>
      <c r="E1" s="167"/>
      <c r="F1" s="167"/>
      <c r="G1" s="167"/>
      <c r="H1" s="167"/>
      <c r="I1" s="167"/>
      <c r="J1" s="167"/>
      <c r="K1" s="167"/>
      <c r="L1" s="167"/>
      <c r="M1" s="167"/>
      <c r="N1" s="167"/>
      <c r="O1" s="167"/>
      <c r="P1" s="167"/>
      <c r="Q1" s="167"/>
      <c r="R1" s="167"/>
      <c r="S1" s="167"/>
      <c r="T1" s="167"/>
      <c r="U1" s="167"/>
      <c r="V1" s="167"/>
      <c r="W1" s="167"/>
      <c r="X1" s="167"/>
      <c r="Y1" s="167"/>
      <c r="Z1" s="167"/>
      <c r="AA1" s="167"/>
      <c r="AB1" s="167"/>
      <c r="AC1" s="167"/>
      <c r="AD1" s="167"/>
      <c r="AE1" s="167"/>
      <c r="AF1" s="167"/>
      <c r="AG1" s="167"/>
      <c r="AH1" s="167"/>
      <c r="AI1" s="167"/>
    </row>
    <row r="2" spans="1:42" s="8" customFormat="1">
      <c r="A2" s="140"/>
      <c r="B2" s="5" t="s">
        <v>81</v>
      </c>
      <c r="C2" s="167"/>
      <c r="D2" s="167"/>
      <c r="E2" s="167"/>
      <c r="F2" s="167"/>
      <c r="G2" s="167"/>
      <c r="H2" s="167"/>
      <c r="I2" s="167"/>
      <c r="J2" s="167"/>
      <c r="K2" s="167"/>
      <c r="L2" s="167"/>
      <c r="M2" s="167"/>
      <c r="N2" s="167"/>
      <c r="O2" s="167"/>
      <c r="P2" s="167"/>
      <c r="Q2" s="167"/>
      <c r="R2" s="167"/>
      <c r="S2" s="167"/>
      <c r="T2" s="167"/>
      <c r="U2" s="167"/>
      <c r="V2" s="167"/>
      <c r="W2" s="167"/>
      <c r="X2" s="167"/>
      <c r="Y2" s="167"/>
      <c r="Z2" s="167"/>
      <c r="AA2" s="167"/>
      <c r="AB2" s="167"/>
      <c r="AC2" s="167"/>
      <c r="AD2" s="167"/>
      <c r="AE2" s="167"/>
      <c r="AF2" s="167"/>
      <c r="AG2" s="167"/>
      <c r="AH2" s="167"/>
      <c r="AI2" s="167"/>
    </row>
    <row r="3" spans="1:42" s="8" customFormat="1">
      <c r="A3" s="140"/>
      <c r="B3" s="5"/>
      <c r="C3" s="14" t="str">
        <f>Model!C3</f>
        <v>FY17</v>
      </c>
      <c r="D3" s="14" t="str">
        <f>Model!D3</f>
        <v>FY18</v>
      </c>
      <c r="E3" s="14" t="str">
        <f>Model!E3</f>
        <v>FY19</v>
      </c>
      <c r="F3" s="14" t="str">
        <f>Model!F3</f>
        <v>FY20</v>
      </c>
      <c r="G3" s="14" t="str">
        <f>Model!G3</f>
        <v>FY21</v>
      </c>
      <c r="H3" s="14" t="str">
        <f>Model!H3</f>
        <v>FY22</v>
      </c>
      <c r="I3" s="14" t="str">
        <f>Model!I3</f>
        <v>FY23</v>
      </c>
      <c r="J3" s="14" t="str">
        <f>Model!J3</f>
        <v>FY24</v>
      </c>
      <c r="K3" s="14" t="str">
        <f>Model!K3</f>
        <v>FY25</v>
      </c>
      <c r="L3" s="14" t="s">
        <v>35</v>
      </c>
      <c r="M3" s="14" t="s">
        <v>36</v>
      </c>
      <c r="N3" s="14" t="s">
        <v>372</v>
      </c>
      <c r="O3" s="14" t="s">
        <v>426</v>
      </c>
      <c r="P3" s="14" t="s">
        <v>427</v>
      </c>
      <c r="Q3" s="14"/>
      <c r="R3" s="14" t="str">
        <f>Model!R3</f>
        <v>1H17</v>
      </c>
      <c r="S3" s="14" t="str">
        <f>Model!S3</f>
        <v>2H17</v>
      </c>
      <c r="T3" s="14" t="str">
        <f>Model!T3</f>
        <v>1H18</v>
      </c>
      <c r="U3" s="14" t="str">
        <f>Model!U3</f>
        <v>2H18</v>
      </c>
      <c r="V3" s="14" t="str">
        <f>Model!V3</f>
        <v>1H19</v>
      </c>
      <c r="W3" s="14" t="str">
        <f>Model!W3</f>
        <v>2H19</v>
      </c>
      <c r="X3" s="14" t="str">
        <f>Model!X3</f>
        <v>1H20</v>
      </c>
      <c r="Y3" s="14" t="str">
        <f>Model!Y3</f>
        <v>2H20</v>
      </c>
      <c r="Z3" s="14" t="str">
        <f>Model!Z3</f>
        <v>1H21</v>
      </c>
      <c r="AA3" s="14" t="str">
        <f>Model!AA3</f>
        <v>2H21</v>
      </c>
      <c r="AB3" s="14" t="str">
        <f>Model!AB3</f>
        <v>1H22</v>
      </c>
      <c r="AC3" s="14" t="str">
        <f>Model!AC3</f>
        <v>2H22</v>
      </c>
      <c r="AD3" s="14" t="str">
        <f>Model!AD3</f>
        <v>1H23</v>
      </c>
      <c r="AE3" s="14" t="str">
        <f>Model!AE3</f>
        <v>2H23</v>
      </c>
      <c r="AF3" s="14" t="str">
        <f>Model!AF3</f>
        <v>1H24</v>
      </c>
      <c r="AG3" s="14" t="str">
        <f>Model!AG3</f>
        <v>2H24</v>
      </c>
      <c r="AH3" s="14" t="str">
        <f>Model!AH3</f>
        <v>1H25</v>
      </c>
      <c r="AI3" s="14" t="str">
        <f>Model!AI3</f>
        <v>2H25</v>
      </c>
    </row>
    <row r="4" spans="1:42" s="8" customFormat="1">
      <c r="A4" s="140"/>
      <c r="B4" s="1" t="s">
        <v>117</v>
      </c>
      <c r="C4" s="14"/>
      <c r="D4" s="14"/>
      <c r="E4" s="14"/>
      <c r="F4" s="14"/>
      <c r="G4" s="14"/>
      <c r="H4" s="14"/>
      <c r="I4" s="14"/>
      <c r="J4" s="14"/>
      <c r="K4" s="14"/>
      <c r="L4" s="14"/>
      <c r="M4" s="14"/>
      <c r="N4" s="14"/>
      <c r="O4" s="14"/>
      <c r="P4" s="14"/>
      <c r="Q4" s="14"/>
      <c r="R4" s="14"/>
      <c r="S4" s="14"/>
      <c r="T4" s="14"/>
      <c r="U4" s="14"/>
      <c r="V4" s="14"/>
      <c r="W4" s="14"/>
      <c r="X4" s="14"/>
      <c r="Y4" s="14"/>
      <c r="Z4" s="14"/>
      <c r="AA4" s="14"/>
      <c r="AB4" s="14"/>
      <c r="AC4" s="14"/>
      <c r="AD4" s="14"/>
      <c r="AE4" s="14"/>
      <c r="AF4" s="14"/>
      <c r="AG4" s="14"/>
      <c r="AH4" s="14"/>
      <c r="AI4" s="14"/>
    </row>
    <row r="5" spans="1:42">
      <c r="B5" s="23" t="s">
        <v>118</v>
      </c>
      <c r="C5" s="199"/>
      <c r="D5" s="199"/>
      <c r="E5" s="199"/>
      <c r="F5" s="199"/>
      <c r="G5" s="199"/>
      <c r="H5" s="199"/>
      <c r="I5" s="199"/>
      <c r="J5" s="199"/>
      <c r="K5" s="199"/>
      <c r="L5" s="200"/>
      <c r="M5" s="200"/>
      <c r="N5" s="200"/>
      <c r="O5" s="200"/>
      <c r="P5" s="200"/>
      <c r="Q5" s="200"/>
      <c r="R5" s="199"/>
      <c r="S5" s="199"/>
      <c r="T5" s="199"/>
      <c r="U5" s="199"/>
      <c r="V5" s="199"/>
      <c r="W5" s="199"/>
      <c r="X5" s="199"/>
      <c r="Y5" s="199"/>
      <c r="Z5" s="199"/>
      <c r="AA5" s="199"/>
      <c r="AB5" s="199"/>
      <c r="AC5" s="199"/>
      <c r="AD5" s="199"/>
      <c r="AE5" s="199"/>
      <c r="AF5" s="199"/>
      <c r="AG5" s="199"/>
      <c r="AH5" s="199"/>
      <c r="AI5" s="199"/>
    </row>
    <row r="6" spans="1:42">
      <c r="A6" s="24" t="s">
        <v>214</v>
      </c>
      <c r="B6" s="17" t="s">
        <v>119</v>
      </c>
      <c r="C6" s="18">
        <v>909.4</v>
      </c>
      <c r="D6" s="18">
        <v>1273</v>
      </c>
      <c r="E6" s="18">
        <v>1066</v>
      </c>
      <c r="F6" s="22">
        <v>2068</v>
      </c>
      <c r="G6" s="22">
        <v>1009</v>
      </c>
      <c r="H6" s="22">
        <v>1032</v>
      </c>
      <c r="I6" s="22">
        <v>1135</v>
      </c>
      <c r="J6" s="22">
        <v>1298</v>
      </c>
      <c r="K6" s="22">
        <v>1275</v>
      </c>
      <c r="L6" s="148">
        <f>CF!L43</f>
        <v>1379.061171635859</v>
      </c>
      <c r="M6" s="148">
        <f>CF!M43</f>
        <v>1635.9805162941911</v>
      </c>
      <c r="N6" s="148">
        <f>CF!N43</f>
        <v>2028.8967024460771</v>
      </c>
      <c r="O6" s="148">
        <f>CF!O43</f>
        <v>2529.4185409255488</v>
      </c>
      <c r="P6" s="148">
        <f>CF!P43</f>
        <v>3141.2630731481477</v>
      </c>
      <c r="Q6" s="157"/>
      <c r="R6" s="18">
        <v>1421.3</v>
      </c>
      <c r="S6" s="21"/>
      <c r="T6" s="18">
        <v>1688</v>
      </c>
      <c r="U6" s="21"/>
      <c r="V6" s="22">
        <v>1618</v>
      </c>
      <c r="W6" s="21"/>
      <c r="X6" s="22">
        <v>1037</v>
      </c>
      <c r="Y6" s="21"/>
      <c r="Z6" s="22">
        <v>2135</v>
      </c>
      <c r="AA6" s="21"/>
      <c r="AB6" s="22">
        <v>1006</v>
      </c>
      <c r="AC6" s="21"/>
      <c r="AD6" s="22">
        <v>1059</v>
      </c>
      <c r="AE6" s="21"/>
      <c r="AF6" s="22">
        <v>1696</v>
      </c>
      <c r="AG6" s="21"/>
      <c r="AH6" s="22">
        <v>1289</v>
      </c>
      <c r="AI6" s="21"/>
    </row>
    <row r="7" spans="1:42">
      <c r="A7" s="24" t="s">
        <v>419</v>
      </c>
      <c r="B7" s="17" t="s">
        <v>120</v>
      </c>
      <c r="C7" s="22">
        <v>744.7</v>
      </c>
      <c r="D7" s="22">
        <v>801</v>
      </c>
      <c r="E7" s="22">
        <v>682</v>
      </c>
      <c r="F7" s="22">
        <v>740</v>
      </c>
      <c r="G7" s="22">
        <v>649</v>
      </c>
      <c r="H7" s="22">
        <v>1044</v>
      </c>
      <c r="I7" s="22">
        <v>1016</v>
      </c>
      <c r="J7" s="22">
        <v>1062</v>
      </c>
      <c r="K7" s="22">
        <v>1034</v>
      </c>
      <c r="L7" s="148">
        <f t="shared" ref="L7:P7" si="0">L53</f>
        <v>1065.0714722092393</v>
      </c>
      <c r="M7" s="148">
        <f t="shared" si="0"/>
        <v>1107.6623496000207</v>
      </c>
      <c r="N7" s="148">
        <f t="shared" si="0"/>
        <v>1153.0636353484356</v>
      </c>
      <c r="O7" s="148">
        <f t="shared" si="0"/>
        <v>1200.1373513939216</v>
      </c>
      <c r="P7" s="148">
        <f t="shared" si="0"/>
        <v>1248.9433202486919</v>
      </c>
      <c r="Q7" s="157"/>
      <c r="R7" s="18">
        <v>737.3</v>
      </c>
      <c r="S7" s="21"/>
      <c r="T7" s="18">
        <v>837</v>
      </c>
      <c r="U7" s="21"/>
      <c r="V7" s="22">
        <v>821</v>
      </c>
      <c r="W7" s="21"/>
      <c r="X7" s="22">
        <v>811</v>
      </c>
      <c r="Y7" s="21"/>
      <c r="Z7" s="22">
        <v>853</v>
      </c>
      <c r="AA7" s="21"/>
      <c r="AB7" s="22">
        <v>1077</v>
      </c>
      <c r="AC7" s="21"/>
      <c r="AD7" s="22">
        <v>1211</v>
      </c>
      <c r="AE7" s="21"/>
      <c r="AF7" s="22">
        <v>996</v>
      </c>
      <c r="AG7" s="21"/>
      <c r="AH7" s="22">
        <v>1085</v>
      </c>
      <c r="AI7" s="21"/>
    </row>
    <row r="8" spans="1:42">
      <c r="A8" s="24" t="s">
        <v>121</v>
      </c>
      <c r="B8" s="17" t="s">
        <v>121</v>
      </c>
      <c r="C8" s="22">
        <v>4080.4</v>
      </c>
      <c r="D8" s="22">
        <v>4233</v>
      </c>
      <c r="E8" s="22">
        <v>4280</v>
      </c>
      <c r="F8" s="22">
        <v>4434</v>
      </c>
      <c r="G8" s="22">
        <v>3132</v>
      </c>
      <c r="H8" s="22">
        <v>3593</v>
      </c>
      <c r="I8" s="22">
        <v>3698</v>
      </c>
      <c r="J8" s="22">
        <v>4187</v>
      </c>
      <c r="K8" s="22">
        <v>4169</v>
      </c>
      <c r="L8" s="148">
        <f>L57</f>
        <v>4294.2775315670397</v>
      </c>
      <c r="M8" s="148">
        <f t="shared" ref="M8:P8" si="1">M57</f>
        <v>4466.0003244511472</v>
      </c>
      <c r="N8" s="148">
        <f t="shared" si="1"/>
        <v>4649.0544446495442</v>
      </c>
      <c r="O8" s="148">
        <f t="shared" si="1"/>
        <v>4838.8516614712371</v>
      </c>
      <c r="P8" s="148">
        <f t="shared" si="1"/>
        <v>5035.633174194194</v>
      </c>
      <c r="Q8" s="157"/>
      <c r="R8" s="18">
        <v>4449.2</v>
      </c>
      <c r="S8" s="21"/>
      <c r="T8" s="18">
        <v>4558</v>
      </c>
      <c r="U8" s="21"/>
      <c r="V8" s="22">
        <v>4752</v>
      </c>
      <c r="W8" s="21"/>
      <c r="X8" s="22">
        <v>4621</v>
      </c>
      <c r="Y8" s="21"/>
      <c r="Z8" s="22">
        <v>4808</v>
      </c>
      <c r="AA8" s="21"/>
      <c r="AB8" s="22">
        <v>3554</v>
      </c>
      <c r="AC8" s="21"/>
      <c r="AD8" s="22">
        <v>3944</v>
      </c>
      <c r="AE8" s="21"/>
      <c r="AF8" s="22">
        <v>3999</v>
      </c>
      <c r="AG8" s="21"/>
      <c r="AH8" s="22">
        <v>4470</v>
      </c>
      <c r="AI8" s="21"/>
    </row>
    <row r="9" spans="1:42">
      <c r="A9" s="24" t="s">
        <v>420</v>
      </c>
      <c r="B9" s="17" t="s">
        <v>122</v>
      </c>
      <c r="C9" s="18">
        <v>1259.6999999999998</v>
      </c>
      <c r="D9" s="18">
        <f>53+821</f>
        <v>874</v>
      </c>
      <c r="E9" s="18">
        <f>45+225</f>
        <v>270</v>
      </c>
      <c r="F9" s="18">
        <f>534+16+333</f>
        <v>883</v>
      </c>
      <c r="G9" s="18">
        <f>19+18</f>
        <v>37</v>
      </c>
      <c r="H9" s="18">
        <f>106+48</f>
        <v>154</v>
      </c>
      <c r="I9" s="18">
        <f>225+51</f>
        <v>276</v>
      </c>
      <c r="J9" s="18">
        <f>23+221</f>
        <v>244</v>
      </c>
      <c r="K9" s="18">
        <f>52+261</f>
        <v>313</v>
      </c>
      <c r="L9" s="147">
        <f>K9</f>
        <v>313</v>
      </c>
      <c r="M9" s="147">
        <f t="shared" ref="M9:P10" si="2">L9</f>
        <v>313</v>
      </c>
      <c r="N9" s="147">
        <f t="shared" si="2"/>
        <v>313</v>
      </c>
      <c r="O9" s="147">
        <f t="shared" si="2"/>
        <v>313</v>
      </c>
      <c r="P9" s="147">
        <f t="shared" si="2"/>
        <v>313</v>
      </c>
      <c r="Q9" s="157"/>
      <c r="R9" s="18">
        <v>1392.8999999999999</v>
      </c>
      <c r="S9" s="21"/>
      <c r="T9" s="18">
        <f>741+16</f>
        <v>757</v>
      </c>
      <c r="U9" s="21"/>
      <c r="V9" s="18">
        <f>843+54</f>
        <v>897</v>
      </c>
      <c r="W9" s="21"/>
      <c r="X9" s="18">
        <f>294+198</f>
        <v>492</v>
      </c>
      <c r="Y9" s="21"/>
      <c r="Z9" s="18">
        <f>157+9</f>
        <v>166</v>
      </c>
      <c r="AA9" s="21"/>
      <c r="AB9" s="18">
        <f>34+48</f>
        <v>82</v>
      </c>
      <c r="AC9" s="21"/>
      <c r="AD9" s="18">
        <f>55+42</f>
        <v>97</v>
      </c>
      <c r="AE9" s="21"/>
      <c r="AF9" s="18">
        <f>251+22</f>
        <v>273</v>
      </c>
      <c r="AG9" s="21"/>
      <c r="AH9" s="18">
        <f>308+91+61</f>
        <v>460</v>
      </c>
      <c r="AI9" s="21"/>
    </row>
    <row r="10" spans="1:42">
      <c r="B10" s="17" t="s">
        <v>123</v>
      </c>
      <c r="C10" s="201"/>
      <c r="D10" s="201"/>
      <c r="E10" s="201"/>
      <c r="F10" s="201"/>
      <c r="G10" s="18">
        <v>10959</v>
      </c>
      <c r="H10" s="18">
        <v>287</v>
      </c>
      <c r="I10" s="18">
        <v>250</v>
      </c>
      <c r="J10" s="18">
        <v>200</v>
      </c>
      <c r="K10" s="18">
        <v>200</v>
      </c>
      <c r="L10" s="147">
        <f>K10</f>
        <v>200</v>
      </c>
      <c r="M10" s="147">
        <f t="shared" si="2"/>
        <v>200</v>
      </c>
      <c r="N10" s="147">
        <f t="shared" si="2"/>
        <v>200</v>
      </c>
      <c r="O10" s="147">
        <f t="shared" si="2"/>
        <v>200</v>
      </c>
      <c r="P10" s="147">
        <f t="shared" si="2"/>
        <v>200</v>
      </c>
      <c r="Q10" s="157"/>
      <c r="R10" s="201"/>
      <c r="S10" s="201"/>
      <c r="T10" s="201"/>
      <c r="U10" s="21"/>
      <c r="V10" s="201"/>
      <c r="W10" s="21"/>
      <c r="X10" s="201"/>
      <c r="Y10" s="201"/>
      <c r="Z10" s="18">
        <v>178</v>
      </c>
      <c r="AA10" s="21"/>
      <c r="AB10" s="18">
        <v>166</v>
      </c>
      <c r="AC10" s="21"/>
      <c r="AD10" s="18">
        <v>209</v>
      </c>
      <c r="AE10" s="21"/>
      <c r="AF10" s="18">
        <v>352</v>
      </c>
      <c r="AG10" s="21"/>
      <c r="AH10" s="18">
        <v>80</v>
      </c>
      <c r="AI10" s="21"/>
    </row>
    <row r="11" spans="1:42" s="7" customFormat="1">
      <c r="A11" s="24" t="s">
        <v>440</v>
      </c>
      <c r="B11" s="142" t="s">
        <v>124</v>
      </c>
      <c r="C11" s="202">
        <f t="shared" ref="C11:K11" si="3">SUM(C6:C10)</f>
        <v>6994.2</v>
      </c>
      <c r="D11" s="202">
        <f t="shared" si="3"/>
        <v>7181</v>
      </c>
      <c r="E11" s="202">
        <f t="shared" si="3"/>
        <v>6298</v>
      </c>
      <c r="F11" s="202">
        <f t="shared" si="3"/>
        <v>8125</v>
      </c>
      <c r="G11" s="202">
        <f t="shared" si="3"/>
        <v>15786</v>
      </c>
      <c r="H11" s="202">
        <f t="shared" si="3"/>
        <v>6110</v>
      </c>
      <c r="I11" s="202">
        <f t="shared" si="3"/>
        <v>6375</v>
      </c>
      <c r="J11" s="202">
        <f t="shared" si="3"/>
        <v>6991</v>
      </c>
      <c r="K11" s="202">
        <f t="shared" si="3"/>
        <v>6991</v>
      </c>
      <c r="L11" s="202">
        <f t="shared" ref="L11:P11" si="4">SUM(L6:L10)</f>
        <v>7251.4101754121384</v>
      </c>
      <c r="M11" s="202">
        <f t="shared" si="4"/>
        <v>7722.6431903453595</v>
      </c>
      <c r="N11" s="202">
        <f t="shared" si="4"/>
        <v>8344.0147824440573</v>
      </c>
      <c r="O11" s="202">
        <f t="shared" si="4"/>
        <v>9081.4075537907083</v>
      </c>
      <c r="P11" s="202">
        <f t="shared" si="4"/>
        <v>9938.8395675910324</v>
      </c>
      <c r="Q11" s="157"/>
      <c r="R11" s="202">
        <f>SUM(R6:R10)</f>
        <v>8000.6999999999989</v>
      </c>
      <c r="S11" s="202"/>
      <c r="T11" s="202">
        <f t="shared" ref="T11:AH11" si="5">SUM(T6:T10)</f>
        <v>7840</v>
      </c>
      <c r="U11" s="202"/>
      <c r="V11" s="202">
        <f t="shared" si="5"/>
        <v>8088</v>
      </c>
      <c r="W11" s="202"/>
      <c r="X11" s="202">
        <f t="shared" si="5"/>
        <v>6961</v>
      </c>
      <c r="Y11" s="202"/>
      <c r="Z11" s="202">
        <f t="shared" si="5"/>
        <v>8140</v>
      </c>
      <c r="AA11" s="202"/>
      <c r="AB11" s="202">
        <f t="shared" si="5"/>
        <v>5885</v>
      </c>
      <c r="AC11" s="202"/>
      <c r="AD11" s="202">
        <f t="shared" si="5"/>
        <v>6520</v>
      </c>
      <c r="AE11" s="202"/>
      <c r="AF11" s="202">
        <f t="shared" si="5"/>
        <v>7316</v>
      </c>
      <c r="AG11" s="202"/>
      <c r="AH11" s="202">
        <f t="shared" si="5"/>
        <v>7384</v>
      </c>
      <c r="AI11" s="202"/>
      <c r="AJ11" s="6"/>
      <c r="AK11" s="6"/>
      <c r="AL11" s="6"/>
      <c r="AM11" s="6"/>
      <c r="AN11" s="6"/>
      <c r="AO11" s="6"/>
      <c r="AP11" s="6"/>
    </row>
    <row r="12" spans="1:42">
      <c r="B12" s="32"/>
      <c r="C12" s="201"/>
      <c r="D12" s="201"/>
      <c r="E12" s="201"/>
      <c r="F12" s="201"/>
      <c r="G12" s="201"/>
      <c r="H12" s="201"/>
      <c r="I12" s="201"/>
      <c r="J12" s="201"/>
      <c r="K12" s="201"/>
      <c r="L12" s="203"/>
      <c r="M12" s="204"/>
      <c r="N12" s="204"/>
      <c r="O12" s="204"/>
      <c r="P12" s="204"/>
      <c r="Q12" s="157"/>
      <c r="R12" s="201"/>
      <c r="S12" s="201"/>
      <c r="T12" s="201"/>
      <c r="U12" s="201"/>
      <c r="V12" s="201"/>
      <c r="W12" s="201"/>
      <c r="X12" s="201"/>
      <c r="Y12" s="201"/>
      <c r="Z12" s="201"/>
      <c r="AA12" s="201"/>
      <c r="AB12" s="201"/>
      <c r="AC12" s="201"/>
      <c r="AD12" s="201"/>
      <c r="AE12" s="201"/>
      <c r="AF12" s="201"/>
      <c r="AG12" s="201"/>
      <c r="AH12" s="201"/>
      <c r="AI12" s="201"/>
    </row>
    <row r="13" spans="1:42">
      <c r="B13" s="32" t="s">
        <v>125</v>
      </c>
      <c r="C13" s="18">
        <v>72.099999999999994</v>
      </c>
      <c r="D13" s="18">
        <v>93</v>
      </c>
      <c r="E13" s="18">
        <v>145</v>
      </c>
      <c r="F13" s="22">
        <v>154</v>
      </c>
      <c r="G13" s="22">
        <v>133</v>
      </c>
      <c r="H13" s="22">
        <v>159</v>
      </c>
      <c r="I13" s="22">
        <v>132</v>
      </c>
      <c r="J13" s="22">
        <v>129</v>
      </c>
      <c r="K13" s="22">
        <v>146</v>
      </c>
      <c r="L13" s="147">
        <f>K13</f>
        <v>146</v>
      </c>
      <c r="M13" s="147">
        <f t="shared" ref="M13:P13" si="6">L13</f>
        <v>146</v>
      </c>
      <c r="N13" s="147">
        <f t="shared" si="6"/>
        <v>146</v>
      </c>
      <c r="O13" s="147">
        <f t="shared" si="6"/>
        <v>146</v>
      </c>
      <c r="P13" s="147">
        <f t="shared" si="6"/>
        <v>146</v>
      </c>
      <c r="Q13" s="157"/>
      <c r="R13" s="18">
        <v>132.5</v>
      </c>
      <c r="S13" s="21"/>
      <c r="T13" s="18">
        <v>73</v>
      </c>
      <c r="U13" s="21"/>
      <c r="V13" s="22">
        <v>107</v>
      </c>
      <c r="W13" s="21"/>
      <c r="X13" s="22">
        <v>204</v>
      </c>
      <c r="Y13" s="21"/>
      <c r="Z13" s="22">
        <v>162</v>
      </c>
      <c r="AA13" s="22"/>
      <c r="AB13" s="22">
        <v>151</v>
      </c>
      <c r="AC13" s="21"/>
      <c r="AD13" s="22">
        <v>147</v>
      </c>
      <c r="AE13" s="21"/>
      <c r="AF13" s="22">
        <v>126</v>
      </c>
      <c r="AG13" s="21"/>
      <c r="AH13" s="22">
        <v>145</v>
      </c>
      <c r="AI13" s="21"/>
    </row>
    <row r="14" spans="1:42">
      <c r="A14" s="24" t="s">
        <v>126</v>
      </c>
      <c r="B14" s="32" t="s">
        <v>126</v>
      </c>
      <c r="C14" s="18">
        <v>8437.5</v>
      </c>
      <c r="D14" s="18">
        <v>9026</v>
      </c>
      <c r="E14" s="18">
        <v>9519</v>
      </c>
      <c r="F14" s="18">
        <v>8742</v>
      </c>
      <c r="G14" s="18">
        <v>7477</v>
      </c>
      <c r="H14" s="18">
        <v>8231</v>
      </c>
      <c r="I14" s="18">
        <v>8881</v>
      </c>
      <c r="J14" s="18">
        <v>9678</v>
      </c>
      <c r="K14" s="18">
        <v>10172</v>
      </c>
      <c r="L14" s="148">
        <f>K14-CF!L22-CF!L21+PL!L25</f>
        <v>10552.43</v>
      </c>
      <c r="M14" s="148">
        <f>L14-CF!M22-CF!M21+PL!M25</f>
        <v>10873.592700000001</v>
      </c>
      <c r="N14" s="148">
        <f>M14-CF!N22-CF!N21+PL!N25</f>
        <v>11133.753183000001</v>
      </c>
      <c r="O14" s="148">
        <f>N14-CF!O22-CF!O21+PL!O25</f>
        <v>11331.138924070001</v>
      </c>
      <c r="P14" s="148">
        <f>O14-CF!P22-CF!P21+PL!P25</f>
        <v>11463.9398754703</v>
      </c>
      <c r="Q14" s="157"/>
      <c r="R14" s="18">
        <v>7888.2</v>
      </c>
      <c r="S14" s="21"/>
      <c r="T14" s="18">
        <v>8635</v>
      </c>
      <c r="U14" s="21"/>
      <c r="V14" s="18">
        <v>9335</v>
      </c>
      <c r="W14" s="21"/>
      <c r="X14" s="18">
        <v>9583</v>
      </c>
      <c r="Y14" s="21"/>
      <c r="Z14" s="18">
        <v>8960</v>
      </c>
      <c r="AA14" s="18"/>
      <c r="AB14" s="22">
        <v>7822</v>
      </c>
      <c r="AC14" s="21"/>
      <c r="AD14" s="18">
        <v>8705</v>
      </c>
      <c r="AE14" s="21"/>
      <c r="AF14" s="18">
        <v>9136</v>
      </c>
      <c r="AG14" s="21"/>
      <c r="AH14" s="18">
        <v>9953</v>
      </c>
      <c r="AI14" s="21"/>
    </row>
    <row r="15" spans="1:42">
      <c r="A15" s="24" t="s">
        <v>442</v>
      </c>
      <c r="B15" s="32" t="s">
        <v>127</v>
      </c>
      <c r="C15" s="21"/>
      <c r="D15" s="21"/>
      <c r="E15" s="21"/>
      <c r="F15" s="22">
        <v>12062</v>
      </c>
      <c r="G15" s="22">
        <v>9553</v>
      </c>
      <c r="H15" s="22">
        <v>9995</v>
      </c>
      <c r="I15" s="22">
        <v>9467</v>
      </c>
      <c r="J15" s="22">
        <v>9604</v>
      </c>
      <c r="K15" s="22">
        <v>9162</v>
      </c>
      <c r="L15" s="148">
        <f>K15+PL!L24+L74</f>
        <v>9190.4500000000007</v>
      </c>
      <c r="M15" s="148">
        <f>L15+PL!M24+M74</f>
        <v>9233.3225000000002</v>
      </c>
      <c r="N15" s="148">
        <f>M15+PL!N24+N74</f>
        <v>9292.1186249999992</v>
      </c>
      <c r="O15" s="148">
        <f>N15+PL!O24+O74</f>
        <v>9368.4613562499981</v>
      </c>
      <c r="P15" s="148">
        <f>O15+PL!P24+P74</f>
        <v>9464.1044320624987</v>
      </c>
      <c r="Q15" s="157"/>
      <c r="R15" s="21"/>
      <c r="S15" s="21"/>
      <c r="T15" s="21"/>
      <c r="U15" s="21"/>
      <c r="V15" s="21"/>
      <c r="W15" s="21"/>
      <c r="X15" s="22">
        <v>11993</v>
      </c>
      <c r="Y15" s="21"/>
      <c r="Z15" s="22">
        <v>12759</v>
      </c>
      <c r="AA15" s="22"/>
      <c r="AB15" s="22">
        <v>10178</v>
      </c>
      <c r="AC15" s="21"/>
      <c r="AD15" s="22">
        <v>9696</v>
      </c>
      <c r="AE15" s="21"/>
      <c r="AF15" s="22">
        <v>9432</v>
      </c>
      <c r="AG15" s="21"/>
      <c r="AH15" s="22">
        <v>9505</v>
      </c>
      <c r="AI15" s="21"/>
    </row>
    <row r="16" spans="1:42">
      <c r="B16" s="32" t="s">
        <v>128</v>
      </c>
      <c r="C16" s="18">
        <v>4216.3999999999996</v>
      </c>
      <c r="D16" s="18">
        <v>4155</v>
      </c>
      <c r="E16" s="18">
        <v>4217</v>
      </c>
      <c r="F16" s="18">
        <v>4196</v>
      </c>
      <c r="G16" s="18">
        <v>2881</v>
      </c>
      <c r="H16" s="18">
        <v>3198</v>
      </c>
      <c r="I16" s="18">
        <v>3504</v>
      </c>
      <c r="J16" s="18">
        <v>2466</v>
      </c>
      <c r="K16" s="18">
        <v>2468</v>
      </c>
      <c r="L16" s="147">
        <f>K16</f>
        <v>2468</v>
      </c>
      <c r="M16" s="147">
        <f t="shared" ref="M16:P20" si="7">L16</f>
        <v>2468</v>
      </c>
      <c r="N16" s="147">
        <f t="shared" si="7"/>
        <v>2468</v>
      </c>
      <c r="O16" s="147">
        <f t="shared" si="7"/>
        <v>2468</v>
      </c>
      <c r="P16" s="147">
        <f t="shared" si="7"/>
        <v>2468</v>
      </c>
      <c r="Q16" s="157"/>
      <c r="R16" s="22">
        <v>3637.3</v>
      </c>
      <c r="S16" s="21"/>
      <c r="T16" s="22">
        <f>C16</f>
        <v>4216.3999999999996</v>
      </c>
      <c r="U16" s="21"/>
      <c r="V16" s="22">
        <f>D16</f>
        <v>4155</v>
      </c>
      <c r="W16" s="21"/>
      <c r="X16" s="22">
        <f>E16</f>
        <v>4217</v>
      </c>
      <c r="Y16" s="21"/>
      <c r="Z16" s="18">
        <f>7740-Z17</f>
        <v>4219</v>
      </c>
      <c r="AA16" s="18"/>
      <c r="AB16" s="22">
        <f>5309-AB17</f>
        <v>3519</v>
      </c>
      <c r="AC16" s="21"/>
      <c r="AD16" s="18">
        <f>5708-AD17</f>
        <v>3628</v>
      </c>
      <c r="AE16" s="21"/>
      <c r="AF16" s="18">
        <f>4198-AF17</f>
        <v>2009</v>
      </c>
      <c r="AG16" s="21"/>
      <c r="AH16" s="18">
        <f>J16</f>
        <v>2466</v>
      </c>
      <c r="AI16" s="21"/>
    </row>
    <row r="17" spans="1:42">
      <c r="A17" s="24" t="s">
        <v>381</v>
      </c>
      <c r="B17" s="32" t="s">
        <v>129</v>
      </c>
      <c r="C17" s="18">
        <v>2316.4000000000005</v>
      </c>
      <c r="D17" s="18">
        <f>6465-D16</f>
        <v>2310</v>
      </c>
      <c r="E17" s="18">
        <f>6526-E16</f>
        <v>2309</v>
      </c>
      <c r="F17" s="18">
        <f>7717-F16</f>
        <v>3521</v>
      </c>
      <c r="G17" s="18">
        <f>4671-G16</f>
        <v>1790</v>
      </c>
      <c r="H17" s="18">
        <f>5278-3198</f>
        <v>2080</v>
      </c>
      <c r="I17" s="18">
        <v>2189</v>
      </c>
      <c r="J17" s="18">
        <v>2407</v>
      </c>
      <c r="K17" s="18">
        <v>2241</v>
      </c>
      <c r="L17" s="148">
        <f>K17-CF!L23-CF!L24-CF!L25</f>
        <v>2241</v>
      </c>
      <c r="M17" s="148">
        <f>L17-CF!M23-CF!M24-CF!M25</f>
        <v>2241</v>
      </c>
      <c r="N17" s="148">
        <f>M17-CF!N23-CF!N24-CF!N25</f>
        <v>2241</v>
      </c>
      <c r="O17" s="148">
        <f>N17-CF!O23-CF!O24-CF!O25</f>
        <v>2241</v>
      </c>
      <c r="P17" s="148">
        <f>O17-CF!P23-CF!P24-CF!P25</f>
        <v>2241</v>
      </c>
      <c r="Q17" s="157"/>
      <c r="R17" s="18">
        <v>2314.8999999999996</v>
      </c>
      <c r="S17" s="21"/>
      <c r="T17" s="18">
        <f>6426-T16</f>
        <v>2209.6000000000004</v>
      </c>
      <c r="U17" s="21"/>
      <c r="V17" s="18">
        <f>6522-V16</f>
        <v>2367</v>
      </c>
      <c r="W17" s="21"/>
      <c r="X17" s="18">
        <f>6540-X16</f>
        <v>2323</v>
      </c>
      <c r="Y17" s="21"/>
      <c r="Z17" s="18">
        <f>F17</f>
        <v>3521</v>
      </c>
      <c r="AA17" s="18"/>
      <c r="AB17" s="22">
        <f>G17</f>
        <v>1790</v>
      </c>
      <c r="AC17" s="21"/>
      <c r="AD17" s="18">
        <f>H17</f>
        <v>2080</v>
      </c>
      <c r="AE17" s="21"/>
      <c r="AF17" s="18">
        <f>I17</f>
        <v>2189</v>
      </c>
      <c r="AG17" s="21"/>
      <c r="AH17" s="18">
        <f>4827-AH16</f>
        <v>2361</v>
      </c>
      <c r="AI17" s="21"/>
    </row>
    <row r="18" spans="1:42">
      <c r="B18" s="32" t="s">
        <v>130</v>
      </c>
      <c r="C18" s="18"/>
      <c r="D18" s="18"/>
      <c r="E18" s="18"/>
      <c r="F18" s="18">
        <v>1327</v>
      </c>
      <c r="G18" s="18">
        <v>1371</v>
      </c>
      <c r="H18" s="18">
        <v>1337</v>
      </c>
      <c r="I18" s="18">
        <v>1123</v>
      </c>
      <c r="J18" s="18">
        <v>1647</v>
      </c>
      <c r="K18" s="18">
        <v>1853</v>
      </c>
      <c r="L18" s="147">
        <f>K18</f>
        <v>1853</v>
      </c>
      <c r="M18" s="147">
        <f t="shared" si="7"/>
        <v>1853</v>
      </c>
      <c r="N18" s="147">
        <f t="shared" si="7"/>
        <v>1853</v>
      </c>
      <c r="O18" s="147">
        <f t="shared" si="7"/>
        <v>1853</v>
      </c>
      <c r="P18" s="147">
        <f t="shared" si="7"/>
        <v>1853</v>
      </c>
      <c r="Q18" s="157"/>
      <c r="R18" s="18"/>
      <c r="S18" s="21"/>
      <c r="T18" s="18"/>
      <c r="U18" s="21"/>
      <c r="V18" s="18"/>
      <c r="W18" s="21"/>
      <c r="X18" s="18"/>
      <c r="Y18" s="21"/>
      <c r="Z18" s="18">
        <v>1358</v>
      </c>
      <c r="AA18" s="18"/>
      <c r="AB18" s="22">
        <v>1341</v>
      </c>
      <c r="AC18" s="21"/>
      <c r="AD18" s="18">
        <v>1437</v>
      </c>
      <c r="AE18" s="21"/>
      <c r="AF18" s="18">
        <v>1586</v>
      </c>
      <c r="AG18" s="21"/>
      <c r="AH18" s="18">
        <v>1609</v>
      </c>
      <c r="AI18" s="21"/>
    </row>
    <row r="19" spans="1:42">
      <c r="B19" s="32" t="s">
        <v>131</v>
      </c>
      <c r="C19" s="18"/>
      <c r="D19" s="18"/>
      <c r="E19" s="18"/>
      <c r="F19" s="18"/>
      <c r="G19" s="18">
        <v>30</v>
      </c>
      <c r="H19" s="18">
        <v>1691</v>
      </c>
      <c r="I19" s="18">
        <v>1478</v>
      </c>
      <c r="J19" s="18">
        <v>78</v>
      </c>
      <c r="K19" s="18">
        <v>77</v>
      </c>
      <c r="L19" s="147">
        <f>K19</f>
        <v>77</v>
      </c>
      <c r="M19" s="147">
        <f t="shared" si="7"/>
        <v>77</v>
      </c>
      <c r="N19" s="147">
        <f t="shared" si="7"/>
        <v>77</v>
      </c>
      <c r="O19" s="147">
        <f t="shared" si="7"/>
        <v>77</v>
      </c>
      <c r="P19" s="147">
        <f t="shared" si="7"/>
        <v>77</v>
      </c>
      <c r="Q19" s="157"/>
      <c r="R19" s="18"/>
      <c r="S19" s="21"/>
      <c r="T19" s="18"/>
      <c r="U19" s="21"/>
      <c r="V19" s="18"/>
      <c r="W19" s="21"/>
      <c r="X19" s="18"/>
      <c r="Y19" s="21"/>
      <c r="Z19" s="18">
        <v>72</v>
      </c>
      <c r="AA19" s="18"/>
      <c r="AB19" s="22">
        <v>1683</v>
      </c>
      <c r="AC19" s="21"/>
      <c r="AD19" s="18">
        <f>1102</f>
        <v>1102</v>
      </c>
      <c r="AE19" s="21"/>
      <c r="AF19" s="18">
        <v>69</v>
      </c>
      <c r="AG19" s="21"/>
      <c r="AH19" s="18">
        <v>79</v>
      </c>
      <c r="AI19" s="21"/>
    </row>
    <row r="20" spans="1:42">
      <c r="A20" s="24" t="s">
        <v>421</v>
      </c>
      <c r="B20" s="32" t="s">
        <v>132</v>
      </c>
      <c r="C20" s="18">
        <v>879.2</v>
      </c>
      <c r="D20" s="18">
        <f>522+271</f>
        <v>793</v>
      </c>
      <c r="E20" s="18">
        <f>692+311</f>
        <v>1003</v>
      </c>
      <c r="F20" s="18">
        <f>168+177</f>
        <v>345</v>
      </c>
      <c r="G20" s="18">
        <f>105+110</f>
        <v>215</v>
      </c>
      <c r="H20" s="18">
        <f>95+377</f>
        <v>472</v>
      </c>
      <c r="I20" s="18">
        <f>359+140</f>
        <v>499</v>
      </c>
      <c r="J20" s="18">
        <f>600+336</f>
        <v>936</v>
      </c>
      <c r="K20" s="18">
        <f>383+336</f>
        <v>719</v>
      </c>
      <c r="L20" s="147">
        <f>K20</f>
        <v>719</v>
      </c>
      <c r="M20" s="147">
        <f t="shared" si="7"/>
        <v>719</v>
      </c>
      <c r="N20" s="147">
        <f t="shared" si="7"/>
        <v>719</v>
      </c>
      <c r="O20" s="147">
        <f t="shared" si="7"/>
        <v>719</v>
      </c>
      <c r="P20" s="147">
        <f t="shared" si="7"/>
        <v>719</v>
      </c>
      <c r="Q20" s="157"/>
      <c r="R20" s="18">
        <v>1681.9</v>
      </c>
      <c r="S20" s="21"/>
      <c r="T20" s="18">
        <f>366+443</f>
        <v>809</v>
      </c>
      <c r="U20" s="21"/>
      <c r="V20" s="18">
        <f>622+215</f>
        <v>837</v>
      </c>
      <c r="W20" s="21"/>
      <c r="X20" s="18">
        <f>368+1002+61</f>
        <v>1431</v>
      </c>
      <c r="Y20" s="21"/>
      <c r="Z20" s="18">
        <f>117+176</f>
        <v>293</v>
      </c>
      <c r="AA20" s="18"/>
      <c r="AB20" s="22">
        <f>372+82</f>
        <v>454</v>
      </c>
      <c r="AC20" s="21"/>
      <c r="AD20" s="18">
        <f>368+89</f>
        <v>457</v>
      </c>
      <c r="AE20" s="21"/>
      <c r="AF20" s="18">
        <f>999+345</f>
        <v>1344</v>
      </c>
      <c r="AG20" s="21"/>
      <c r="AH20" s="18">
        <f>272+314</f>
        <v>586</v>
      </c>
      <c r="AI20" s="21"/>
    </row>
    <row r="21" spans="1:42" s="7" customFormat="1">
      <c r="A21" s="24" t="s">
        <v>422</v>
      </c>
      <c r="B21" s="142" t="s">
        <v>133</v>
      </c>
      <c r="C21" s="202">
        <f t="shared" ref="C21:K21" si="8">SUM(C13:C20)</f>
        <v>15921.600000000002</v>
      </c>
      <c r="D21" s="202">
        <f t="shared" si="8"/>
        <v>16377</v>
      </c>
      <c r="E21" s="202">
        <f t="shared" si="8"/>
        <v>17193</v>
      </c>
      <c r="F21" s="202">
        <f t="shared" si="8"/>
        <v>30347</v>
      </c>
      <c r="G21" s="202">
        <f t="shared" si="8"/>
        <v>23450</v>
      </c>
      <c r="H21" s="202">
        <f t="shared" si="8"/>
        <v>27163</v>
      </c>
      <c r="I21" s="202">
        <f t="shared" si="8"/>
        <v>27273</v>
      </c>
      <c r="J21" s="202">
        <f t="shared" si="8"/>
        <v>26945</v>
      </c>
      <c r="K21" s="202">
        <f t="shared" si="8"/>
        <v>26838</v>
      </c>
      <c r="L21" s="205">
        <f t="shared" ref="L21:P21" si="9">SUM(L13:L20)</f>
        <v>27246.880000000001</v>
      </c>
      <c r="M21" s="202">
        <f t="shared" si="9"/>
        <v>27610.915200000003</v>
      </c>
      <c r="N21" s="202">
        <f t="shared" si="9"/>
        <v>27929.871808</v>
      </c>
      <c r="O21" s="202">
        <f t="shared" si="9"/>
        <v>28203.600280319999</v>
      </c>
      <c r="P21" s="202">
        <f t="shared" si="9"/>
        <v>28432.0443075328</v>
      </c>
      <c r="Q21" s="157"/>
      <c r="R21" s="202">
        <f>SUM(R13:R20)</f>
        <v>15654.8</v>
      </c>
      <c r="S21" s="202"/>
      <c r="T21" s="202">
        <f t="shared" ref="T21:AH21" si="10">SUM(T13:T20)</f>
        <v>15943</v>
      </c>
      <c r="U21" s="202"/>
      <c r="V21" s="202">
        <f t="shared" si="10"/>
        <v>16801</v>
      </c>
      <c r="W21" s="202"/>
      <c r="X21" s="202">
        <f t="shared" si="10"/>
        <v>29751</v>
      </c>
      <c r="Y21" s="202"/>
      <c r="Z21" s="202">
        <f t="shared" si="10"/>
        <v>31344</v>
      </c>
      <c r="AA21" s="202"/>
      <c r="AB21" s="202">
        <f t="shared" si="10"/>
        <v>26938</v>
      </c>
      <c r="AC21" s="202"/>
      <c r="AD21" s="202">
        <f t="shared" si="10"/>
        <v>27252</v>
      </c>
      <c r="AE21" s="202"/>
      <c r="AF21" s="202">
        <f t="shared" si="10"/>
        <v>25891</v>
      </c>
      <c r="AG21" s="202"/>
      <c r="AH21" s="202">
        <f t="shared" si="10"/>
        <v>26704</v>
      </c>
      <c r="AI21" s="202"/>
      <c r="AJ21" s="6"/>
      <c r="AK21" s="6"/>
      <c r="AL21" s="6"/>
      <c r="AM21" s="6"/>
      <c r="AN21" s="6"/>
      <c r="AO21" s="6"/>
      <c r="AP21" s="6"/>
    </row>
    <row r="22" spans="1:42">
      <c r="B22" s="32"/>
      <c r="C22" s="201"/>
      <c r="D22" s="201"/>
      <c r="E22" s="201"/>
      <c r="F22" s="201"/>
      <c r="G22" s="201"/>
      <c r="H22" s="201"/>
      <c r="I22" s="201"/>
      <c r="J22" s="201"/>
      <c r="K22" s="201"/>
      <c r="L22" s="203"/>
      <c r="M22" s="204"/>
      <c r="N22" s="204"/>
      <c r="O22" s="204"/>
      <c r="P22" s="204"/>
      <c r="Q22" s="157"/>
      <c r="R22" s="201"/>
      <c r="S22" s="201"/>
      <c r="T22" s="201"/>
      <c r="U22" s="201"/>
      <c r="V22" s="201"/>
      <c r="W22" s="201"/>
      <c r="X22" s="201"/>
      <c r="Y22" s="201"/>
      <c r="Z22" s="201"/>
      <c r="AA22" s="201"/>
      <c r="AB22" s="201"/>
      <c r="AC22" s="201"/>
      <c r="AD22" s="201"/>
      <c r="AE22" s="201"/>
      <c r="AF22" s="201"/>
      <c r="AG22" s="201"/>
      <c r="AH22" s="201"/>
      <c r="AI22" s="201"/>
    </row>
    <row r="23" spans="1:42" s="7" customFormat="1">
      <c r="A23" s="24"/>
      <c r="B23" s="142" t="s">
        <v>134</v>
      </c>
      <c r="C23" s="202">
        <f t="shared" ref="C23:K23" si="11">C21+C11</f>
        <v>22915.800000000003</v>
      </c>
      <c r="D23" s="202">
        <f t="shared" si="11"/>
        <v>23558</v>
      </c>
      <c r="E23" s="202">
        <f t="shared" si="11"/>
        <v>23491</v>
      </c>
      <c r="F23" s="202">
        <f t="shared" si="11"/>
        <v>38472</v>
      </c>
      <c r="G23" s="202">
        <f t="shared" si="11"/>
        <v>39236</v>
      </c>
      <c r="H23" s="202">
        <f t="shared" si="11"/>
        <v>33273</v>
      </c>
      <c r="I23" s="202">
        <f t="shared" si="11"/>
        <v>33648</v>
      </c>
      <c r="J23" s="202">
        <f t="shared" si="11"/>
        <v>33936</v>
      </c>
      <c r="K23" s="202">
        <f t="shared" si="11"/>
        <v>33829</v>
      </c>
      <c r="L23" s="205">
        <f t="shared" ref="L23:P23" si="12">L21+L11</f>
        <v>34498.290175412141</v>
      </c>
      <c r="M23" s="202">
        <f t="shared" si="12"/>
        <v>35333.558390345366</v>
      </c>
      <c r="N23" s="202">
        <f t="shared" si="12"/>
        <v>36273.886590444061</v>
      </c>
      <c r="O23" s="202">
        <f t="shared" si="12"/>
        <v>37285.007834110707</v>
      </c>
      <c r="P23" s="202">
        <f t="shared" si="12"/>
        <v>38370.883875123836</v>
      </c>
      <c r="Q23" s="157"/>
      <c r="R23" s="202">
        <f>R21+R11</f>
        <v>23655.5</v>
      </c>
      <c r="S23" s="202"/>
      <c r="T23" s="202">
        <f t="shared" ref="T23:AH23" si="13">T21+T11</f>
        <v>23783</v>
      </c>
      <c r="U23" s="202"/>
      <c r="V23" s="202">
        <f t="shared" si="13"/>
        <v>24889</v>
      </c>
      <c r="W23" s="202"/>
      <c r="X23" s="202">
        <f t="shared" si="13"/>
        <v>36712</v>
      </c>
      <c r="Y23" s="202"/>
      <c r="Z23" s="202">
        <f t="shared" si="13"/>
        <v>39484</v>
      </c>
      <c r="AA23" s="202"/>
      <c r="AB23" s="202">
        <f t="shared" si="13"/>
        <v>32823</v>
      </c>
      <c r="AC23" s="202"/>
      <c r="AD23" s="202">
        <f t="shared" si="13"/>
        <v>33772</v>
      </c>
      <c r="AE23" s="202"/>
      <c r="AF23" s="202">
        <f t="shared" si="13"/>
        <v>33207</v>
      </c>
      <c r="AG23" s="202"/>
      <c r="AH23" s="202">
        <f t="shared" si="13"/>
        <v>34088</v>
      </c>
      <c r="AI23" s="202"/>
      <c r="AJ23" s="6"/>
      <c r="AK23" s="6"/>
      <c r="AL23" s="6"/>
      <c r="AM23" s="6"/>
      <c r="AN23" s="6"/>
      <c r="AO23" s="6"/>
      <c r="AP23" s="6"/>
    </row>
    <row r="24" spans="1:42">
      <c r="B24" s="32"/>
      <c r="C24" s="201"/>
      <c r="D24" s="201"/>
      <c r="E24" s="201"/>
      <c r="F24" s="201"/>
      <c r="G24" s="201"/>
      <c r="H24" s="201"/>
      <c r="I24" s="201"/>
      <c r="J24" s="201"/>
      <c r="K24" s="201"/>
      <c r="L24" s="203"/>
      <c r="M24" s="204"/>
      <c r="N24" s="204"/>
      <c r="O24" s="204"/>
      <c r="P24" s="204"/>
      <c r="Q24" s="157"/>
      <c r="R24" s="201"/>
      <c r="S24" s="201"/>
      <c r="T24" s="201"/>
      <c r="U24" s="201"/>
      <c r="V24" s="201"/>
      <c r="W24" s="201"/>
      <c r="X24" s="201"/>
      <c r="Y24" s="201"/>
      <c r="Z24" s="201"/>
      <c r="AA24" s="201"/>
      <c r="AB24" s="201"/>
      <c r="AC24" s="201"/>
      <c r="AD24" s="201"/>
      <c r="AE24" s="201"/>
      <c r="AF24" s="201"/>
      <c r="AG24" s="201"/>
      <c r="AH24" s="201"/>
      <c r="AI24" s="201"/>
    </row>
    <row r="25" spans="1:42">
      <c r="B25" s="23" t="s">
        <v>135</v>
      </c>
      <c r="C25" s="201"/>
      <c r="D25" s="201"/>
      <c r="E25" s="201"/>
      <c r="F25" s="201"/>
      <c r="G25" s="201"/>
      <c r="H25" s="201"/>
      <c r="I25" s="201"/>
      <c r="J25" s="201"/>
      <c r="K25" s="201"/>
      <c r="L25" s="203"/>
      <c r="M25" s="204"/>
      <c r="N25" s="204"/>
      <c r="O25" s="204"/>
      <c r="P25" s="204"/>
      <c r="Q25" s="157"/>
      <c r="R25" s="201"/>
      <c r="S25" s="201"/>
      <c r="T25" s="201"/>
      <c r="U25" s="201"/>
      <c r="V25" s="201"/>
      <c r="W25" s="201"/>
      <c r="X25" s="201"/>
      <c r="Y25" s="201"/>
      <c r="Z25" s="201"/>
      <c r="AA25" s="201"/>
      <c r="AB25" s="201"/>
      <c r="AC25" s="201"/>
      <c r="AD25" s="201"/>
      <c r="AE25" s="201"/>
      <c r="AF25" s="201"/>
      <c r="AG25" s="201"/>
      <c r="AH25" s="201"/>
      <c r="AI25" s="201"/>
    </row>
    <row r="26" spans="1:42">
      <c r="A26" s="24" t="s">
        <v>423</v>
      </c>
      <c r="B26" s="17" t="s">
        <v>136</v>
      </c>
      <c r="C26" s="22">
        <v>5068.2</v>
      </c>
      <c r="D26" s="22">
        <v>5316</v>
      </c>
      <c r="E26" s="22">
        <v>5219</v>
      </c>
      <c r="F26" s="22">
        <v>5843</v>
      </c>
      <c r="G26" s="22">
        <v>6467</v>
      </c>
      <c r="H26" s="22">
        <v>7002</v>
      </c>
      <c r="I26" s="22">
        <v>7623</v>
      </c>
      <c r="J26" s="22">
        <v>7762</v>
      </c>
      <c r="K26" s="22">
        <v>8083</v>
      </c>
      <c r="L26" s="148">
        <f>L61</f>
        <v>8325.8923693107172</v>
      </c>
      <c r="M26" s="148">
        <f t="shared" ref="M26:P26" si="14">M61</f>
        <v>8658.8344021440698</v>
      </c>
      <c r="N26" s="148">
        <f t="shared" si="14"/>
        <v>9013.7460005042594</v>
      </c>
      <c r="O26" s="148">
        <f t="shared" si="14"/>
        <v>9381.7313455677631</v>
      </c>
      <c r="P26" s="148">
        <f t="shared" si="14"/>
        <v>9763.258082756458</v>
      </c>
      <c r="Q26" s="157"/>
      <c r="R26" s="21">
        <v>5772.4880782555538</v>
      </c>
      <c r="S26" s="21"/>
      <c r="T26" s="21">
        <f>C26/SUM(C26:C27)*7525</f>
        <v>5705.2979191287568</v>
      </c>
      <c r="U26" s="21"/>
      <c r="V26" s="21">
        <f>D26/D30*V30</f>
        <v>4884.7350993377486</v>
      </c>
      <c r="W26" s="21"/>
      <c r="X26" s="21">
        <f>E26/SUM(E26:E27)*7149</f>
        <v>5588.7703714799281</v>
      </c>
      <c r="Y26" s="21"/>
      <c r="Z26" s="18">
        <v>8530</v>
      </c>
      <c r="AA26" s="18"/>
      <c r="AB26" s="22">
        <v>7153</v>
      </c>
      <c r="AC26" s="21"/>
      <c r="AD26" s="18">
        <v>7535</v>
      </c>
      <c r="AE26" s="18"/>
      <c r="AF26" s="18">
        <v>8096</v>
      </c>
      <c r="AG26" s="21"/>
      <c r="AH26" s="18">
        <v>8115</v>
      </c>
      <c r="AI26" s="21"/>
    </row>
    <row r="27" spans="1:42">
      <c r="B27" s="17" t="s">
        <v>137</v>
      </c>
      <c r="C27" s="22">
        <v>1616.5</v>
      </c>
      <c r="D27" s="22">
        <v>1644</v>
      </c>
      <c r="E27" s="22">
        <v>1457</v>
      </c>
      <c r="F27" s="22">
        <v>1665</v>
      </c>
      <c r="G27" s="22"/>
      <c r="H27" s="21"/>
      <c r="I27" s="21"/>
      <c r="J27" s="21"/>
      <c r="K27" s="21"/>
      <c r="L27" s="148"/>
      <c r="M27" s="148"/>
      <c r="N27" s="148"/>
      <c r="O27" s="148"/>
      <c r="P27" s="148"/>
      <c r="Q27" s="157"/>
      <c r="R27" s="21">
        <v>1619.8119217444464</v>
      </c>
      <c r="S27" s="21"/>
      <c r="T27" s="22">
        <f>7525-T26</f>
        <v>1819.7020808712432</v>
      </c>
      <c r="U27" s="22"/>
      <c r="V27" s="22">
        <v>2841.2649006622514</v>
      </c>
      <c r="W27" s="22"/>
      <c r="X27" s="22">
        <f>7149-X26</f>
        <v>1560.2296285200719</v>
      </c>
      <c r="Y27" s="22"/>
      <c r="Z27" s="21"/>
      <c r="AA27" s="21"/>
      <c r="AB27" s="22"/>
      <c r="AC27" s="21"/>
      <c r="AD27" s="21"/>
      <c r="AE27" s="21"/>
      <c r="AF27" s="21"/>
      <c r="AG27" s="21"/>
      <c r="AH27" s="21"/>
      <c r="AI27" s="21"/>
    </row>
    <row r="28" spans="1:42">
      <c r="B28" s="16" t="s">
        <v>138</v>
      </c>
      <c r="C28" s="21"/>
      <c r="D28" s="21"/>
      <c r="E28" s="21"/>
      <c r="F28" s="22">
        <v>1560</v>
      </c>
      <c r="G28" s="22">
        <v>1495</v>
      </c>
      <c r="H28" s="21">
        <v>1572</v>
      </c>
      <c r="I28" s="21">
        <v>1637</v>
      </c>
      <c r="J28" s="22">
        <v>1599</v>
      </c>
      <c r="K28" s="22">
        <v>1699</v>
      </c>
      <c r="L28" s="147">
        <f>K28</f>
        <v>1699</v>
      </c>
      <c r="M28" s="147">
        <f t="shared" ref="M28:P28" si="15">L28</f>
        <v>1699</v>
      </c>
      <c r="N28" s="147">
        <f t="shared" si="15"/>
        <v>1699</v>
      </c>
      <c r="O28" s="147">
        <f t="shared" si="15"/>
        <v>1699</v>
      </c>
      <c r="P28" s="147">
        <f t="shared" si="15"/>
        <v>1699</v>
      </c>
      <c r="Q28" s="157"/>
      <c r="R28" s="21"/>
      <c r="S28" s="21"/>
      <c r="T28" s="21"/>
      <c r="U28" s="21"/>
      <c r="V28" s="21"/>
      <c r="W28" s="21"/>
      <c r="X28" s="22">
        <v>1676</v>
      </c>
      <c r="Y28" s="21"/>
      <c r="Z28" s="22">
        <v>1852</v>
      </c>
      <c r="AA28" s="22"/>
      <c r="AB28" s="22">
        <v>1561</v>
      </c>
      <c r="AC28" s="21"/>
      <c r="AD28" s="22">
        <v>1478</v>
      </c>
      <c r="AE28" s="22"/>
      <c r="AF28" s="22">
        <v>1629</v>
      </c>
      <c r="AG28" s="21"/>
      <c r="AH28" s="22">
        <v>1563</v>
      </c>
      <c r="AI28" s="21"/>
    </row>
    <row r="29" spans="1:42">
      <c r="B29" s="17" t="s">
        <v>139</v>
      </c>
      <c r="C29" s="21"/>
      <c r="D29" s="21"/>
      <c r="E29" s="21"/>
      <c r="F29" s="21"/>
      <c r="G29" s="21"/>
      <c r="H29" s="21"/>
      <c r="I29" s="21"/>
      <c r="J29" s="21"/>
      <c r="K29" s="21"/>
      <c r="L29" s="148"/>
      <c r="M29" s="148"/>
      <c r="N29" s="148"/>
      <c r="O29" s="148"/>
      <c r="P29" s="148"/>
      <c r="Q29" s="157"/>
      <c r="R29" s="21"/>
      <c r="S29" s="21"/>
      <c r="T29" s="21"/>
      <c r="U29" s="21"/>
      <c r="V29" s="21"/>
      <c r="W29" s="21"/>
      <c r="X29" s="21"/>
      <c r="Y29" s="21"/>
      <c r="Z29" s="21"/>
      <c r="AA29" s="21"/>
      <c r="AB29" s="22"/>
      <c r="AC29" s="21"/>
      <c r="AD29" s="21"/>
      <c r="AE29" s="21"/>
      <c r="AF29" s="21"/>
      <c r="AG29" s="21"/>
      <c r="AH29" s="21"/>
      <c r="AI29" s="21"/>
    </row>
    <row r="30" spans="1:42">
      <c r="A30" s="24" t="s">
        <v>445</v>
      </c>
      <c r="B30" s="17" t="s">
        <v>140</v>
      </c>
      <c r="C30" s="18">
        <v>253.5</v>
      </c>
      <c r="D30" s="18">
        <v>604</v>
      </c>
      <c r="E30" s="18">
        <v>274</v>
      </c>
      <c r="F30" s="18">
        <v>2027</v>
      </c>
      <c r="G30" s="18">
        <v>119</v>
      </c>
      <c r="H30" s="18">
        <v>354</v>
      </c>
      <c r="I30" s="18">
        <v>466</v>
      </c>
      <c r="J30" s="18">
        <v>712</v>
      </c>
      <c r="K30" s="18">
        <v>244</v>
      </c>
      <c r="L30" s="147">
        <f>K30</f>
        <v>244</v>
      </c>
      <c r="M30" s="147">
        <f t="shared" ref="M30:P32" si="16">L30</f>
        <v>244</v>
      </c>
      <c r="N30" s="147">
        <f t="shared" si="16"/>
        <v>244</v>
      </c>
      <c r="O30" s="147">
        <f t="shared" si="16"/>
        <v>244</v>
      </c>
      <c r="P30" s="147">
        <f t="shared" si="16"/>
        <v>244</v>
      </c>
      <c r="Q30" s="157"/>
      <c r="R30" s="18">
        <v>589</v>
      </c>
      <c r="S30" s="21"/>
      <c r="T30" s="18">
        <v>88</v>
      </c>
      <c r="U30" s="21"/>
      <c r="V30" s="18">
        <v>555</v>
      </c>
      <c r="W30" s="21"/>
      <c r="X30" s="18">
        <v>1419</v>
      </c>
      <c r="Y30" s="21"/>
      <c r="Z30" s="18">
        <v>721</v>
      </c>
      <c r="AA30" s="18"/>
      <c r="AB30" s="22">
        <v>409</v>
      </c>
      <c r="AC30" s="21"/>
      <c r="AD30" s="18">
        <v>525</v>
      </c>
      <c r="AE30" s="18"/>
      <c r="AF30" s="18">
        <v>596</v>
      </c>
      <c r="AG30" s="21"/>
      <c r="AH30" s="18">
        <v>423</v>
      </c>
      <c r="AI30" s="21"/>
    </row>
    <row r="31" spans="1:42">
      <c r="B31" s="17" t="s">
        <v>141</v>
      </c>
      <c r="C31" s="18">
        <v>1470.6</v>
      </c>
      <c r="D31" s="18">
        <v>1451</v>
      </c>
      <c r="E31" s="18">
        <v>1528</v>
      </c>
      <c r="F31" s="18">
        <v>1881</v>
      </c>
      <c r="G31" s="18">
        <v>1518</v>
      </c>
      <c r="H31" s="18">
        <v>1680</v>
      </c>
      <c r="I31" s="18">
        <v>1640</v>
      </c>
      <c r="J31" s="18">
        <v>1706</v>
      </c>
      <c r="K31" s="18">
        <v>1791</v>
      </c>
      <c r="L31" s="147">
        <f>K31</f>
        <v>1791</v>
      </c>
      <c r="M31" s="147">
        <f t="shared" si="16"/>
        <v>1791</v>
      </c>
      <c r="N31" s="147">
        <f t="shared" si="16"/>
        <v>1791</v>
      </c>
      <c r="O31" s="147">
        <f t="shared" si="16"/>
        <v>1791</v>
      </c>
      <c r="P31" s="147">
        <f t="shared" si="16"/>
        <v>1791</v>
      </c>
      <c r="Q31" s="157"/>
      <c r="R31" s="18"/>
      <c r="S31" s="21"/>
      <c r="T31" s="18"/>
      <c r="U31" s="21"/>
      <c r="V31" s="18"/>
      <c r="W31" s="21"/>
      <c r="X31" s="18"/>
      <c r="Y31" s="21"/>
      <c r="Z31" s="18">
        <v>1818</v>
      </c>
      <c r="AA31" s="18"/>
      <c r="AB31" s="22">
        <v>1713</v>
      </c>
      <c r="AC31" s="21"/>
      <c r="AD31" s="18">
        <v>1686</v>
      </c>
      <c r="AE31" s="18"/>
      <c r="AF31" s="18">
        <v>1709</v>
      </c>
      <c r="AG31" s="21"/>
      <c r="AH31" s="18">
        <v>1695</v>
      </c>
      <c r="AI31" s="21"/>
    </row>
    <row r="32" spans="1:42">
      <c r="B32" s="17" t="s">
        <v>142</v>
      </c>
      <c r="C32" s="18">
        <v>415.40000000000003</v>
      </c>
      <c r="D32" s="18">
        <f>110+50+21</f>
        <v>181</v>
      </c>
      <c r="E32" s="18">
        <f>84+58+0</f>
        <v>142</v>
      </c>
      <c r="F32" s="18">
        <f>131+84</f>
        <v>215</v>
      </c>
      <c r="G32" s="18">
        <f>252+165+7870+5231</f>
        <v>13518</v>
      </c>
      <c r="H32" s="18">
        <f>12+21+109</f>
        <v>142</v>
      </c>
      <c r="I32" s="18">
        <f>21+269+230</f>
        <v>520</v>
      </c>
      <c r="J32" s="18">
        <f>10+303+689+38</f>
        <v>1040</v>
      </c>
      <c r="K32" s="18">
        <f>11+127+342</f>
        <v>480</v>
      </c>
      <c r="L32" s="147">
        <f>K32</f>
        <v>480</v>
      </c>
      <c r="M32" s="147">
        <f t="shared" si="16"/>
        <v>480</v>
      </c>
      <c r="N32" s="147">
        <f t="shared" si="16"/>
        <v>480</v>
      </c>
      <c r="O32" s="147">
        <f t="shared" si="16"/>
        <v>480</v>
      </c>
      <c r="P32" s="147">
        <f t="shared" si="16"/>
        <v>480</v>
      </c>
      <c r="Q32" s="157"/>
      <c r="R32" s="18">
        <v>1977.5</v>
      </c>
      <c r="S32" s="21"/>
      <c r="T32" s="18">
        <f>1475+72+21+175</f>
        <v>1743</v>
      </c>
      <c r="U32" s="21"/>
      <c r="V32" s="18">
        <f>117+60+1352+207</f>
        <v>1736</v>
      </c>
      <c r="W32" s="21"/>
      <c r="X32" s="18">
        <f>1748+101+59</f>
        <v>1908</v>
      </c>
      <c r="Y32" s="21"/>
      <c r="Z32" s="18">
        <f>256+126</f>
        <v>382</v>
      </c>
      <c r="AA32" s="18"/>
      <c r="AB32" s="22">
        <f>32+172</f>
        <v>204</v>
      </c>
      <c r="AC32" s="21"/>
      <c r="AD32" s="18">
        <f>101+163+11+15</f>
        <v>290</v>
      </c>
      <c r="AE32" s="18"/>
      <c r="AF32" s="18">
        <f>13+263+243</f>
        <v>519</v>
      </c>
      <c r="AG32" s="21"/>
      <c r="AH32" s="18">
        <f>13+8+287</f>
        <v>308</v>
      </c>
      <c r="AI32" s="21"/>
    </row>
    <row r="33" spans="1:42" s="7" customFormat="1">
      <c r="A33" s="24" t="s">
        <v>424</v>
      </c>
      <c r="B33" s="142" t="s">
        <v>143</v>
      </c>
      <c r="C33" s="202">
        <f t="shared" ref="C33:K33" si="17">SUM(C26:C32)</f>
        <v>8824.1999999999989</v>
      </c>
      <c r="D33" s="202">
        <f t="shared" si="17"/>
        <v>9196</v>
      </c>
      <c r="E33" s="202">
        <f t="shared" si="17"/>
        <v>8620</v>
      </c>
      <c r="F33" s="202">
        <f t="shared" si="17"/>
        <v>13191</v>
      </c>
      <c r="G33" s="202">
        <f t="shared" si="17"/>
        <v>23117</v>
      </c>
      <c r="H33" s="202">
        <f t="shared" si="17"/>
        <v>10750</v>
      </c>
      <c r="I33" s="202">
        <f t="shared" si="17"/>
        <v>11886</v>
      </c>
      <c r="J33" s="202">
        <f t="shared" si="17"/>
        <v>12819</v>
      </c>
      <c r="K33" s="202">
        <f t="shared" si="17"/>
        <v>12297</v>
      </c>
      <c r="L33" s="202">
        <f t="shared" ref="L33:P33" si="18">SUM(L26:L32)</f>
        <v>12539.892369310717</v>
      </c>
      <c r="M33" s="202">
        <f t="shared" si="18"/>
        <v>12872.83440214407</v>
      </c>
      <c r="N33" s="202">
        <f t="shared" si="18"/>
        <v>13227.746000504259</v>
      </c>
      <c r="O33" s="202">
        <f t="shared" si="18"/>
        <v>13595.731345567763</v>
      </c>
      <c r="P33" s="202">
        <f t="shared" si="18"/>
        <v>13977.258082756458</v>
      </c>
      <c r="Q33" s="157"/>
      <c r="R33" s="202">
        <f>SUM(R26:R32)</f>
        <v>9958.7999999999993</v>
      </c>
      <c r="S33" s="202"/>
      <c r="T33" s="202">
        <f t="shared" ref="T33:AH33" si="19">SUM(T26:T32)</f>
        <v>9356</v>
      </c>
      <c r="U33" s="202"/>
      <c r="V33" s="202">
        <f t="shared" si="19"/>
        <v>10017</v>
      </c>
      <c r="W33" s="202"/>
      <c r="X33" s="202">
        <f t="shared" si="19"/>
        <v>12152</v>
      </c>
      <c r="Y33" s="202"/>
      <c r="Z33" s="202">
        <f t="shared" si="19"/>
        <v>13303</v>
      </c>
      <c r="AA33" s="202"/>
      <c r="AB33" s="202">
        <f t="shared" si="19"/>
        <v>11040</v>
      </c>
      <c r="AC33" s="202"/>
      <c r="AD33" s="202">
        <f t="shared" si="19"/>
        <v>11514</v>
      </c>
      <c r="AE33" s="202"/>
      <c r="AF33" s="202">
        <f t="shared" si="19"/>
        <v>12549</v>
      </c>
      <c r="AG33" s="202"/>
      <c r="AH33" s="202">
        <f t="shared" si="19"/>
        <v>12104</v>
      </c>
      <c r="AI33" s="202"/>
      <c r="AJ33" s="6"/>
      <c r="AK33" s="6"/>
      <c r="AL33" s="6"/>
      <c r="AM33" s="6"/>
      <c r="AN33" s="6"/>
      <c r="AO33" s="6"/>
      <c r="AP33" s="6"/>
    </row>
    <row r="34" spans="1:42">
      <c r="B34" s="32"/>
      <c r="C34" s="201"/>
      <c r="D34" s="201"/>
      <c r="E34" s="201"/>
      <c r="F34" s="201"/>
      <c r="G34" s="201"/>
      <c r="H34" s="201"/>
      <c r="I34" s="201"/>
      <c r="J34" s="201"/>
      <c r="K34" s="201"/>
      <c r="L34" s="204"/>
      <c r="M34" s="204"/>
      <c r="N34" s="204"/>
      <c r="O34" s="204"/>
      <c r="P34" s="204"/>
      <c r="Q34" s="157"/>
      <c r="R34" s="201"/>
      <c r="S34" s="201"/>
      <c r="T34" s="201"/>
      <c r="U34" s="201"/>
      <c r="V34" s="201"/>
      <c r="W34" s="201"/>
      <c r="X34" s="201"/>
      <c r="Y34" s="201"/>
      <c r="Z34" s="201"/>
      <c r="AA34" s="201"/>
      <c r="AB34" s="201"/>
      <c r="AC34" s="201"/>
      <c r="AD34" s="201"/>
      <c r="AE34" s="201"/>
      <c r="AF34" s="201"/>
      <c r="AG34" s="201"/>
      <c r="AH34" s="201"/>
      <c r="AI34" s="201"/>
    </row>
    <row r="35" spans="1:42">
      <c r="A35" s="24" t="s">
        <v>444</v>
      </c>
      <c r="B35" s="17" t="s">
        <v>144</v>
      </c>
      <c r="C35" s="18">
        <v>2777</v>
      </c>
      <c r="D35" s="18">
        <v>2199</v>
      </c>
      <c r="E35" s="18">
        <v>2855</v>
      </c>
      <c r="F35" s="18">
        <v>1904</v>
      </c>
      <c r="G35" s="18">
        <v>2753</v>
      </c>
      <c r="H35" s="18">
        <v>3938</v>
      </c>
      <c r="I35" s="18">
        <v>3289</v>
      </c>
      <c r="J35" s="18">
        <v>3866</v>
      </c>
      <c r="K35" s="18">
        <v>5267</v>
      </c>
      <c r="L35" s="148">
        <f>K35+CF!L31+CF!L32</f>
        <v>5267</v>
      </c>
      <c r="M35" s="148">
        <f>L35+CF!M31+CF!M32</f>
        <v>5267</v>
      </c>
      <c r="N35" s="148">
        <f>M35+CF!N31+CF!N32</f>
        <v>5267</v>
      </c>
      <c r="O35" s="148">
        <f>N35+CF!O31+CF!O32</f>
        <v>5267</v>
      </c>
      <c r="P35" s="148">
        <f>O35+CF!P31+CF!P32</f>
        <v>5267</v>
      </c>
      <c r="Q35" s="157"/>
      <c r="R35" s="18">
        <v>2671.6</v>
      </c>
      <c r="S35" s="21"/>
      <c r="T35" s="18">
        <v>2709</v>
      </c>
      <c r="U35" s="21"/>
      <c r="V35" s="18">
        <v>2316</v>
      </c>
      <c r="W35" s="21"/>
      <c r="X35" s="18">
        <v>1602</v>
      </c>
      <c r="Y35" s="21"/>
      <c r="Z35" s="18">
        <v>1905</v>
      </c>
      <c r="AA35" s="18"/>
      <c r="AB35" s="22">
        <v>3509</v>
      </c>
      <c r="AC35" s="21"/>
      <c r="AD35" s="18">
        <v>3640</v>
      </c>
      <c r="AE35" s="18"/>
      <c r="AF35" s="18">
        <v>3636</v>
      </c>
      <c r="AG35" s="21"/>
      <c r="AH35" s="18">
        <v>5258</v>
      </c>
      <c r="AI35" s="21"/>
    </row>
    <row r="36" spans="1:42">
      <c r="A36" s="24" t="s">
        <v>443</v>
      </c>
      <c r="B36" s="16" t="s">
        <v>145</v>
      </c>
      <c r="C36" s="21"/>
      <c r="D36" s="21"/>
      <c r="E36" s="21"/>
      <c r="F36" s="22">
        <v>13168</v>
      </c>
      <c r="G36" s="22">
        <v>10521</v>
      </c>
      <c r="H36" s="22">
        <v>10899</v>
      </c>
      <c r="I36" s="22">
        <v>10343</v>
      </c>
      <c r="J36" s="22">
        <v>10545</v>
      </c>
      <c r="K36" s="22">
        <v>10175</v>
      </c>
      <c r="L36" s="148">
        <f>K36+CF!L30+L74</f>
        <v>10190.85</v>
      </c>
      <c r="M36" s="148">
        <f>L36+CF!M30+M74</f>
        <v>10220.4925</v>
      </c>
      <c r="N36" s="148">
        <f>M36+CF!N30+N74</f>
        <v>10265.397125</v>
      </c>
      <c r="O36" s="148">
        <f>N36+CF!O30+O74</f>
        <v>10327.153781249999</v>
      </c>
      <c r="P36" s="148">
        <f>O36+CF!P30+P74</f>
        <v>10407.4814783125</v>
      </c>
      <c r="Q36" s="157"/>
      <c r="R36" s="21"/>
      <c r="S36" s="21"/>
      <c r="T36" s="21"/>
      <c r="U36" s="21"/>
      <c r="V36" s="21"/>
      <c r="W36" s="21"/>
      <c r="X36" s="22">
        <v>12707</v>
      </c>
      <c r="Y36" s="21"/>
      <c r="Z36" s="22">
        <v>13534</v>
      </c>
      <c r="AA36" s="22"/>
      <c r="AB36" s="22">
        <v>10992</v>
      </c>
      <c r="AC36" s="21"/>
      <c r="AD36" s="22">
        <v>10624</v>
      </c>
      <c r="AE36" s="22"/>
      <c r="AF36" s="22">
        <v>10206</v>
      </c>
      <c r="AG36" s="21"/>
      <c r="AH36" s="22">
        <v>10378</v>
      </c>
      <c r="AI36" s="21"/>
    </row>
    <row r="37" spans="1:42">
      <c r="B37" s="16" t="s">
        <v>141</v>
      </c>
      <c r="C37" s="22">
        <v>1010.9</v>
      </c>
      <c r="D37" s="22">
        <v>942</v>
      </c>
      <c r="E37" s="22">
        <v>986</v>
      </c>
      <c r="F37" s="22">
        <v>918</v>
      </c>
      <c r="G37" s="22">
        <v>804</v>
      </c>
      <c r="H37" s="22">
        <v>846</v>
      </c>
      <c r="I37" s="22">
        <v>857</v>
      </c>
      <c r="J37" s="22">
        <v>894</v>
      </c>
      <c r="K37" s="22">
        <v>963</v>
      </c>
      <c r="L37" s="147">
        <f>K37</f>
        <v>963</v>
      </c>
      <c r="M37" s="147">
        <f t="shared" ref="M37:P38" si="20">L37</f>
        <v>963</v>
      </c>
      <c r="N37" s="147">
        <f t="shared" si="20"/>
        <v>963</v>
      </c>
      <c r="O37" s="147">
        <f t="shared" si="20"/>
        <v>963</v>
      </c>
      <c r="P37" s="147">
        <f t="shared" si="20"/>
        <v>963</v>
      </c>
      <c r="Q37" s="157"/>
      <c r="R37" s="21"/>
      <c r="S37" s="21"/>
      <c r="T37" s="22"/>
      <c r="U37" s="22"/>
      <c r="V37" s="22"/>
      <c r="W37" s="22"/>
      <c r="X37" s="22"/>
      <c r="Y37" s="21"/>
      <c r="Z37" s="22">
        <v>824</v>
      </c>
      <c r="AA37" s="22"/>
      <c r="AB37" s="22">
        <v>837</v>
      </c>
      <c r="AC37" s="21"/>
      <c r="AD37" s="22">
        <v>832</v>
      </c>
      <c r="AE37" s="22"/>
      <c r="AF37" s="22">
        <v>852</v>
      </c>
      <c r="AG37" s="21"/>
      <c r="AH37" s="22">
        <v>954</v>
      </c>
      <c r="AI37" s="21"/>
    </row>
    <row r="38" spans="1:42">
      <c r="B38" s="17" t="s">
        <v>146</v>
      </c>
      <c r="C38" s="18">
        <v>427.59999999999997</v>
      </c>
      <c r="D38" s="18">
        <f>61+311</f>
        <v>372</v>
      </c>
      <c r="E38" s="18">
        <f>24+337</f>
        <v>361</v>
      </c>
      <c r="F38" s="18">
        <f>3+204+52</f>
        <v>259</v>
      </c>
      <c r="G38" s="18">
        <f>251+0+51</f>
        <v>302</v>
      </c>
      <c r="H38" s="18">
        <f>690+46</f>
        <v>736</v>
      </c>
      <c r="I38" s="18">
        <f>669+39</f>
        <v>708</v>
      </c>
      <c r="J38" s="18">
        <f>83+33+126</f>
        <v>242</v>
      </c>
      <c r="K38" s="18">
        <f>46+61+58</f>
        <v>165</v>
      </c>
      <c r="L38" s="147">
        <f>K38</f>
        <v>165</v>
      </c>
      <c r="M38" s="147">
        <f t="shared" si="20"/>
        <v>165</v>
      </c>
      <c r="N38" s="147">
        <f t="shared" si="20"/>
        <v>165</v>
      </c>
      <c r="O38" s="147">
        <f t="shared" si="20"/>
        <v>165</v>
      </c>
      <c r="P38" s="147">
        <f t="shared" si="20"/>
        <v>165</v>
      </c>
      <c r="Q38" s="157"/>
      <c r="R38" s="18">
        <v>1663.3000000000002</v>
      </c>
      <c r="S38" s="21"/>
      <c r="T38" s="18">
        <f>316+937+105</f>
        <v>1358</v>
      </c>
      <c r="U38" s="21"/>
      <c r="V38" s="18">
        <f>39+932+321</f>
        <v>1292</v>
      </c>
      <c r="W38" s="21"/>
      <c r="X38" s="18">
        <f>11+753+83</f>
        <v>847</v>
      </c>
      <c r="Y38" s="21"/>
      <c r="Z38" s="18">
        <f>185+51</f>
        <v>236</v>
      </c>
      <c r="AA38" s="18"/>
      <c r="AB38" s="22">
        <f>698+55</f>
        <v>753</v>
      </c>
      <c r="AC38" s="21"/>
      <c r="AD38" s="18">
        <f>741+47</f>
        <v>788</v>
      </c>
      <c r="AE38" s="18"/>
      <c r="AF38" s="18">
        <f>33+647+53</f>
        <v>733</v>
      </c>
      <c r="AG38" s="21"/>
      <c r="AH38" s="18">
        <f>78+62+28</f>
        <v>168</v>
      </c>
      <c r="AI38" s="21"/>
    </row>
    <row r="39" spans="1:42" s="7" customFormat="1">
      <c r="A39" s="24" t="s">
        <v>446</v>
      </c>
      <c r="B39" s="142" t="s">
        <v>147</v>
      </c>
      <c r="C39" s="202">
        <f t="shared" ref="C39:K39" si="21">SUM(C35:C38)</f>
        <v>4215.5</v>
      </c>
      <c r="D39" s="202">
        <f t="shared" si="21"/>
        <v>3513</v>
      </c>
      <c r="E39" s="202">
        <f t="shared" si="21"/>
        <v>4202</v>
      </c>
      <c r="F39" s="202">
        <f t="shared" si="21"/>
        <v>16249</v>
      </c>
      <c r="G39" s="202">
        <f t="shared" si="21"/>
        <v>14380</v>
      </c>
      <c r="H39" s="202">
        <f t="shared" si="21"/>
        <v>16419</v>
      </c>
      <c r="I39" s="202">
        <f t="shared" si="21"/>
        <v>15197</v>
      </c>
      <c r="J39" s="202">
        <f t="shared" si="21"/>
        <v>15547</v>
      </c>
      <c r="K39" s="202">
        <f t="shared" si="21"/>
        <v>16570</v>
      </c>
      <c r="L39" s="202">
        <f t="shared" ref="L39:P39" si="22">SUM(L35:L38)</f>
        <v>16585.849999999999</v>
      </c>
      <c r="M39" s="202">
        <f t="shared" si="22"/>
        <v>16615.4925</v>
      </c>
      <c r="N39" s="202">
        <f t="shared" si="22"/>
        <v>16660.397125</v>
      </c>
      <c r="O39" s="202">
        <f t="shared" si="22"/>
        <v>16722.153781249999</v>
      </c>
      <c r="P39" s="202">
        <f t="shared" si="22"/>
        <v>16802.4814783125</v>
      </c>
      <c r="Q39" s="157"/>
      <c r="R39" s="202">
        <f>SUM(R35:R38)</f>
        <v>4334.8999999999996</v>
      </c>
      <c r="S39" s="202"/>
      <c r="T39" s="202">
        <f t="shared" ref="T39:AH39" si="23">SUM(T35:T38)</f>
        <v>4067</v>
      </c>
      <c r="U39" s="202"/>
      <c r="V39" s="202">
        <f t="shared" si="23"/>
        <v>3608</v>
      </c>
      <c r="W39" s="202"/>
      <c r="X39" s="202">
        <f t="shared" si="23"/>
        <v>15156</v>
      </c>
      <c r="Y39" s="202"/>
      <c r="Z39" s="202">
        <f t="shared" si="23"/>
        <v>16499</v>
      </c>
      <c r="AA39" s="202"/>
      <c r="AB39" s="202">
        <f t="shared" si="23"/>
        <v>16091</v>
      </c>
      <c r="AC39" s="202"/>
      <c r="AD39" s="202">
        <f t="shared" si="23"/>
        <v>15884</v>
      </c>
      <c r="AE39" s="202"/>
      <c r="AF39" s="202">
        <f t="shared" si="23"/>
        <v>15427</v>
      </c>
      <c r="AG39" s="202"/>
      <c r="AH39" s="202">
        <f t="shared" si="23"/>
        <v>16758</v>
      </c>
      <c r="AI39" s="202"/>
      <c r="AJ39" s="6"/>
      <c r="AK39" s="6"/>
      <c r="AL39" s="6"/>
      <c r="AM39" s="6"/>
      <c r="AN39" s="6"/>
      <c r="AO39" s="6"/>
      <c r="AP39" s="6"/>
    </row>
    <row r="40" spans="1:42">
      <c r="B40" s="17"/>
      <c r="C40" s="201"/>
      <c r="D40" s="201"/>
      <c r="E40" s="201"/>
      <c r="F40" s="201"/>
      <c r="G40" s="201"/>
      <c r="H40" s="201"/>
      <c r="I40" s="201"/>
      <c r="J40" s="201"/>
      <c r="K40" s="201"/>
      <c r="L40" s="204"/>
      <c r="M40" s="204"/>
      <c r="N40" s="204"/>
      <c r="O40" s="204"/>
      <c r="P40" s="204"/>
      <c r="Q40" s="157"/>
      <c r="R40" s="201"/>
      <c r="S40" s="201"/>
      <c r="T40" s="201"/>
      <c r="U40" s="201"/>
      <c r="V40" s="201"/>
      <c r="W40" s="201"/>
      <c r="X40" s="201"/>
      <c r="Y40" s="201"/>
      <c r="Z40" s="201"/>
      <c r="AA40" s="201"/>
      <c r="AB40" s="201"/>
      <c r="AC40" s="201"/>
      <c r="AD40" s="201"/>
      <c r="AE40" s="201"/>
      <c r="AF40" s="201"/>
      <c r="AG40" s="201"/>
      <c r="AH40" s="201"/>
      <c r="AI40" s="201"/>
    </row>
    <row r="41" spans="1:42" s="7" customFormat="1">
      <c r="A41" s="24"/>
      <c r="B41" s="142" t="s">
        <v>148</v>
      </c>
      <c r="C41" s="202">
        <f t="shared" ref="C41:K41" si="24">C39+C33</f>
        <v>13039.699999999999</v>
      </c>
      <c r="D41" s="202">
        <f t="shared" si="24"/>
        <v>12709</v>
      </c>
      <c r="E41" s="202">
        <f t="shared" si="24"/>
        <v>12822</v>
      </c>
      <c r="F41" s="202">
        <f t="shared" si="24"/>
        <v>29440</v>
      </c>
      <c r="G41" s="202">
        <f t="shared" si="24"/>
        <v>37497</v>
      </c>
      <c r="H41" s="202">
        <f t="shared" si="24"/>
        <v>27169</v>
      </c>
      <c r="I41" s="202">
        <f t="shared" si="24"/>
        <v>27083</v>
      </c>
      <c r="J41" s="202">
        <f t="shared" si="24"/>
        <v>28366</v>
      </c>
      <c r="K41" s="202">
        <f t="shared" si="24"/>
        <v>28867</v>
      </c>
      <c r="L41" s="202">
        <f t="shared" ref="L41:P41" si="25">L39+L33</f>
        <v>29125.742369310716</v>
      </c>
      <c r="M41" s="202">
        <f t="shared" si="25"/>
        <v>29488.326902144072</v>
      </c>
      <c r="N41" s="202">
        <f t="shared" si="25"/>
        <v>29888.143125504259</v>
      </c>
      <c r="O41" s="202">
        <f t="shared" si="25"/>
        <v>30317.88512681776</v>
      </c>
      <c r="P41" s="202">
        <f t="shared" si="25"/>
        <v>30779.739561068956</v>
      </c>
      <c r="Q41" s="157"/>
      <c r="R41" s="202">
        <f>R39+R33</f>
        <v>14293.699999999999</v>
      </c>
      <c r="S41" s="202"/>
      <c r="T41" s="202">
        <f t="shared" ref="T41:AH41" si="26">T39+T33</f>
        <v>13423</v>
      </c>
      <c r="U41" s="202"/>
      <c r="V41" s="202">
        <f t="shared" si="26"/>
        <v>13625</v>
      </c>
      <c r="W41" s="202"/>
      <c r="X41" s="202">
        <f t="shared" si="26"/>
        <v>27308</v>
      </c>
      <c r="Y41" s="202"/>
      <c r="Z41" s="202">
        <f t="shared" si="26"/>
        <v>29802</v>
      </c>
      <c r="AA41" s="202"/>
      <c r="AB41" s="202">
        <f t="shared" si="26"/>
        <v>27131</v>
      </c>
      <c r="AC41" s="202"/>
      <c r="AD41" s="202">
        <f t="shared" si="26"/>
        <v>27398</v>
      </c>
      <c r="AE41" s="202"/>
      <c r="AF41" s="202">
        <f t="shared" si="26"/>
        <v>27976</v>
      </c>
      <c r="AG41" s="202"/>
      <c r="AH41" s="202">
        <f t="shared" si="26"/>
        <v>28862</v>
      </c>
      <c r="AI41" s="202"/>
      <c r="AJ41" s="6"/>
      <c r="AK41" s="6"/>
      <c r="AL41" s="6"/>
      <c r="AM41" s="6"/>
      <c r="AN41" s="6"/>
      <c r="AO41" s="6"/>
      <c r="AP41" s="6"/>
    </row>
    <row r="42" spans="1:42">
      <c r="B42" s="17"/>
      <c r="C42" s="201"/>
      <c r="D42" s="201"/>
      <c r="E42" s="201"/>
      <c r="F42" s="201"/>
      <c r="G42" s="201"/>
      <c r="H42" s="201"/>
      <c r="I42" s="201"/>
      <c r="J42" s="201"/>
      <c r="K42" s="201"/>
      <c r="L42" s="204"/>
      <c r="M42" s="204"/>
      <c r="N42" s="204"/>
      <c r="O42" s="204"/>
      <c r="P42" s="204"/>
      <c r="Q42" s="157"/>
      <c r="R42" s="201"/>
      <c r="S42" s="201"/>
      <c r="T42" s="201"/>
      <c r="U42" s="201"/>
      <c r="V42" s="201"/>
      <c r="W42" s="201"/>
      <c r="X42" s="201"/>
      <c r="Y42" s="201"/>
      <c r="Z42" s="201"/>
      <c r="AA42" s="201"/>
      <c r="AB42" s="201"/>
      <c r="AC42" s="201"/>
      <c r="AD42" s="201"/>
      <c r="AE42" s="201"/>
      <c r="AF42" s="201"/>
      <c r="AG42" s="201"/>
      <c r="AH42" s="201"/>
      <c r="AI42" s="201"/>
    </row>
    <row r="43" spans="1:42">
      <c r="A43" s="24" t="s">
        <v>448</v>
      </c>
      <c r="B43" s="17" t="s">
        <v>155</v>
      </c>
      <c r="C43" s="18">
        <v>5615</v>
      </c>
      <c r="D43" s="18">
        <v>6055</v>
      </c>
      <c r="E43" s="18">
        <v>5828</v>
      </c>
      <c r="F43" s="18">
        <v>6022</v>
      </c>
      <c r="G43" s="18">
        <v>5253</v>
      </c>
      <c r="H43" s="18">
        <v>5207</v>
      </c>
      <c r="I43" s="18">
        <v>5406</v>
      </c>
      <c r="J43" s="18">
        <v>5604</v>
      </c>
      <c r="K43" s="18">
        <v>5627</v>
      </c>
      <c r="L43" s="148">
        <f>K43+CF!L35</f>
        <v>5627</v>
      </c>
      <c r="M43" s="148">
        <f>L43+CF!M35</f>
        <v>5627</v>
      </c>
      <c r="N43" s="148">
        <f>M43+CF!N35</f>
        <v>5627</v>
      </c>
      <c r="O43" s="148">
        <f>N43+CF!O35</f>
        <v>5627</v>
      </c>
      <c r="P43" s="148">
        <f>O43+CF!P35</f>
        <v>5627</v>
      </c>
      <c r="Q43" s="157"/>
      <c r="R43" s="18">
        <v>5495.5</v>
      </c>
      <c r="S43" s="21"/>
      <c r="T43" s="18">
        <v>5881</v>
      </c>
      <c r="U43" s="21"/>
      <c r="V43" s="18">
        <v>6169</v>
      </c>
      <c r="W43" s="21"/>
      <c r="X43" s="18">
        <v>6049</v>
      </c>
      <c r="Y43" s="21"/>
      <c r="Z43" s="18">
        <v>6226</v>
      </c>
      <c r="AA43" s="201"/>
      <c r="AB43" s="22">
        <v>5230</v>
      </c>
      <c r="AC43" s="21"/>
      <c r="AD43" s="18">
        <v>5428</v>
      </c>
      <c r="AE43" s="18"/>
      <c r="AF43" s="18">
        <v>5645</v>
      </c>
      <c r="AG43" s="21"/>
      <c r="AH43" s="18">
        <v>5649</v>
      </c>
      <c r="AI43" s="21"/>
    </row>
    <row r="44" spans="1:42">
      <c r="A44" s="24" t="s">
        <v>149</v>
      </c>
      <c r="B44" s="17" t="s">
        <v>149</v>
      </c>
      <c r="C44" s="18">
        <v>113.8</v>
      </c>
      <c r="D44" s="18">
        <v>353</v>
      </c>
      <c r="E44" s="18">
        <v>490</v>
      </c>
      <c r="F44" s="18">
        <v>391</v>
      </c>
      <c r="G44" s="18">
        <v>-6989</v>
      </c>
      <c r="H44" s="18">
        <v>-7400</v>
      </c>
      <c r="I44" s="18">
        <v>-7567</v>
      </c>
      <c r="J44" s="22">
        <v>-7609</v>
      </c>
      <c r="K44" s="22">
        <v>-7479</v>
      </c>
      <c r="L44" s="147">
        <f>K44</f>
        <v>-7479</v>
      </c>
      <c r="M44" s="147">
        <f t="shared" ref="M44:P44" si="27">L44</f>
        <v>-7479</v>
      </c>
      <c r="N44" s="147">
        <f t="shared" si="27"/>
        <v>-7479</v>
      </c>
      <c r="O44" s="147">
        <f t="shared" si="27"/>
        <v>-7479</v>
      </c>
      <c r="P44" s="147">
        <f t="shared" si="27"/>
        <v>-7479</v>
      </c>
      <c r="Q44" s="157"/>
      <c r="R44" s="18">
        <v>241.4</v>
      </c>
      <c r="S44" s="21"/>
      <c r="T44" s="18">
        <v>-11</v>
      </c>
      <c r="U44" s="21"/>
      <c r="V44" s="18">
        <v>447</v>
      </c>
      <c r="W44" s="21"/>
      <c r="X44" s="18">
        <v>399</v>
      </c>
      <c r="Y44" s="21"/>
      <c r="Z44" s="18">
        <v>271</v>
      </c>
      <c r="AA44" s="18"/>
      <c r="AB44" s="22">
        <v>-7438</v>
      </c>
      <c r="AC44" s="21"/>
      <c r="AD44" s="18">
        <v>-7560</v>
      </c>
      <c r="AE44" s="18"/>
      <c r="AF44" s="18">
        <v>-7646</v>
      </c>
      <c r="AG44" s="21"/>
      <c r="AH44" s="18">
        <v>-7487</v>
      </c>
      <c r="AI44" s="21"/>
    </row>
    <row r="45" spans="1:42">
      <c r="A45" s="24" t="s">
        <v>150</v>
      </c>
      <c r="B45" s="17" t="s">
        <v>150</v>
      </c>
      <c r="C45" s="18">
        <v>3797.2</v>
      </c>
      <c r="D45" s="18">
        <v>4073</v>
      </c>
      <c r="E45" s="18">
        <v>3968</v>
      </c>
      <c r="F45" s="18">
        <v>2329</v>
      </c>
      <c r="G45" s="18">
        <v>3115</v>
      </c>
      <c r="H45" s="18">
        <v>8173</v>
      </c>
      <c r="I45" s="18">
        <v>8586</v>
      </c>
      <c r="J45" s="18">
        <v>7413</v>
      </c>
      <c r="K45" s="18">
        <v>6712</v>
      </c>
      <c r="L45" s="148">
        <f>K45+PL!L51+CF!L33</f>
        <v>7132.547806101421</v>
      </c>
      <c r="M45" s="148">
        <f>L45+PL!M51+CF!M33</f>
        <v>7615.2314882012888</v>
      </c>
      <c r="N45" s="148">
        <f>M45+PL!N51+CF!N33</f>
        <v>8165.7434649397974</v>
      </c>
      <c r="O45" s="148">
        <f>N45+PL!O51+CF!O33</f>
        <v>8757.1227072929451</v>
      </c>
      <c r="P45" s="148">
        <f>O45+PL!P51+CF!P33</f>
        <v>9391.1443140548763</v>
      </c>
      <c r="Q45" s="157"/>
      <c r="R45" s="18">
        <v>3425.3</v>
      </c>
      <c r="S45" s="21"/>
      <c r="T45" s="18">
        <v>4121</v>
      </c>
      <c r="U45" s="21"/>
      <c r="V45" s="18">
        <v>4267</v>
      </c>
      <c r="W45" s="21"/>
      <c r="X45" s="18">
        <v>2625</v>
      </c>
      <c r="Y45" s="21"/>
      <c r="Z45" s="18">
        <v>2858</v>
      </c>
      <c r="AA45" s="18"/>
      <c r="AB45" s="22">
        <v>7774</v>
      </c>
      <c r="AC45" s="21"/>
      <c r="AD45" s="18">
        <v>8375</v>
      </c>
      <c r="AE45" s="18"/>
      <c r="AF45" s="18">
        <v>7098</v>
      </c>
      <c r="AG45" s="21"/>
      <c r="AH45" s="18">
        <v>6967</v>
      </c>
      <c r="AI45" s="21"/>
    </row>
    <row r="46" spans="1:42">
      <c r="B46" s="17"/>
      <c r="C46" s="18"/>
      <c r="D46" s="18"/>
      <c r="E46" s="18"/>
      <c r="F46" s="18"/>
      <c r="G46" s="18"/>
      <c r="H46" s="21"/>
      <c r="I46" s="18"/>
      <c r="J46" s="18"/>
      <c r="K46" s="18"/>
      <c r="L46" s="163"/>
      <c r="M46" s="163"/>
      <c r="N46" s="163"/>
      <c r="O46" s="163"/>
      <c r="P46" s="163"/>
      <c r="Q46" s="157"/>
      <c r="R46" s="18"/>
      <c r="S46" s="21"/>
      <c r="T46" s="18"/>
      <c r="U46" s="21"/>
      <c r="V46" s="18"/>
      <c r="W46" s="21"/>
      <c r="X46" s="18"/>
      <c r="Y46" s="21"/>
      <c r="Z46" s="18"/>
      <c r="AA46" s="18"/>
      <c r="AB46" s="21"/>
      <c r="AC46" s="21"/>
      <c r="AD46" s="18"/>
      <c r="AE46" s="18"/>
      <c r="AF46" s="18"/>
      <c r="AG46" s="21"/>
      <c r="AH46" s="18"/>
      <c r="AI46" s="21"/>
    </row>
    <row r="47" spans="1:42">
      <c r="B47" s="17" t="s">
        <v>151</v>
      </c>
      <c r="C47" s="21">
        <f t="shared" ref="C47:K47" si="28">SUM(C43:C45)</f>
        <v>9526</v>
      </c>
      <c r="D47" s="21">
        <f t="shared" si="28"/>
        <v>10481</v>
      </c>
      <c r="E47" s="21">
        <f t="shared" si="28"/>
        <v>10286</v>
      </c>
      <c r="F47" s="21">
        <f t="shared" si="28"/>
        <v>8742</v>
      </c>
      <c r="G47" s="21">
        <f t="shared" si="28"/>
        <v>1379</v>
      </c>
      <c r="H47" s="21">
        <f t="shared" si="28"/>
        <v>5980</v>
      </c>
      <c r="I47" s="21">
        <f t="shared" si="28"/>
        <v>6425</v>
      </c>
      <c r="J47" s="21">
        <f t="shared" si="28"/>
        <v>5408</v>
      </c>
      <c r="K47" s="21">
        <f t="shared" si="28"/>
        <v>4860</v>
      </c>
      <c r="L47" s="148">
        <f>SUM(L43:L45)</f>
        <v>5280.547806101421</v>
      </c>
      <c r="M47" s="148">
        <f t="shared" ref="M47:P47" si="29">SUM(M43:M45)</f>
        <v>5763.2314882012888</v>
      </c>
      <c r="N47" s="148">
        <f t="shared" si="29"/>
        <v>6313.7434649397974</v>
      </c>
      <c r="O47" s="148">
        <f t="shared" si="29"/>
        <v>6905.1227072929451</v>
      </c>
      <c r="P47" s="148">
        <f t="shared" si="29"/>
        <v>7539.1443140548763</v>
      </c>
      <c r="Q47" s="157"/>
      <c r="R47" s="21">
        <f>SUM(R43:R45)</f>
        <v>9162.2000000000007</v>
      </c>
      <c r="S47" s="21"/>
      <c r="T47" s="21">
        <f t="shared" ref="T47:AH47" si="30">SUM(T43:T45)</f>
        <v>9991</v>
      </c>
      <c r="U47" s="21"/>
      <c r="V47" s="21">
        <f t="shared" si="30"/>
        <v>10883</v>
      </c>
      <c r="W47" s="21"/>
      <c r="X47" s="21">
        <f t="shared" si="30"/>
        <v>9073</v>
      </c>
      <c r="Y47" s="21"/>
      <c r="Z47" s="21">
        <f t="shared" si="30"/>
        <v>9355</v>
      </c>
      <c r="AA47" s="21"/>
      <c r="AB47" s="21">
        <f t="shared" si="30"/>
        <v>5566</v>
      </c>
      <c r="AC47" s="21"/>
      <c r="AD47" s="21">
        <f t="shared" si="30"/>
        <v>6243</v>
      </c>
      <c r="AE47" s="21"/>
      <c r="AF47" s="21">
        <f t="shared" si="30"/>
        <v>5097</v>
      </c>
      <c r="AG47" s="21"/>
      <c r="AH47" s="21">
        <f t="shared" si="30"/>
        <v>5129</v>
      </c>
      <c r="AI47" s="21"/>
    </row>
    <row r="48" spans="1:42">
      <c r="A48" s="24" t="s">
        <v>447</v>
      </c>
      <c r="B48" s="17" t="s">
        <v>152</v>
      </c>
      <c r="C48" s="18">
        <v>350.1</v>
      </c>
      <c r="D48" s="18">
        <v>368</v>
      </c>
      <c r="E48" s="18">
        <v>383</v>
      </c>
      <c r="F48" s="18">
        <v>290</v>
      </c>
      <c r="G48" s="18">
        <v>360</v>
      </c>
      <c r="H48" s="18">
        <v>124</v>
      </c>
      <c r="I48" s="18">
        <v>140</v>
      </c>
      <c r="J48" s="18">
        <v>162</v>
      </c>
      <c r="K48" s="18">
        <v>102</v>
      </c>
      <c r="L48" s="163">
        <f>K48-PL!L44</f>
        <v>92</v>
      </c>
      <c r="M48" s="163">
        <f>L48-PL!M44</f>
        <v>82</v>
      </c>
      <c r="N48" s="163">
        <f>M48-PL!N44</f>
        <v>72</v>
      </c>
      <c r="O48" s="163">
        <f>N48-PL!O44</f>
        <v>62</v>
      </c>
      <c r="P48" s="163">
        <f>O48-PL!P44</f>
        <v>52</v>
      </c>
      <c r="Q48" s="157"/>
      <c r="R48" s="18">
        <v>199.6</v>
      </c>
      <c r="S48" s="21"/>
      <c r="T48" s="18">
        <v>369</v>
      </c>
      <c r="U48" s="21"/>
      <c r="V48" s="18">
        <v>381</v>
      </c>
      <c r="W48" s="21"/>
      <c r="X48" s="18">
        <v>331</v>
      </c>
      <c r="Y48" s="21"/>
      <c r="Z48" s="18">
        <v>327</v>
      </c>
      <c r="AA48" s="18"/>
      <c r="AB48" s="18">
        <v>126</v>
      </c>
      <c r="AC48" s="21"/>
      <c r="AD48" s="18">
        <v>131</v>
      </c>
      <c r="AE48" s="18"/>
      <c r="AF48" s="18">
        <v>134</v>
      </c>
      <c r="AG48" s="21"/>
      <c r="AH48" s="18">
        <v>97</v>
      </c>
      <c r="AI48" s="21"/>
    </row>
    <row r="49" spans="1:42" s="7" customFormat="1">
      <c r="A49" s="24" t="s">
        <v>153</v>
      </c>
      <c r="B49" s="142" t="s">
        <v>153</v>
      </c>
      <c r="C49" s="202">
        <f t="shared" ref="C49:K49" si="31">SUM(C47:C48)</f>
        <v>9876.1</v>
      </c>
      <c r="D49" s="202">
        <f t="shared" si="31"/>
        <v>10849</v>
      </c>
      <c r="E49" s="202">
        <f t="shared" si="31"/>
        <v>10669</v>
      </c>
      <c r="F49" s="202">
        <f t="shared" si="31"/>
        <v>9032</v>
      </c>
      <c r="G49" s="202">
        <f t="shared" si="31"/>
        <v>1739</v>
      </c>
      <c r="H49" s="202">
        <f t="shared" si="31"/>
        <v>6104</v>
      </c>
      <c r="I49" s="202">
        <f t="shared" si="31"/>
        <v>6565</v>
      </c>
      <c r="J49" s="202">
        <f t="shared" si="31"/>
        <v>5570</v>
      </c>
      <c r="K49" s="202">
        <f t="shared" si="31"/>
        <v>4962</v>
      </c>
      <c r="L49" s="202">
        <f t="shared" ref="L49:P49" si="32">SUM(L47:L48)</f>
        <v>5372.547806101421</v>
      </c>
      <c r="M49" s="202">
        <f t="shared" si="32"/>
        <v>5845.2314882012888</v>
      </c>
      <c r="N49" s="202">
        <f t="shared" si="32"/>
        <v>6385.7434649397974</v>
      </c>
      <c r="O49" s="202">
        <f t="shared" si="32"/>
        <v>6967.1227072929451</v>
      </c>
      <c r="P49" s="202">
        <f t="shared" si="32"/>
        <v>7591.1443140548763</v>
      </c>
      <c r="Q49" s="157"/>
      <c r="R49" s="202">
        <f t="shared" ref="R49:AH49" si="33">SUM(R47:R48)</f>
        <v>9361.8000000000011</v>
      </c>
      <c r="S49" s="202"/>
      <c r="T49" s="202">
        <f t="shared" si="33"/>
        <v>10360</v>
      </c>
      <c r="U49" s="202"/>
      <c r="V49" s="202">
        <f t="shared" si="33"/>
        <v>11264</v>
      </c>
      <c r="W49" s="202"/>
      <c r="X49" s="202">
        <f t="shared" si="33"/>
        <v>9404</v>
      </c>
      <c r="Y49" s="202"/>
      <c r="Z49" s="202">
        <f t="shared" si="33"/>
        <v>9682</v>
      </c>
      <c r="AA49" s="202"/>
      <c r="AB49" s="202">
        <f t="shared" si="33"/>
        <v>5692</v>
      </c>
      <c r="AC49" s="202"/>
      <c r="AD49" s="202">
        <f t="shared" si="33"/>
        <v>6374</v>
      </c>
      <c r="AE49" s="202"/>
      <c r="AF49" s="202">
        <f t="shared" si="33"/>
        <v>5231</v>
      </c>
      <c r="AG49" s="202"/>
      <c r="AH49" s="202">
        <f t="shared" si="33"/>
        <v>5226</v>
      </c>
      <c r="AI49" s="202"/>
      <c r="AJ49" s="6"/>
      <c r="AK49" s="6"/>
      <c r="AL49" s="6"/>
      <c r="AM49" s="6"/>
      <c r="AN49" s="6"/>
      <c r="AO49" s="6"/>
      <c r="AP49" s="6"/>
    </row>
    <row r="50" spans="1:42" s="24" customFormat="1">
      <c r="B50" s="141" t="s">
        <v>154</v>
      </c>
      <c r="C50" s="206">
        <f t="shared" ref="C50:K50" si="34">C23-C41-C49</f>
        <v>0</v>
      </c>
      <c r="D50" s="206">
        <f t="shared" si="34"/>
        <v>0</v>
      </c>
      <c r="E50" s="206">
        <f t="shared" si="34"/>
        <v>0</v>
      </c>
      <c r="F50" s="206">
        <f t="shared" si="34"/>
        <v>0</v>
      </c>
      <c r="G50" s="206">
        <f t="shared" si="34"/>
        <v>0</v>
      </c>
      <c r="H50" s="206">
        <f t="shared" si="34"/>
        <v>0</v>
      </c>
      <c r="I50" s="206">
        <f t="shared" si="34"/>
        <v>0</v>
      </c>
      <c r="J50" s="206">
        <f t="shared" si="34"/>
        <v>0</v>
      </c>
      <c r="K50" s="206">
        <f t="shared" si="34"/>
        <v>0</v>
      </c>
      <c r="L50" s="207">
        <f>L23-L41-L49</f>
        <v>0</v>
      </c>
      <c r="M50" s="207">
        <f t="shared" ref="M50:P50" si="35">M23-M41-M49</f>
        <v>0</v>
      </c>
      <c r="N50" s="207">
        <f t="shared" si="35"/>
        <v>0</v>
      </c>
      <c r="O50" s="207">
        <f t="shared" si="35"/>
        <v>0</v>
      </c>
      <c r="P50" s="207">
        <f t="shared" si="35"/>
        <v>0</v>
      </c>
      <c r="Q50" s="157"/>
      <c r="R50" s="206">
        <f>R23-R41-R49</f>
        <v>0</v>
      </c>
      <c r="S50" s="206"/>
      <c r="T50" s="206">
        <f t="shared" ref="T50:AH50" si="36">T23-T41-T49</f>
        <v>0</v>
      </c>
      <c r="U50" s="206"/>
      <c r="V50" s="206">
        <f t="shared" si="36"/>
        <v>0</v>
      </c>
      <c r="W50" s="206"/>
      <c r="X50" s="206">
        <f t="shared" si="36"/>
        <v>0</v>
      </c>
      <c r="Y50" s="206"/>
      <c r="Z50" s="206">
        <f t="shared" si="36"/>
        <v>0</v>
      </c>
      <c r="AA50" s="206"/>
      <c r="AB50" s="206">
        <f t="shared" si="36"/>
        <v>0</v>
      </c>
      <c r="AC50" s="206"/>
      <c r="AD50" s="206">
        <f t="shared" si="36"/>
        <v>0</v>
      </c>
      <c r="AE50" s="206"/>
      <c r="AF50" s="206">
        <f t="shared" si="36"/>
        <v>0</v>
      </c>
      <c r="AG50" s="206"/>
      <c r="AH50" s="206">
        <f t="shared" si="36"/>
        <v>0</v>
      </c>
      <c r="AI50" s="206"/>
      <c r="AJ50" s="6"/>
      <c r="AK50" s="6"/>
      <c r="AL50" s="6"/>
      <c r="AM50" s="6"/>
      <c r="AN50" s="6"/>
      <c r="AO50" s="6"/>
      <c r="AP50" s="6"/>
    </row>
    <row r="51" spans="1:42">
      <c r="B51" s="32"/>
      <c r="C51" s="199"/>
      <c r="D51" s="199"/>
      <c r="E51" s="199"/>
      <c r="F51" s="199"/>
      <c r="G51" s="199"/>
      <c r="H51" s="199"/>
      <c r="I51" s="199"/>
      <c r="J51" s="199"/>
      <c r="K51" s="208"/>
      <c r="L51" s="203"/>
      <c r="M51" s="204"/>
      <c r="N51" s="204"/>
      <c r="O51" s="204"/>
      <c r="P51" s="204"/>
      <c r="Q51" s="200"/>
      <c r="R51" s="199"/>
      <c r="S51" s="199"/>
      <c r="T51" s="199"/>
      <c r="U51" s="199"/>
      <c r="V51" s="199"/>
      <c r="W51" s="199"/>
      <c r="X51" s="199"/>
      <c r="Y51" s="199"/>
      <c r="Z51" s="199"/>
      <c r="AA51" s="199"/>
      <c r="AB51" s="199"/>
      <c r="AC51" s="199"/>
      <c r="AD51" s="199"/>
      <c r="AE51" s="199"/>
      <c r="AF51" s="199"/>
      <c r="AG51" s="199"/>
      <c r="AH51" s="199"/>
      <c r="AI51" s="199"/>
    </row>
    <row r="52" spans="1:42">
      <c r="B52" s="25" t="s">
        <v>299</v>
      </c>
      <c r="C52" s="199"/>
      <c r="D52" s="199"/>
      <c r="E52" s="199"/>
      <c r="F52" s="199"/>
      <c r="G52" s="199"/>
      <c r="H52" s="199"/>
      <c r="I52" s="199"/>
      <c r="J52" s="199"/>
      <c r="K52" s="208"/>
      <c r="L52" s="203"/>
      <c r="M52" s="200"/>
      <c r="N52" s="200"/>
      <c r="O52" s="200"/>
      <c r="P52" s="200"/>
      <c r="Q52" s="200"/>
      <c r="R52" s="199"/>
      <c r="S52" s="199"/>
      <c r="T52" s="199"/>
      <c r="U52" s="199"/>
      <c r="V52" s="199"/>
      <c r="W52" s="199"/>
      <c r="X52" s="199"/>
      <c r="Y52" s="199"/>
      <c r="Z52" s="199"/>
      <c r="AA52" s="199"/>
      <c r="AB52" s="199"/>
      <c r="AC52" s="199"/>
      <c r="AD52" s="199"/>
      <c r="AE52" s="199"/>
      <c r="AF52" s="199"/>
      <c r="AG52" s="199"/>
      <c r="AH52" s="199"/>
      <c r="AI52" s="199"/>
    </row>
    <row r="53" spans="1:42">
      <c r="B53" s="25" t="s">
        <v>222</v>
      </c>
      <c r="C53" s="21">
        <f>C7</f>
        <v>744.7</v>
      </c>
      <c r="D53" s="21">
        <f t="shared" ref="D53:K53" si="37">D7</f>
        <v>801</v>
      </c>
      <c r="E53" s="21">
        <f t="shared" si="37"/>
        <v>682</v>
      </c>
      <c r="F53" s="21">
        <f t="shared" si="37"/>
        <v>740</v>
      </c>
      <c r="G53" s="21">
        <f t="shared" si="37"/>
        <v>649</v>
      </c>
      <c r="H53" s="21">
        <f t="shared" si="37"/>
        <v>1044</v>
      </c>
      <c r="I53" s="21">
        <f t="shared" si="37"/>
        <v>1016</v>
      </c>
      <c r="J53" s="21">
        <f t="shared" si="37"/>
        <v>1062</v>
      </c>
      <c r="K53" s="21">
        <f t="shared" si="37"/>
        <v>1034</v>
      </c>
      <c r="L53" s="169">
        <f>L54*Model!L15</f>
        <v>1065.0714722092393</v>
      </c>
      <c r="M53" s="148">
        <f>M54*Model!M15</f>
        <v>1107.6623496000207</v>
      </c>
      <c r="N53" s="148">
        <f>N54*Model!N15</f>
        <v>1153.0636353484356</v>
      </c>
      <c r="O53" s="148">
        <f>O54*Model!O15</f>
        <v>1200.1373513939216</v>
      </c>
      <c r="P53" s="148">
        <f>P54*Model!P15</f>
        <v>1248.9433202486919</v>
      </c>
      <c r="Q53" s="200"/>
      <c r="R53" s="199"/>
      <c r="S53" s="199"/>
      <c r="T53" s="199"/>
      <c r="U53" s="199"/>
      <c r="V53" s="199"/>
      <c r="W53" s="199"/>
      <c r="X53" s="199"/>
      <c r="Y53" s="199"/>
      <c r="Z53" s="199"/>
      <c r="AA53" s="199"/>
      <c r="AB53" s="199"/>
      <c r="AC53" s="199"/>
      <c r="AD53" s="199"/>
      <c r="AE53" s="199"/>
      <c r="AF53" s="199"/>
      <c r="AG53" s="199"/>
      <c r="AH53" s="199"/>
      <c r="AI53" s="199"/>
    </row>
    <row r="54" spans="1:42" s="24" customFormat="1">
      <c r="B54" s="29" t="s">
        <v>269</v>
      </c>
      <c r="C54" s="209">
        <f>(C53)/Model!C15</f>
        <v>1.3579256395762296E-2</v>
      </c>
      <c r="D54" s="209">
        <f>(D53)/Model!D15</f>
        <v>1.4009619588981198E-2</v>
      </c>
      <c r="E54" s="209">
        <f>(E53)/Model!E15</f>
        <v>1.1369698586289678E-2</v>
      </c>
      <c r="F54" s="209">
        <f>(F53)/Model!F15</f>
        <v>1.1621515508441304E-2</v>
      </c>
      <c r="G54" s="209">
        <f>(G53)/Model!G15</f>
        <v>9.6409525082817114E-3</v>
      </c>
      <c r="H54" s="209">
        <f>(H53)/Model!H15</f>
        <v>1.7157225262535127E-2</v>
      </c>
      <c r="I54" s="209">
        <f>(I53)/Model!I15</f>
        <v>1.5802407689675554E-2</v>
      </c>
      <c r="J54" s="209">
        <f>(J53)/Model!J15</f>
        <v>1.5635581991107445E-2</v>
      </c>
      <c r="K54" s="210">
        <f>(K53)/Model!K15</f>
        <v>1.4968802930063552E-2</v>
      </c>
      <c r="L54" s="211">
        <f>K54</f>
        <v>1.4968802930063552E-2</v>
      </c>
      <c r="M54" s="211">
        <f t="shared" ref="M54:P54" si="38">L54</f>
        <v>1.4968802930063552E-2</v>
      </c>
      <c r="N54" s="211">
        <f t="shared" si="38"/>
        <v>1.4968802930063552E-2</v>
      </c>
      <c r="O54" s="211">
        <f t="shared" si="38"/>
        <v>1.4968802930063552E-2</v>
      </c>
      <c r="P54" s="211">
        <f t="shared" si="38"/>
        <v>1.4968802930063552E-2</v>
      </c>
      <c r="Q54" s="212"/>
      <c r="R54" s="209">
        <f>(R7+R13)/Model!R15</f>
        <v>2.9932721923017359E-2</v>
      </c>
      <c r="S54" s="209"/>
      <c r="T54" s="209">
        <f>(T7+T13)/Model!T15</f>
        <v>3.0427659076470392E-2</v>
      </c>
      <c r="U54" s="209"/>
      <c r="V54" s="209">
        <f>(V7+V13)/Model!V15</f>
        <v>3.0339686795043647E-2</v>
      </c>
      <c r="W54" s="209"/>
      <c r="X54" s="209">
        <f>(X7+X13)/Model!X15</f>
        <v>3.1317494600431962E-2</v>
      </c>
      <c r="Y54" s="209"/>
      <c r="Z54" s="209">
        <f>(Z7+Z13)/Model!Z15</f>
        <v>2.8284798662393758E-2</v>
      </c>
      <c r="AA54" s="209"/>
      <c r="AB54" s="209">
        <f>(AB7+AB13)/Model!AB15</f>
        <v>3.8502539662632472E-2</v>
      </c>
      <c r="AC54" s="209"/>
      <c r="AD54" s="209">
        <f>(AD7+AD13)/Model!AD15</f>
        <v>4.0941843287406916E-2</v>
      </c>
      <c r="AE54" s="209"/>
      <c r="AF54" s="209">
        <f>(AF7+AF13)/Model!AF15</f>
        <v>3.2394976180164577E-2</v>
      </c>
      <c r="AG54" s="209"/>
      <c r="AH54" s="209">
        <f>(AH7+AH13)/Model!AH15</f>
        <v>3.4233231283050378E-2</v>
      </c>
      <c r="AI54" s="209"/>
      <c r="AJ54" s="6"/>
      <c r="AK54" s="6"/>
      <c r="AL54" s="6"/>
      <c r="AM54" s="6"/>
      <c r="AN54" s="6"/>
      <c r="AO54" s="6"/>
      <c r="AP54" s="6"/>
    </row>
    <row r="55" spans="1:42">
      <c r="B55" s="32" t="s">
        <v>295</v>
      </c>
      <c r="C55" s="213">
        <f>C53/Model!C15*365</f>
        <v>4.9564285844532376</v>
      </c>
      <c r="D55" s="213">
        <f>D53/Model!D15*365</f>
        <v>5.1135111499781374</v>
      </c>
      <c r="E55" s="213">
        <f>E53/Model!E15*365</f>
        <v>4.1499399839957327</v>
      </c>
      <c r="F55" s="213">
        <f>F53/Model!F15*365</f>
        <v>4.2418531605810754</v>
      </c>
      <c r="G55" s="213">
        <f>G53/Model!G15*365</f>
        <v>3.5189476655228247</v>
      </c>
      <c r="H55" s="213">
        <f>H53/Model!H15*365</f>
        <v>6.2623872208253211</v>
      </c>
      <c r="I55" s="213">
        <f>I53/Model!I15*365</f>
        <v>5.7678788067315772</v>
      </c>
      <c r="J55" s="213">
        <f>J53/Model!J15*365</f>
        <v>5.7069874267542176</v>
      </c>
      <c r="K55" s="208">
        <f>K53/Model!K15*365</f>
        <v>5.4636130694731966</v>
      </c>
      <c r="L55" s="203">
        <f>(L7+L13)/Model!L15*365</f>
        <v>6.2125651623205158</v>
      </c>
      <c r="M55" s="214">
        <f>(M7+M13)/Model!M15*365</f>
        <v>6.1837671023615881</v>
      </c>
      <c r="N55" s="214">
        <f>(N7+N13)/Model!N15*365</f>
        <v>6.1554114088614993</v>
      </c>
      <c r="O55" s="214">
        <f>(O7+O13)/Model!O15*365</f>
        <v>6.1282765825424281</v>
      </c>
      <c r="P55" s="214">
        <f>(P7+P13)/Model!P15*365</f>
        <v>6.102302988551549</v>
      </c>
      <c r="Q55" s="214"/>
      <c r="R55" s="213">
        <f>(R7+R13)/Model!R15*365</f>
        <v>10.925443501901336</v>
      </c>
      <c r="S55" s="213"/>
      <c r="T55" s="213">
        <f>(T7+T13)/Model!T15*365</f>
        <v>11.106095562911692</v>
      </c>
      <c r="U55" s="213"/>
      <c r="V55" s="213">
        <f>(V7+V13)/Model!V15*365</f>
        <v>11.073985680190932</v>
      </c>
      <c r="W55" s="213"/>
      <c r="X55" s="213">
        <f>(X7+X13)/Model!X15*365</f>
        <v>11.430885529157667</v>
      </c>
      <c r="Y55" s="213"/>
      <c r="Z55" s="213">
        <f>(Z7+Z13)/Model!Z15*365</f>
        <v>10.323951511773721</v>
      </c>
      <c r="AA55" s="213"/>
      <c r="AB55" s="213">
        <f>(AB7+AB13)/Model!AB15*365</f>
        <v>14.053426976860852</v>
      </c>
      <c r="AC55" s="213"/>
      <c r="AD55" s="213">
        <f>(AD7+AD13)/Model!AD15*365</f>
        <v>14.943772799903524</v>
      </c>
      <c r="AE55" s="213"/>
      <c r="AF55" s="213">
        <f>(AF7+AF13)/Model!AF15*365</f>
        <v>11.82416630576007</v>
      </c>
      <c r="AG55" s="213"/>
      <c r="AH55" s="213">
        <f>(AH7+AH13)/Model!AH15*365</f>
        <v>12.495129418313388</v>
      </c>
      <c r="AI55" s="213"/>
    </row>
    <row r="56" spans="1:42">
      <c r="B56" s="32"/>
      <c r="C56" s="199"/>
      <c r="D56" s="199"/>
      <c r="E56" s="199"/>
      <c r="F56" s="199"/>
      <c r="G56" s="199"/>
      <c r="H56" s="199"/>
      <c r="I56" s="199"/>
      <c r="J56" s="199"/>
      <c r="K56" s="208"/>
      <c r="L56" s="203"/>
      <c r="M56" s="200"/>
      <c r="N56" s="200"/>
      <c r="O56" s="200"/>
      <c r="P56" s="200"/>
      <c r="Q56" s="200"/>
      <c r="R56" s="199"/>
      <c r="S56" s="199"/>
      <c r="T56" s="199"/>
      <c r="U56" s="199"/>
      <c r="V56" s="199"/>
      <c r="W56" s="199"/>
      <c r="X56" s="199"/>
      <c r="Y56" s="199"/>
      <c r="Z56" s="199"/>
      <c r="AA56" s="199"/>
      <c r="AB56" s="199"/>
      <c r="AC56" s="199"/>
      <c r="AD56" s="199"/>
      <c r="AE56" s="199"/>
      <c r="AF56" s="199"/>
      <c r="AG56" s="199"/>
      <c r="AH56" s="199"/>
      <c r="AI56" s="199"/>
    </row>
    <row r="57" spans="1:42">
      <c r="B57" s="25" t="s">
        <v>121</v>
      </c>
      <c r="C57" s="21">
        <f>C8</f>
        <v>4080.4</v>
      </c>
      <c r="D57" s="21">
        <f t="shared" ref="D57:K57" si="39">D8</f>
        <v>4233</v>
      </c>
      <c r="E57" s="21">
        <f t="shared" si="39"/>
        <v>4280</v>
      </c>
      <c r="F57" s="21">
        <f t="shared" si="39"/>
        <v>4434</v>
      </c>
      <c r="G57" s="21">
        <f t="shared" si="39"/>
        <v>3132</v>
      </c>
      <c r="H57" s="21">
        <f t="shared" si="39"/>
        <v>3593</v>
      </c>
      <c r="I57" s="21">
        <f t="shared" si="39"/>
        <v>3698</v>
      </c>
      <c r="J57" s="21">
        <f t="shared" si="39"/>
        <v>4187</v>
      </c>
      <c r="K57" s="21">
        <f t="shared" si="39"/>
        <v>4169</v>
      </c>
      <c r="L57" s="169">
        <f>L58*Model!L15</f>
        <v>4294.2775315670397</v>
      </c>
      <c r="M57" s="148">
        <f>M58*Model!M15</f>
        <v>4466.0003244511472</v>
      </c>
      <c r="N57" s="148">
        <f>N58*Model!N15</f>
        <v>4649.0544446495442</v>
      </c>
      <c r="O57" s="148">
        <f>O58*Model!O15</f>
        <v>4838.8516614712371</v>
      </c>
      <c r="P57" s="148">
        <f>P58*Model!P15</f>
        <v>5035.633174194194</v>
      </c>
      <c r="Q57" s="200"/>
      <c r="R57" s="199"/>
      <c r="S57" s="199"/>
      <c r="T57" s="199"/>
      <c r="U57" s="199"/>
      <c r="V57" s="199"/>
      <c r="W57" s="199"/>
      <c r="X57" s="199"/>
      <c r="Y57" s="199"/>
      <c r="Z57" s="199"/>
      <c r="AA57" s="199"/>
      <c r="AB57" s="199"/>
      <c r="AC57" s="199"/>
      <c r="AD57" s="199"/>
      <c r="AE57" s="199"/>
      <c r="AF57" s="199"/>
      <c r="AG57" s="199"/>
      <c r="AH57" s="199"/>
      <c r="AI57" s="199"/>
    </row>
    <row r="58" spans="1:42" s="24" customFormat="1">
      <c r="B58" s="29" t="s">
        <v>269</v>
      </c>
      <c r="C58" s="209">
        <f>C57/Model!C15</f>
        <v>7.4404186648675263E-2</v>
      </c>
      <c r="D58" s="209">
        <f>D57/Model!D15</f>
        <v>7.40358548316572E-2</v>
      </c>
      <c r="E58" s="209">
        <f>E57/Model!E15</f>
        <v>7.1352360629501205E-2</v>
      </c>
      <c r="F58" s="209">
        <f>F57/Model!F15</f>
        <v>6.963486454652533E-2</v>
      </c>
      <c r="G58" s="209">
        <f>G57/Model!G15</f>
        <v>4.6526137528410359E-2</v>
      </c>
      <c r="H58" s="209">
        <f>H57/Model!H15</f>
        <v>5.904780686617693E-2</v>
      </c>
      <c r="I58" s="209">
        <f>I57/Model!I15</f>
        <v>5.751703113820885E-2</v>
      </c>
      <c r="J58" s="209">
        <f>J57/Model!J15</f>
        <v>6.1644238980006476E-2</v>
      </c>
      <c r="K58" s="209">
        <f>K57/Model!K15</f>
        <v>6.0352939473341347E-2</v>
      </c>
      <c r="L58" s="211">
        <f>K58</f>
        <v>6.0352939473341347E-2</v>
      </c>
      <c r="M58" s="211">
        <f t="shared" ref="M58:P58" si="40">L58</f>
        <v>6.0352939473341347E-2</v>
      </c>
      <c r="N58" s="211">
        <f t="shared" si="40"/>
        <v>6.0352939473341347E-2</v>
      </c>
      <c r="O58" s="211">
        <f t="shared" si="40"/>
        <v>6.0352939473341347E-2</v>
      </c>
      <c r="P58" s="211">
        <f t="shared" si="40"/>
        <v>6.0352939473341347E-2</v>
      </c>
      <c r="Q58" s="212"/>
      <c r="R58" s="209">
        <f>R8/Model!R15</f>
        <v>0.15311182614381333</v>
      </c>
      <c r="S58" s="209"/>
      <c r="T58" s="209">
        <f>T8/Model!T15</f>
        <v>0.15240579128632092</v>
      </c>
      <c r="U58" s="209"/>
      <c r="V58" s="209">
        <f>V8/Model!V15</f>
        <v>0.15536012031255109</v>
      </c>
      <c r="W58" s="209"/>
      <c r="X58" s="209">
        <f>X8/Model!X15</f>
        <v>0.14257945078679421</v>
      </c>
      <c r="Y58" s="209"/>
      <c r="Z58" s="209">
        <f>Z8/Model!Z15</f>
        <v>0.1339835585899401</v>
      </c>
      <c r="AA58" s="209"/>
      <c r="AB58" s="209">
        <f>AB8/Model!AB15</f>
        <v>0.11143161723208127</v>
      </c>
      <c r="AC58" s="209"/>
      <c r="AD58" s="209">
        <f>AD8/Model!AD15</f>
        <v>0.11890620760348518</v>
      </c>
      <c r="AE58" s="209"/>
      <c r="AF58" s="209">
        <f>AF8/Model!AF15</f>
        <v>0.11546123863144218</v>
      </c>
      <c r="AG58" s="209"/>
      <c r="AH58" s="209">
        <f>AH8/Model!AH15</f>
        <v>0.12440857222376844</v>
      </c>
      <c r="AI58" s="209"/>
      <c r="AJ58" s="6"/>
      <c r="AK58" s="6"/>
      <c r="AL58" s="6"/>
      <c r="AM58" s="6"/>
      <c r="AN58" s="6"/>
      <c r="AO58" s="6"/>
      <c r="AP58" s="6"/>
    </row>
    <row r="59" spans="1:42">
      <c r="B59" s="32" t="s">
        <v>296</v>
      </c>
      <c r="C59" s="213">
        <f>C57/PL!C5*365</f>
        <v>27.157528126766472</v>
      </c>
      <c r="D59" s="213">
        <f>D57/PL!D5*365</f>
        <v>27.023087013554878</v>
      </c>
      <c r="E59" s="213">
        <f>E57/PL!E5*365</f>
        <v>26.043611629767941</v>
      </c>
      <c r="F59" s="213">
        <f>F57/PL!F5*365</f>
        <v>25.416725559481744</v>
      </c>
      <c r="G59" s="213">
        <f>G57/PL!G5*365</f>
        <v>16.982040197869782</v>
      </c>
      <c r="H59" s="213">
        <f>H57/PL!H5*365</f>
        <v>21.552449506154581</v>
      </c>
      <c r="I59" s="213">
        <f>I57/PL!I5*365</f>
        <v>20.993716365446229</v>
      </c>
      <c r="J59" s="213">
        <f>J57/PL!J5*365</f>
        <v>22.500147227702364</v>
      </c>
      <c r="K59" s="213">
        <f>K57/PL!K5*365</f>
        <v>22.028822907769591</v>
      </c>
      <c r="L59" s="214">
        <f>L57/PL!L5*365</f>
        <v>22.028822907769587</v>
      </c>
      <c r="M59" s="214">
        <f>M57/PL!M5*365</f>
        <v>22.028822907769587</v>
      </c>
      <c r="N59" s="214">
        <f>N57/PL!N5*365</f>
        <v>22.028822907769595</v>
      </c>
      <c r="O59" s="214">
        <f>O57/PL!O5*365</f>
        <v>22.028822907769591</v>
      </c>
      <c r="P59" s="214">
        <f>P57/PL!P5*365</f>
        <v>22.028822907769591</v>
      </c>
      <c r="Q59" s="214"/>
      <c r="R59" s="213">
        <f>R8/PL!R5*365</f>
        <v>55.885816542491867</v>
      </c>
      <c r="S59" s="213"/>
      <c r="T59" s="213">
        <f>T8/PL!T5*365</f>
        <v>55.628113819507135</v>
      </c>
      <c r="U59" s="213"/>
      <c r="V59" s="213">
        <f>V8/PL!V5*365</f>
        <v>56.706443914081149</v>
      </c>
      <c r="W59" s="213"/>
      <c r="X59" s="213">
        <f>X8/PL!X5*365</f>
        <v>52.041499537179888</v>
      </c>
      <c r="Y59" s="213"/>
      <c r="Z59" s="213">
        <f>Z8/PL!Z5*365</f>
        <v>48.903998885328136</v>
      </c>
      <c r="AA59" s="213"/>
      <c r="AB59" s="213">
        <f>AB8/PL!AB5*365</f>
        <v>40.672540289709666</v>
      </c>
      <c r="AC59" s="213"/>
      <c r="AD59" s="213">
        <f>AD8/PL!AD5*365</f>
        <v>43.400765775272092</v>
      </c>
      <c r="AE59" s="213"/>
      <c r="AF59" s="213">
        <f>AF8/PL!AF5*365</f>
        <v>42.143352100476399</v>
      </c>
      <c r="AG59" s="213"/>
      <c r="AH59" s="213">
        <f>AH8/PL!AH5*365</f>
        <v>45.409128861675484</v>
      </c>
      <c r="AI59" s="213"/>
    </row>
    <row r="60" spans="1:42">
      <c r="B60" s="32"/>
      <c r="C60" s="199"/>
      <c r="D60" s="199"/>
      <c r="E60" s="199"/>
      <c r="F60" s="199"/>
      <c r="G60" s="199"/>
      <c r="H60" s="199"/>
      <c r="I60" s="199"/>
      <c r="J60" s="199"/>
      <c r="K60" s="208"/>
      <c r="L60" s="203"/>
      <c r="M60" s="200"/>
      <c r="N60" s="200"/>
      <c r="O60" s="200"/>
      <c r="P60" s="200"/>
      <c r="Q60" s="200"/>
      <c r="R60" s="199"/>
      <c r="S60" s="199"/>
      <c r="T60" s="199"/>
      <c r="U60" s="199"/>
      <c r="V60" s="199"/>
      <c r="W60" s="199"/>
      <c r="X60" s="199"/>
      <c r="Y60" s="199"/>
      <c r="Z60" s="199"/>
      <c r="AA60" s="199"/>
      <c r="AB60" s="199"/>
      <c r="AC60" s="199"/>
      <c r="AD60" s="199"/>
      <c r="AE60" s="199"/>
      <c r="AF60" s="199"/>
      <c r="AG60" s="199"/>
      <c r="AH60" s="199"/>
      <c r="AI60" s="199"/>
    </row>
    <row r="61" spans="1:42">
      <c r="B61" s="25" t="s">
        <v>213</v>
      </c>
      <c r="C61" s="21">
        <f>C26</f>
        <v>5068.2</v>
      </c>
      <c r="D61" s="21">
        <f t="shared" ref="D61:K61" si="41">D26</f>
        <v>5316</v>
      </c>
      <c r="E61" s="21">
        <f t="shared" si="41"/>
        <v>5219</v>
      </c>
      <c r="F61" s="21">
        <f t="shared" si="41"/>
        <v>5843</v>
      </c>
      <c r="G61" s="21">
        <f t="shared" si="41"/>
        <v>6467</v>
      </c>
      <c r="H61" s="21">
        <f t="shared" si="41"/>
        <v>7002</v>
      </c>
      <c r="I61" s="21">
        <f t="shared" si="41"/>
        <v>7623</v>
      </c>
      <c r="J61" s="21">
        <f t="shared" si="41"/>
        <v>7762</v>
      </c>
      <c r="K61" s="21">
        <f t="shared" si="41"/>
        <v>8083</v>
      </c>
      <c r="L61" s="169">
        <f>L62*Model!L15</f>
        <v>8325.8923693107172</v>
      </c>
      <c r="M61" s="148">
        <f>M62*Model!M15</f>
        <v>8658.8344021440698</v>
      </c>
      <c r="N61" s="148">
        <f>N62*Model!N15</f>
        <v>9013.7460005042594</v>
      </c>
      <c r="O61" s="148">
        <f>O62*Model!O15</f>
        <v>9381.7313455677631</v>
      </c>
      <c r="P61" s="148">
        <f>P62*Model!P15</f>
        <v>9763.258082756458</v>
      </c>
      <c r="Q61" s="200"/>
      <c r="R61" s="199"/>
      <c r="S61" s="199"/>
      <c r="T61" s="199"/>
      <c r="U61" s="199"/>
      <c r="V61" s="199"/>
      <c r="W61" s="199"/>
      <c r="X61" s="199"/>
      <c r="Y61" s="199"/>
      <c r="Z61" s="199"/>
      <c r="AA61" s="199"/>
      <c r="AB61" s="199"/>
      <c r="AC61" s="199"/>
      <c r="AD61" s="199"/>
      <c r="AE61" s="199"/>
      <c r="AF61" s="199"/>
      <c r="AG61" s="199"/>
      <c r="AH61" s="199"/>
      <c r="AI61" s="199"/>
    </row>
    <row r="62" spans="1:42" s="24" customFormat="1">
      <c r="B62" s="29" t="s">
        <v>269</v>
      </c>
      <c r="C62" s="209">
        <f>C26/Model!C15</f>
        <v>9.24162579092285E-2</v>
      </c>
      <c r="D62" s="209">
        <f>D26/Model!D15</f>
        <v>9.2977700043725409E-2</v>
      </c>
      <c r="E62" s="209">
        <f>E26/Model!E15</f>
        <v>8.7006535076020269E-2</v>
      </c>
      <c r="F62" s="209">
        <f>F26/Model!F15</f>
        <v>9.1762858264625047E-2</v>
      </c>
      <c r="G62" s="209">
        <f>G26/Model!G15</f>
        <v>9.6067858044773233E-2</v>
      </c>
      <c r="H62" s="209">
        <f>H26/Model!H15</f>
        <v>0.11507173495045112</v>
      </c>
      <c r="I62" s="209">
        <f>I26/Model!I15</f>
        <v>0.11856471832519364</v>
      </c>
      <c r="J62" s="209">
        <f>J26/Model!J15</f>
        <v>0.11427814257530697</v>
      </c>
      <c r="K62" s="209">
        <f>K26/Model!K15</f>
        <v>0.11701434630919119</v>
      </c>
      <c r="L62" s="211">
        <f>K62</f>
        <v>0.11701434630919119</v>
      </c>
      <c r="M62" s="211">
        <f t="shared" ref="M62:P62" si="42">L62</f>
        <v>0.11701434630919119</v>
      </c>
      <c r="N62" s="211">
        <f t="shared" si="42"/>
        <v>0.11701434630919119</v>
      </c>
      <c r="O62" s="211">
        <f t="shared" si="42"/>
        <v>0.11701434630919119</v>
      </c>
      <c r="P62" s="211">
        <f t="shared" si="42"/>
        <v>0.11701434630919119</v>
      </c>
      <c r="Q62" s="212"/>
      <c r="R62" s="209">
        <f>R26/Model!R15</f>
        <v>0.19865058685945777</v>
      </c>
      <c r="S62" s="209"/>
      <c r="T62" s="209">
        <f>T26/Model!T15</f>
        <v>0.19076797803620413</v>
      </c>
      <c r="U62" s="209"/>
      <c r="V62" s="209">
        <f>V26/Model!V15</f>
        <v>0.15969971227442209</v>
      </c>
      <c r="W62" s="209"/>
      <c r="X62" s="209">
        <f>X26/Model!X15</f>
        <v>0.17243969057327763</v>
      </c>
      <c r="Y62" s="209"/>
      <c r="Z62" s="209">
        <f>Z26/Model!Z15</f>
        <v>0.23770377595095443</v>
      </c>
      <c r="AA62" s="209"/>
      <c r="AB62" s="209">
        <f>AB26/Model!AB15</f>
        <v>0.22427415814886811</v>
      </c>
      <c r="AC62" s="209"/>
      <c r="AD62" s="209">
        <f>AD26/Model!AD15</f>
        <v>0.22716994784286532</v>
      </c>
      <c r="AE62" s="209"/>
      <c r="AF62" s="209">
        <f>AF26/Model!AF15</f>
        <v>0.23375198498628555</v>
      </c>
      <c r="AG62" s="209"/>
      <c r="AH62" s="209">
        <f>AH26/Model!AH15</f>
        <v>0.22585583078207627</v>
      </c>
      <c r="AI62" s="209"/>
      <c r="AJ62" s="6"/>
      <c r="AK62" s="6"/>
      <c r="AL62" s="6"/>
      <c r="AM62" s="6"/>
      <c r="AN62" s="6"/>
      <c r="AO62" s="6"/>
      <c r="AP62" s="6"/>
    </row>
    <row r="63" spans="1:42">
      <c r="B63" s="32" t="s">
        <v>297</v>
      </c>
      <c r="C63" s="213">
        <f>C61/PL!C5*365</f>
        <v>33.731934136868404</v>
      </c>
      <c r="D63" s="213">
        <f>D61/PL!D5*365</f>
        <v>33.936860515959772</v>
      </c>
      <c r="E63" s="213">
        <f>E61/PL!E5*365</f>
        <v>31.757385302747398</v>
      </c>
      <c r="F63" s="213">
        <f>F61/PL!F5*365</f>
        <v>33.493443266588145</v>
      </c>
      <c r="G63" s="213">
        <f>G61/PL!G5*365</f>
        <v>35.064768186342228</v>
      </c>
      <c r="H63" s="213">
        <f>H61/PL!H5*365</f>
        <v>42.001183256914658</v>
      </c>
      <c r="I63" s="213">
        <f>I61/PL!I5*365</f>
        <v>43.27612218869568</v>
      </c>
      <c r="J63" s="213">
        <f>J61/PL!J5*365</f>
        <v>41.711522039987045</v>
      </c>
      <c r="K63" s="213">
        <f>K61/PL!K5*365</f>
        <v>42.710236402854783</v>
      </c>
      <c r="L63" s="214">
        <f>L61/PL!L5*365</f>
        <v>42.710236402854783</v>
      </c>
      <c r="M63" s="214">
        <f>M61/PL!M5*365</f>
        <v>42.71023640285479</v>
      </c>
      <c r="N63" s="214">
        <f>N61/PL!N5*365</f>
        <v>42.710236402854783</v>
      </c>
      <c r="O63" s="214">
        <f>O61/PL!O5*365</f>
        <v>42.710236402854783</v>
      </c>
      <c r="P63" s="214">
        <f>P61/PL!P5*365</f>
        <v>42.71023640285479</v>
      </c>
      <c r="Q63" s="214"/>
      <c r="R63" s="213">
        <f>R26/PL!R5*365</f>
        <v>72.507464203702085</v>
      </c>
      <c r="S63" s="213"/>
      <c r="T63" s="213">
        <f>T26/PL!T5*365</f>
        <v>69.630311983214511</v>
      </c>
      <c r="U63" s="213"/>
      <c r="V63" s="213">
        <f>V26/PL!V5*365</f>
        <v>58.290394980164059</v>
      </c>
      <c r="W63" s="213"/>
      <c r="X63" s="213">
        <f>X26/PL!X5*365</f>
        <v>62.940487059246337</v>
      </c>
      <c r="Y63" s="213"/>
      <c r="Z63" s="213">
        <f>Z26/PL!Z5*365</f>
        <v>86.761878222098375</v>
      </c>
      <c r="AA63" s="213"/>
      <c r="AB63" s="213">
        <f>AB26/PL!AB5*365</f>
        <v>81.860067724336858</v>
      </c>
      <c r="AC63" s="213"/>
      <c r="AD63" s="213">
        <f>AD26/PL!AD5*365</f>
        <v>82.917030962645839</v>
      </c>
      <c r="AE63" s="213"/>
      <c r="AF63" s="213">
        <f>AF26/PL!AF5*365</f>
        <v>85.31947451999423</v>
      </c>
      <c r="AG63" s="213"/>
      <c r="AH63" s="213">
        <f>AH26/PL!AH5*365</f>
        <v>82.437378235457842</v>
      </c>
      <c r="AI63" s="213"/>
    </row>
    <row r="64" spans="1:42">
      <c r="B64" s="32"/>
      <c r="C64" s="199"/>
      <c r="D64" s="199"/>
      <c r="E64" s="199"/>
      <c r="F64" s="199"/>
      <c r="G64" s="199"/>
      <c r="H64" s="199"/>
      <c r="I64" s="199"/>
      <c r="J64" s="199"/>
      <c r="K64" s="208"/>
      <c r="L64" s="203"/>
      <c r="M64" s="200"/>
      <c r="N64" s="200"/>
      <c r="O64" s="200"/>
      <c r="P64" s="200"/>
      <c r="Q64" s="200"/>
      <c r="R64" s="199"/>
      <c r="S64" s="199"/>
      <c r="T64" s="199"/>
      <c r="U64" s="199"/>
      <c r="V64" s="199"/>
      <c r="W64" s="199"/>
      <c r="X64" s="199"/>
      <c r="Y64" s="199"/>
      <c r="Z64" s="199"/>
      <c r="AA64" s="199"/>
      <c r="AB64" s="199"/>
      <c r="AC64" s="199"/>
      <c r="AD64" s="199"/>
      <c r="AE64" s="199"/>
      <c r="AF64" s="199"/>
      <c r="AG64" s="199"/>
      <c r="AH64" s="199"/>
      <c r="AI64" s="199"/>
    </row>
    <row r="65" spans="1:42">
      <c r="B65" s="25" t="s">
        <v>298</v>
      </c>
      <c r="C65" s="215">
        <f>C53+C57-C61</f>
        <v>-243.09999999999945</v>
      </c>
      <c r="D65" s="215">
        <f t="shared" ref="D65:P65" si="43">D53+D57-D61</f>
        <v>-282</v>
      </c>
      <c r="E65" s="215">
        <f t="shared" si="43"/>
        <v>-257</v>
      </c>
      <c r="F65" s="215">
        <f t="shared" si="43"/>
        <v>-669</v>
      </c>
      <c r="G65" s="215">
        <f t="shared" si="43"/>
        <v>-2686</v>
      </c>
      <c r="H65" s="215">
        <f t="shared" si="43"/>
        <v>-2365</v>
      </c>
      <c r="I65" s="215">
        <f t="shared" si="43"/>
        <v>-2909</v>
      </c>
      <c r="J65" s="215">
        <f t="shared" si="43"/>
        <v>-2513</v>
      </c>
      <c r="K65" s="215">
        <f>K53+K57-K61</f>
        <v>-2880</v>
      </c>
      <c r="L65" s="216">
        <f>L53+L57-L61</f>
        <v>-2966.5433655344386</v>
      </c>
      <c r="M65" s="216">
        <f t="shared" si="43"/>
        <v>-3085.1717280929024</v>
      </c>
      <c r="N65" s="216">
        <f t="shared" si="43"/>
        <v>-3211.6279205062801</v>
      </c>
      <c r="O65" s="216">
        <f t="shared" si="43"/>
        <v>-3342.7423327026045</v>
      </c>
      <c r="P65" s="216">
        <f t="shared" si="43"/>
        <v>-3478.6815883135723</v>
      </c>
      <c r="Q65" s="216"/>
      <c r="R65" s="215">
        <f>R7+R13+R8-R26</f>
        <v>-453.48807825555377</v>
      </c>
      <c r="S65" s="215"/>
      <c r="T65" s="215">
        <f t="shared" ref="T65:AH65" si="44">T7+T13+T8-T26</f>
        <v>-237.2979191287568</v>
      </c>
      <c r="U65" s="215"/>
      <c r="V65" s="215">
        <f t="shared" si="44"/>
        <v>795.26490066225142</v>
      </c>
      <c r="W65" s="215"/>
      <c r="X65" s="215">
        <f t="shared" si="44"/>
        <v>47.229628520071856</v>
      </c>
      <c r="Y65" s="215"/>
      <c r="Z65" s="215">
        <f t="shared" si="44"/>
        <v>-2707</v>
      </c>
      <c r="AA65" s="215"/>
      <c r="AB65" s="215">
        <f t="shared" si="44"/>
        <v>-2371</v>
      </c>
      <c r="AC65" s="215"/>
      <c r="AD65" s="215">
        <f t="shared" si="44"/>
        <v>-2233</v>
      </c>
      <c r="AE65" s="215"/>
      <c r="AF65" s="215">
        <f t="shared" si="44"/>
        <v>-2975</v>
      </c>
      <c r="AG65" s="215"/>
      <c r="AH65" s="215">
        <f t="shared" si="44"/>
        <v>-2415</v>
      </c>
      <c r="AI65" s="215"/>
    </row>
    <row r="66" spans="1:42">
      <c r="A66" s="24" t="s">
        <v>471</v>
      </c>
      <c r="B66" s="32" t="s">
        <v>301</v>
      </c>
      <c r="C66" s="201"/>
      <c r="D66" s="201">
        <f>-(D65-C65)</f>
        <v>38.900000000000546</v>
      </c>
      <c r="E66" s="201">
        <f t="shared" ref="E66:P66" si="45">-(E65-D65)</f>
        <v>-25</v>
      </c>
      <c r="F66" s="201">
        <f t="shared" si="45"/>
        <v>412</v>
      </c>
      <c r="G66" s="201">
        <f t="shared" si="45"/>
        <v>2017</v>
      </c>
      <c r="H66" s="201">
        <f t="shared" si="45"/>
        <v>-321</v>
      </c>
      <c r="I66" s="201">
        <f t="shared" si="45"/>
        <v>544</v>
      </c>
      <c r="J66" s="201">
        <f t="shared" si="45"/>
        <v>-396</v>
      </c>
      <c r="K66" s="208">
        <f t="shared" si="45"/>
        <v>367</v>
      </c>
      <c r="L66" s="203">
        <f t="shared" si="45"/>
        <v>86.543365534438635</v>
      </c>
      <c r="M66" s="204">
        <f t="shared" si="45"/>
        <v>118.62836255846378</v>
      </c>
      <c r="N66" s="204">
        <f t="shared" si="45"/>
        <v>126.45619241337772</v>
      </c>
      <c r="O66" s="204">
        <f t="shared" si="45"/>
        <v>131.11441219632434</v>
      </c>
      <c r="P66" s="204">
        <f t="shared" si="45"/>
        <v>135.93925561096785</v>
      </c>
      <c r="Q66" s="204"/>
      <c r="R66" s="201"/>
      <c r="S66" s="201"/>
      <c r="T66" s="201">
        <f>T65-C65</f>
        <v>5.8020808712426515</v>
      </c>
      <c r="U66" s="201">
        <f>D66-T66</f>
        <v>33.097919128757894</v>
      </c>
      <c r="V66" s="201">
        <f>V65-D65</f>
        <v>1077.2649006622514</v>
      </c>
      <c r="W66" s="201">
        <f>E66-V66</f>
        <v>-1102.2649006622514</v>
      </c>
      <c r="X66" s="201">
        <f>X65-E65</f>
        <v>304.22962852007186</v>
      </c>
      <c r="Y66" s="201">
        <f>F66-X66</f>
        <v>107.77037147992814</v>
      </c>
      <c r="Z66" s="201">
        <f>Z65-F65</f>
        <v>-2038</v>
      </c>
      <c r="AA66" s="201">
        <f>G66-Z66</f>
        <v>4055</v>
      </c>
      <c r="AB66" s="201">
        <f>AB65-G65</f>
        <v>315</v>
      </c>
      <c r="AC66" s="201">
        <f>H66-AB66</f>
        <v>-636</v>
      </c>
      <c r="AD66" s="201">
        <f>AD65-H65</f>
        <v>132</v>
      </c>
      <c r="AE66" s="201">
        <f>I66-AD66</f>
        <v>412</v>
      </c>
      <c r="AF66" s="201">
        <f>AF65-I65</f>
        <v>-66</v>
      </c>
      <c r="AG66" s="201">
        <f>J66-AF66</f>
        <v>-330</v>
      </c>
      <c r="AH66" s="201">
        <f>AH65-J65</f>
        <v>98</v>
      </c>
      <c r="AI66" s="201">
        <f>K66-AH66</f>
        <v>269</v>
      </c>
    </row>
    <row r="67" spans="1:42" s="24" customFormat="1">
      <c r="B67" s="29" t="s">
        <v>268</v>
      </c>
      <c r="C67" s="217"/>
      <c r="D67" s="209">
        <f t="shared" ref="D67:K67" si="46">D65/C65-1</f>
        <v>0.16001645413410381</v>
      </c>
      <c r="E67" s="209">
        <f t="shared" si="46"/>
        <v>-8.8652482269503508E-2</v>
      </c>
      <c r="F67" s="209">
        <f t="shared" si="46"/>
        <v>1.6031128404669261</v>
      </c>
      <c r="G67" s="209">
        <f t="shared" si="46"/>
        <v>3.014947683109118</v>
      </c>
      <c r="H67" s="209">
        <f t="shared" si="46"/>
        <v>-0.11950856291883838</v>
      </c>
      <c r="I67" s="209">
        <f t="shared" si="46"/>
        <v>0.23002114164904852</v>
      </c>
      <c r="J67" s="209">
        <f t="shared" si="46"/>
        <v>-0.13612925403918874</v>
      </c>
      <c r="K67" s="218">
        <f t="shared" si="46"/>
        <v>0.14604058893752492</v>
      </c>
      <c r="L67" s="212">
        <f t="shared" ref="L67:P67" si="47">L65/K65-1</f>
        <v>3.0049779699457879E-2</v>
      </c>
      <c r="M67" s="212">
        <f t="shared" si="47"/>
        <v>3.9988750522476302E-2</v>
      </c>
      <c r="N67" s="212">
        <f t="shared" si="47"/>
        <v>4.0988380407448677E-2</v>
      </c>
      <c r="O67" s="212">
        <f t="shared" si="47"/>
        <v>4.0824907318546266E-2</v>
      </c>
      <c r="P67" s="212">
        <f t="shared" si="47"/>
        <v>4.0666985989632476E-2</v>
      </c>
      <c r="Q67" s="212"/>
      <c r="R67" s="217"/>
      <c r="S67" s="217"/>
      <c r="T67" s="209"/>
      <c r="U67" s="209"/>
      <c r="V67" s="209"/>
      <c r="W67" s="209"/>
      <c r="X67" s="209"/>
      <c r="Y67" s="209"/>
      <c r="Z67" s="209"/>
      <c r="AA67" s="209"/>
      <c r="AB67" s="209"/>
      <c r="AC67" s="209"/>
      <c r="AD67" s="209"/>
      <c r="AE67" s="209"/>
      <c r="AF67" s="209"/>
      <c r="AG67" s="209"/>
      <c r="AH67" s="209"/>
      <c r="AI67" s="209"/>
      <c r="AJ67" s="6"/>
      <c r="AK67" s="6"/>
      <c r="AL67" s="6"/>
      <c r="AM67" s="6"/>
      <c r="AN67" s="6"/>
      <c r="AO67" s="6"/>
      <c r="AP67" s="6"/>
    </row>
    <row r="68" spans="1:42">
      <c r="B68" s="32"/>
      <c r="C68" s="199"/>
      <c r="D68" s="199"/>
      <c r="E68" s="199"/>
      <c r="F68" s="199"/>
      <c r="G68" s="199"/>
      <c r="H68" s="199"/>
      <c r="I68" s="199"/>
      <c r="J68" s="199"/>
      <c r="K68" s="208"/>
      <c r="L68" s="203"/>
      <c r="M68" s="200"/>
      <c r="N68" s="200"/>
      <c r="O68" s="200"/>
      <c r="P68" s="200"/>
      <c r="Q68" s="200"/>
      <c r="R68" s="199"/>
      <c r="S68" s="199"/>
      <c r="T68" s="199"/>
      <c r="U68" s="199"/>
      <c r="V68" s="199"/>
      <c r="W68" s="199"/>
      <c r="X68" s="199"/>
      <c r="Y68" s="199"/>
      <c r="Z68" s="199"/>
      <c r="AA68" s="199"/>
      <c r="AB68" s="199"/>
      <c r="AC68" s="199"/>
      <c r="AD68" s="199"/>
      <c r="AE68" s="199"/>
      <c r="AF68" s="199"/>
      <c r="AG68" s="199"/>
      <c r="AH68" s="199"/>
      <c r="AI68" s="199"/>
    </row>
    <row r="69" spans="1:42">
      <c r="B69" s="32" t="s">
        <v>214</v>
      </c>
      <c r="C69" s="201">
        <f t="shared" ref="C69:K69" si="48">C6</f>
        <v>909.4</v>
      </c>
      <c r="D69" s="201">
        <f t="shared" si="48"/>
        <v>1273</v>
      </c>
      <c r="E69" s="201">
        <f t="shared" si="48"/>
        <v>1066</v>
      </c>
      <c r="F69" s="201">
        <f t="shared" si="48"/>
        <v>2068</v>
      </c>
      <c r="G69" s="201">
        <f t="shared" si="48"/>
        <v>1009</v>
      </c>
      <c r="H69" s="201">
        <f t="shared" si="48"/>
        <v>1032</v>
      </c>
      <c r="I69" s="201">
        <f t="shared" si="48"/>
        <v>1135</v>
      </c>
      <c r="J69" s="201">
        <f t="shared" si="48"/>
        <v>1298</v>
      </c>
      <c r="K69" s="208">
        <f t="shared" si="48"/>
        <v>1275</v>
      </c>
      <c r="L69" s="203">
        <f t="shared" ref="L69:P69" si="49">L6</f>
        <v>1379.061171635859</v>
      </c>
      <c r="M69" s="204">
        <f t="shared" si="49"/>
        <v>1635.9805162941911</v>
      </c>
      <c r="N69" s="204">
        <f t="shared" si="49"/>
        <v>2028.8967024460771</v>
      </c>
      <c r="O69" s="204">
        <f t="shared" si="49"/>
        <v>2529.4185409255488</v>
      </c>
      <c r="P69" s="204">
        <f t="shared" si="49"/>
        <v>3141.2630731481477</v>
      </c>
      <c r="Q69" s="204"/>
      <c r="R69" s="201">
        <f>R6</f>
        <v>1421.3</v>
      </c>
      <c r="S69" s="201"/>
      <c r="T69" s="201">
        <f t="shared" ref="T69:AH69" si="50">T6</f>
        <v>1688</v>
      </c>
      <c r="U69" s="201"/>
      <c r="V69" s="201">
        <f t="shared" si="50"/>
        <v>1618</v>
      </c>
      <c r="W69" s="201"/>
      <c r="X69" s="201">
        <f t="shared" si="50"/>
        <v>1037</v>
      </c>
      <c r="Y69" s="201"/>
      <c r="Z69" s="201">
        <f t="shared" si="50"/>
        <v>2135</v>
      </c>
      <c r="AA69" s="201"/>
      <c r="AB69" s="201">
        <f t="shared" si="50"/>
        <v>1006</v>
      </c>
      <c r="AC69" s="201"/>
      <c r="AD69" s="201">
        <f t="shared" si="50"/>
        <v>1059</v>
      </c>
      <c r="AE69" s="201"/>
      <c r="AF69" s="201">
        <f t="shared" si="50"/>
        <v>1696</v>
      </c>
      <c r="AG69" s="201"/>
      <c r="AH69" s="201">
        <f t="shared" si="50"/>
        <v>1289</v>
      </c>
      <c r="AI69" s="201"/>
    </row>
    <row r="70" spans="1:42">
      <c r="B70" s="32" t="s">
        <v>215</v>
      </c>
      <c r="C70" s="201">
        <f t="shared" ref="C70:J70" si="51">C30+C35</f>
        <v>3030.5</v>
      </c>
      <c r="D70" s="201">
        <f t="shared" si="51"/>
        <v>2803</v>
      </c>
      <c r="E70" s="201">
        <f t="shared" si="51"/>
        <v>3129</v>
      </c>
      <c r="F70" s="201">
        <f t="shared" si="51"/>
        <v>3931</v>
      </c>
      <c r="G70" s="201">
        <f t="shared" si="51"/>
        <v>2872</v>
      </c>
      <c r="H70" s="201">
        <f t="shared" si="51"/>
        <v>4292</v>
      </c>
      <c r="I70" s="201">
        <f t="shared" si="51"/>
        <v>3755</v>
      </c>
      <c r="J70" s="201">
        <f t="shared" si="51"/>
        <v>4578</v>
      </c>
      <c r="K70" s="208">
        <f>K30+K35</f>
        <v>5511</v>
      </c>
      <c r="L70" s="203">
        <f t="shared" ref="L70:P70" si="52">L30+L35</f>
        <v>5511</v>
      </c>
      <c r="M70" s="204">
        <f t="shared" si="52"/>
        <v>5511</v>
      </c>
      <c r="N70" s="204">
        <f t="shared" si="52"/>
        <v>5511</v>
      </c>
      <c r="O70" s="204">
        <f t="shared" si="52"/>
        <v>5511</v>
      </c>
      <c r="P70" s="204">
        <f t="shared" si="52"/>
        <v>5511</v>
      </c>
      <c r="Q70" s="204"/>
      <c r="R70" s="201">
        <f>R30+R35</f>
        <v>3260.6</v>
      </c>
      <c r="S70" s="201"/>
      <c r="T70" s="201">
        <f t="shared" ref="T70:AH70" si="53">T30+T35</f>
        <v>2797</v>
      </c>
      <c r="U70" s="201"/>
      <c r="V70" s="201">
        <f t="shared" si="53"/>
        <v>2871</v>
      </c>
      <c r="W70" s="201"/>
      <c r="X70" s="201">
        <f t="shared" si="53"/>
        <v>3021</v>
      </c>
      <c r="Y70" s="201"/>
      <c r="Z70" s="201">
        <f t="shared" si="53"/>
        <v>2626</v>
      </c>
      <c r="AA70" s="201"/>
      <c r="AB70" s="201">
        <f t="shared" si="53"/>
        <v>3918</v>
      </c>
      <c r="AC70" s="201"/>
      <c r="AD70" s="201">
        <f t="shared" si="53"/>
        <v>4165</v>
      </c>
      <c r="AE70" s="201"/>
      <c r="AF70" s="201">
        <f t="shared" si="53"/>
        <v>4232</v>
      </c>
      <c r="AG70" s="201"/>
      <c r="AH70" s="201">
        <f t="shared" si="53"/>
        <v>5681</v>
      </c>
      <c r="AI70" s="201"/>
    </row>
    <row r="71" spans="1:42">
      <c r="A71" s="24" t="s">
        <v>221</v>
      </c>
      <c r="B71" s="25" t="s">
        <v>221</v>
      </c>
      <c r="C71" s="215">
        <f t="shared" ref="C71:J71" si="54">C70-C69</f>
        <v>2121.1</v>
      </c>
      <c r="D71" s="215">
        <f t="shared" si="54"/>
        <v>1530</v>
      </c>
      <c r="E71" s="215">
        <f t="shared" si="54"/>
        <v>2063</v>
      </c>
      <c r="F71" s="215">
        <f t="shared" si="54"/>
        <v>1863</v>
      </c>
      <c r="G71" s="215">
        <f t="shared" si="54"/>
        <v>1863</v>
      </c>
      <c r="H71" s="215">
        <f t="shared" si="54"/>
        <v>3260</v>
      </c>
      <c r="I71" s="215">
        <f t="shared" si="54"/>
        <v>2620</v>
      </c>
      <c r="J71" s="215">
        <f t="shared" si="54"/>
        <v>3280</v>
      </c>
      <c r="K71" s="215">
        <f>K70-K69</f>
        <v>4236</v>
      </c>
      <c r="L71" s="216">
        <f t="shared" ref="L71:P71" si="55">L70-L69</f>
        <v>4131.938828364141</v>
      </c>
      <c r="M71" s="216">
        <f t="shared" si="55"/>
        <v>3875.0194837058089</v>
      </c>
      <c r="N71" s="216">
        <f t="shared" si="55"/>
        <v>3482.1032975539229</v>
      </c>
      <c r="O71" s="216">
        <f t="shared" si="55"/>
        <v>2981.5814590744512</v>
      </c>
      <c r="P71" s="216">
        <f t="shared" si="55"/>
        <v>2369.7369268518523</v>
      </c>
      <c r="Q71" s="216"/>
      <c r="R71" s="215">
        <f>R70-R69</f>
        <v>1839.3</v>
      </c>
      <c r="S71" s="215"/>
      <c r="T71" s="215">
        <f t="shared" ref="T71:AH71" si="56">T70-T69</f>
        <v>1109</v>
      </c>
      <c r="U71" s="215"/>
      <c r="V71" s="215">
        <f t="shared" si="56"/>
        <v>1253</v>
      </c>
      <c r="W71" s="215"/>
      <c r="X71" s="215">
        <f t="shared" si="56"/>
        <v>1984</v>
      </c>
      <c r="Y71" s="215"/>
      <c r="Z71" s="215">
        <f t="shared" si="56"/>
        <v>491</v>
      </c>
      <c r="AA71" s="215"/>
      <c r="AB71" s="215">
        <f>AB70-AB69</f>
        <v>2912</v>
      </c>
      <c r="AC71" s="215"/>
      <c r="AD71" s="215">
        <f t="shared" si="56"/>
        <v>3106</v>
      </c>
      <c r="AE71" s="215"/>
      <c r="AF71" s="215">
        <f t="shared" si="56"/>
        <v>2536</v>
      </c>
      <c r="AG71" s="215"/>
      <c r="AH71" s="215">
        <f t="shared" si="56"/>
        <v>4392</v>
      </c>
      <c r="AI71" s="215"/>
    </row>
    <row r="72" spans="1:42">
      <c r="A72" s="24" t="s">
        <v>460</v>
      </c>
      <c r="B72" s="32" t="s">
        <v>459</v>
      </c>
      <c r="C72" s="215"/>
      <c r="D72" s="215">
        <f>D71-C71</f>
        <v>-591.09999999999991</v>
      </c>
      <c r="E72" s="215">
        <f t="shared" ref="E72:K72" si="57">E71-D71</f>
        <v>533</v>
      </c>
      <c r="F72" s="215">
        <f t="shared" si="57"/>
        <v>-200</v>
      </c>
      <c r="G72" s="215">
        <f t="shared" si="57"/>
        <v>0</v>
      </c>
      <c r="H72" s="215">
        <f t="shared" si="57"/>
        <v>1397</v>
      </c>
      <c r="I72" s="215">
        <f t="shared" si="57"/>
        <v>-640</v>
      </c>
      <c r="J72" s="215">
        <f t="shared" si="57"/>
        <v>660</v>
      </c>
      <c r="K72" s="215">
        <f t="shared" si="57"/>
        <v>956</v>
      </c>
      <c r="L72" s="216">
        <f t="shared" ref="L72" si="58">L71-K71</f>
        <v>-104.06117163585895</v>
      </c>
      <c r="M72" s="216">
        <f t="shared" ref="M72" si="59">M71-L71</f>
        <v>-256.91934465833219</v>
      </c>
      <c r="N72" s="216">
        <f t="shared" ref="N72" si="60">N71-M71</f>
        <v>-392.916186151886</v>
      </c>
      <c r="O72" s="216">
        <f t="shared" ref="O72" si="61">O71-N71</f>
        <v>-500.52183847947163</v>
      </c>
      <c r="P72" s="216">
        <f t="shared" ref="P72" si="62">P71-O71</f>
        <v>-611.8445322225989</v>
      </c>
      <c r="Q72" s="216"/>
      <c r="R72" s="215"/>
      <c r="S72" s="215"/>
      <c r="T72" s="201">
        <f>T71-C71</f>
        <v>-1012.0999999999999</v>
      </c>
      <c r="U72" s="201">
        <f>D72-T72</f>
        <v>421</v>
      </c>
      <c r="V72" s="201">
        <f>V71-D71</f>
        <v>-277</v>
      </c>
      <c r="W72" s="201">
        <f>E72-V72</f>
        <v>810</v>
      </c>
      <c r="X72" s="201">
        <f>X71-E71</f>
        <v>-79</v>
      </c>
      <c r="Y72" s="201">
        <f>F72-X72</f>
        <v>-121</v>
      </c>
      <c r="Z72" s="201">
        <f>Z71-F71</f>
        <v>-1372</v>
      </c>
      <c r="AA72" s="201">
        <f>G72-Z72</f>
        <v>1372</v>
      </c>
      <c r="AB72" s="201">
        <f>AB71-G71</f>
        <v>1049</v>
      </c>
      <c r="AC72" s="201">
        <f>H72-AB72</f>
        <v>348</v>
      </c>
      <c r="AD72" s="201">
        <f>AD71-H71</f>
        <v>-154</v>
      </c>
      <c r="AE72" s="201">
        <f>I72-AD72</f>
        <v>-486</v>
      </c>
      <c r="AF72" s="201">
        <f>AF71-I71</f>
        <v>-84</v>
      </c>
      <c r="AG72" s="201">
        <f>J72-AF72</f>
        <v>744</v>
      </c>
      <c r="AH72" s="201">
        <f>AH71-J71</f>
        <v>1112</v>
      </c>
      <c r="AI72" s="201">
        <f>K72-AH72</f>
        <v>-156</v>
      </c>
    </row>
    <row r="73" spans="1:42">
      <c r="B73" s="32"/>
      <c r="C73" s="199"/>
      <c r="D73" s="199"/>
      <c r="E73" s="199"/>
      <c r="F73" s="199"/>
      <c r="G73" s="199"/>
      <c r="H73" s="199"/>
      <c r="I73" s="199"/>
      <c r="J73" s="199"/>
      <c r="K73" s="199"/>
      <c r="L73" s="200"/>
      <c r="M73" s="200"/>
      <c r="N73" s="200"/>
      <c r="O73" s="200"/>
      <c r="P73" s="200"/>
      <c r="Q73" s="200"/>
      <c r="R73" s="199"/>
      <c r="S73" s="199"/>
      <c r="T73" s="199"/>
      <c r="U73" s="199"/>
      <c r="V73" s="199"/>
      <c r="W73" s="199"/>
      <c r="X73" s="199"/>
      <c r="Y73" s="199"/>
      <c r="Z73" s="199"/>
      <c r="AA73" s="199"/>
      <c r="AB73" s="199"/>
      <c r="AC73" s="199"/>
      <c r="AD73" s="199"/>
      <c r="AE73" s="199"/>
      <c r="AF73" s="199"/>
      <c r="AG73" s="199"/>
      <c r="AH73" s="199"/>
      <c r="AI73" s="199"/>
    </row>
    <row r="74" spans="1:42">
      <c r="B74" s="25" t="s">
        <v>521</v>
      </c>
      <c r="C74" s="199"/>
      <c r="D74" s="199"/>
      <c r="E74" s="199"/>
      <c r="F74" s="199"/>
      <c r="G74" s="199"/>
      <c r="H74" s="199"/>
      <c r="I74" s="199"/>
      <c r="J74" s="199"/>
      <c r="K74" s="199"/>
      <c r="L74" s="147">
        <v>1300</v>
      </c>
      <c r="M74" s="147">
        <f>L74*1.06</f>
        <v>1378</v>
      </c>
      <c r="N74" s="147">
        <f t="shared" ref="N74:P74" si="63">M74*1.06</f>
        <v>1460.68</v>
      </c>
      <c r="O74" s="147">
        <f t="shared" si="63"/>
        <v>1548.3208000000002</v>
      </c>
      <c r="P74" s="147">
        <f t="shared" si="63"/>
        <v>1641.2200480000004</v>
      </c>
      <c r="Q74" s="200"/>
      <c r="R74" s="199"/>
      <c r="S74" s="199"/>
      <c r="T74" s="199"/>
      <c r="U74" s="199"/>
      <c r="V74" s="199"/>
      <c r="W74" s="199"/>
      <c r="X74" s="199"/>
      <c r="Y74" s="199"/>
      <c r="Z74" s="199"/>
      <c r="AA74" s="199"/>
      <c r="AB74" s="199"/>
      <c r="AC74" s="199"/>
      <c r="AD74" s="199"/>
      <c r="AE74" s="199"/>
      <c r="AF74" s="199"/>
      <c r="AG74" s="199"/>
      <c r="AH74" s="199"/>
      <c r="AI74" s="199"/>
    </row>
    <row r="75" spans="1:42">
      <c r="B75" s="32"/>
      <c r="C75" s="199"/>
      <c r="D75" s="199"/>
      <c r="E75" s="199"/>
      <c r="F75" s="199"/>
      <c r="G75" s="199"/>
      <c r="H75" s="199"/>
      <c r="I75" s="199"/>
      <c r="J75" s="199"/>
      <c r="K75" s="199"/>
      <c r="L75" s="200"/>
      <c r="M75" s="200"/>
      <c r="N75" s="200"/>
      <c r="O75" s="200"/>
      <c r="P75" s="200"/>
      <c r="Q75" s="200"/>
      <c r="R75" s="199"/>
      <c r="S75" s="199"/>
      <c r="T75" s="199"/>
      <c r="U75" s="199"/>
      <c r="V75" s="199"/>
      <c r="W75" s="199"/>
      <c r="X75" s="199"/>
      <c r="Y75" s="199"/>
      <c r="Z75" s="199"/>
      <c r="AA75" s="199"/>
      <c r="AB75" s="199"/>
      <c r="AC75" s="199"/>
      <c r="AD75" s="199"/>
      <c r="AE75" s="199"/>
      <c r="AF75" s="199"/>
      <c r="AG75" s="199"/>
      <c r="AH75" s="199"/>
      <c r="AI75" s="199"/>
    </row>
    <row r="76" spans="1:42">
      <c r="K76" s="219"/>
      <c r="L76" s="219"/>
      <c r="M76" s="219"/>
      <c r="N76" s="219"/>
      <c r="O76" s="219"/>
      <c r="P76" s="219"/>
    </row>
  </sheetData>
  <pageMargins left="0.7" right="0.7" top="0.75" bottom="0.75" header="0.3" footer="0.3"/>
  <customProperties>
    <customPr name="Qube.Worksheet.Visibility" r:id="rId1"/>
    <customPr name="QXL_SHEET_ID" r:id="rId2"/>
  </customProperties>
  <legacyDrawing r:id="rId3"/>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1FFE8B-126A-48E8-BC4A-27A4D8202A93}">
  <sheetPr>
    <tabColor theme="7" tint="0.59999389629810485"/>
  </sheetPr>
  <dimension ref="A1:CA137"/>
  <sheetViews>
    <sheetView showGridLines="0" topLeftCell="B1" zoomScale="70" zoomScaleNormal="70" workbookViewId="0">
      <selection activeCell="AU53" sqref="AU53"/>
    </sheetView>
  </sheetViews>
  <sheetFormatPr defaultColWidth="9.140625" defaultRowHeight="12.75" outlineLevelRow="1" outlineLevelCol="1"/>
  <cols>
    <col min="1" max="1" width="9.140625" style="24" hidden="1" customWidth="1" outlineLevel="1"/>
    <col min="2" max="2" width="37.42578125" style="6" customWidth="1" collapsed="1"/>
    <col min="3" max="26" width="9.140625" style="6" hidden="1" customWidth="1" outlineLevel="1"/>
    <col min="27" max="27" width="9.140625" style="6" hidden="1" customWidth="1" outlineLevel="1" collapsed="1"/>
    <col min="28" max="34" width="9.140625" style="6" hidden="1" customWidth="1" outlineLevel="1"/>
    <col min="35" max="35" width="10.5703125" style="168" bestFit="1" customWidth="1" collapsed="1"/>
    <col min="36" max="36" width="9.7109375" style="168" bestFit="1" customWidth="1"/>
    <col min="37" max="38" width="9.140625" style="168"/>
    <col min="39" max="39" width="10.5703125" style="168" bestFit="1" customWidth="1"/>
    <col min="40" max="46" width="9" style="168" customWidth="1"/>
    <col min="47" max="47" width="9.140625" style="168"/>
    <col min="48" max="61" width="9.140625" style="168" hidden="1" customWidth="1" outlineLevel="1"/>
    <col min="62" max="62" width="9.140625" style="168" hidden="1" customWidth="1" outlineLevel="1" collapsed="1"/>
    <col min="63" max="63" width="9.140625" style="168" hidden="1" customWidth="1" outlineLevel="1"/>
    <col min="64" max="64" width="9.140625" style="168" collapsed="1"/>
    <col min="65" max="69" width="9.140625" style="168"/>
    <col min="70" max="71" width="9.140625" style="168" hidden="1" customWidth="1" outlineLevel="1"/>
    <col min="72" max="72" width="10.42578125" style="168" hidden="1" customWidth="1" outlineLevel="1"/>
    <col min="73" max="77" width="9.140625" style="168" hidden="1" customWidth="1" outlineLevel="1"/>
    <col min="78" max="78" width="9.140625" style="168" collapsed="1"/>
    <col min="79" max="79" width="9.140625" style="168"/>
    <col min="80" max="16384" width="9.140625" style="6"/>
  </cols>
  <sheetData>
    <row r="1" spans="1:79" s="8" customFormat="1">
      <c r="A1" s="140"/>
      <c r="B1" s="5" t="s">
        <v>226</v>
      </c>
      <c r="C1" s="97"/>
      <c r="D1" s="97"/>
      <c r="E1" s="97"/>
      <c r="F1" s="97"/>
      <c r="G1" s="97"/>
      <c r="H1" s="97"/>
      <c r="I1" s="97"/>
      <c r="J1" s="97"/>
      <c r="K1" s="97"/>
      <c r="L1" s="97"/>
      <c r="M1" s="97"/>
      <c r="N1" s="97"/>
      <c r="O1" s="97"/>
      <c r="P1" s="97"/>
      <c r="Q1" s="97"/>
      <c r="R1" s="97"/>
      <c r="S1" s="97"/>
      <c r="T1" s="97"/>
      <c r="U1" s="97"/>
      <c r="V1" s="97"/>
      <c r="W1" s="97"/>
      <c r="X1" s="97"/>
      <c r="Y1" s="97"/>
      <c r="Z1" s="97"/>
      <c r="AA1" s="97"/>
      <c r="AB1" s="97"/>
      <c r="AC1" s="97"/>
      <c r="AD1" s="97"/>
      <c r="AE1" s="97"/>
      <c r="AF1" s="97"/>
      <c r="AG1" s="97"/>
      <c r="AH1" s="97"/>
      <c r="AI1" s="251"/>
      <c r="AJ1" s="251"/>
      <c r="AK1" s="251"/>
      <c r="AL1" s="251"/>
      <c r="AM1" s="251"/>
      <c r="AN1" s="251"/>
      <c r="AO1" s="251"/>
      <c r="AP1" s="251"/>
      <c r="AQ1" s="251"/>
      <c r="AR1" s="251"/>
      <c r="AS1" s="251"/>
      <c r="AT1" s="251"/>
      <c r="AU1" s="167"/>
      <c r="AV1" s="251"/>
      <c r="AW1" s="251"/>
      <c r="AX1" s="251"/>
      <c r="AY1" s="251"/>
      <c r="AZ1" s="251"/>
      <c r="BA1" s="251"/>
      <c r="BB1" s="251"/>
      <c r="BC1" s="251"/>
      <c r="BD1" s="251"/>
      <c r="BE1" s="251"/>
      <c r="BF1" s="251"/>
      <c r="BG1" s="251"/>
      <c r="BH1" s="251"/>
      <c r="BI1" s="251"/>
      <c r="BJ1" s="251"/>
      <c r="BK1" s="251"/>
      <c r="BL1" s="251"/>
      <c r="BM1" s="251"/>
      <c r="BN1" s="251"/>
      <c r="BO1" s="251"/>
      <c r="BP1" s="167"/>
      <c r="BQ1" s="167"/>
      <c r="BR1" s="251"/>
      <c r="BS1" s="251"/>
      <c r="BT1" s="251"/>
      <c r="BU1" s="251"/>
      <c r="BV1" s="251"/>
      <c r="BW1" s="251"/>
      <c r="BX1" s="251"/>
      <c r="BY1" s="251"/>
      <c r="BZ1" s="251"/>
      <c r="CA1" s="251"/>
    </row>
    <row r="2" spans="1:79" s="8" customFormat="1">
      <c r="A2" s="140"/>
      <c r="B2" s="5" t="s">
        <v>81</v>
      </c>
      <c r="C2" s="97"/>
      <c r="D2" s="97"/>
      <c r="E2" s="97"/>
      <c r="F2" s="97"/>
      <c r="G2" s="97"/>
      <c r="H2" s="97"/>
      <c r="I2" s="97"/>
      <c r="J2" s="97"/>
      <c r="K2" s="97"/>
      <c r="L2" s="97"/>
      <c r="M2" s="97"/>
      <c r="N2" s="97"/>
      <c r="O2" s="97"/>
      <c r="P2" s="97"/>
      <c r="Q2" s="97"/>
      <c r="R2" s="97"/>
      <c r="S2" s="97"/>
      <c r="T2" s="97"/>
      <c r="U2" s="97"/>
      <c r="V2" s="97"/>
      <c r="W2" s="97"/>
      <c r="X2" s="97"/>
      <c r="Y2" s="97"/>
      <c r="Z2" s="97"/>
      <c r="AA2" s="97"/>
      <c r="AB2" s="97"/>
      <c r="AC2" s="97"/>
      <c r="AD2" s="97"/>
      <c r="AE2" s="97"/>
      <c r="AF2" s="97"/>
      <c r="AG2" s="97"/>
      <c r="AH2" s="97"/>
      <c r="AI2" s="251"/>
      <c r="AJ2" s="251"/>
      <c r="AK2" s="251"/>
      <c r="AL2" s="251"/>
      <c r="AM2" s="251"/>
      <c r="AN2" s="251"/>
      <c r="AO2" s="251"/>
      <c r="AP2" s="251"/>
      <c r="AQ2" s="251"/>
      <c r="AR2" s="251"/>
      <c r="AS2" s="251"/>
      <c r="AT2" s="251"/>
      <c r="AU2" s="167"/>
      <c r="AV2" s="251"/>
      <c r="AW2" s="251"/>
      <c r="AX2" s="251"/>
      <c r="AY2" s="251"/>
      <c r="AZ2" s="251"/>
      <c r="BA2" s="251"/>
      <c r="BB2" s="251"/>
      <c r="BC2" s="251"/>
      <c r="BD2" s="251"/>
      <c r="BE2" s="251"/>
      <c r="BF2" s="251"/>
      <c r="BG2" s="251"/>
      <c r="BH2" s="251"/>
      <c r="BI2" s="251"/>
      <c r="BJ2" s="251"/>
      <c r="BK2" s="251"/>
      <c r="BL2" s="251"/>
      <c r="BM2" s="251"/>
      <c r="BN2" s="251"/>
      <c r="BO2" s="251"/>
      <c r="BP2" s="167"/>
      <c r="BQ2" s="167"/>
      <c r="BR2" s="251"/>
      <c r="BS2" s="251"/>
      <c r="BT2" s="251"/>
      <c r="BU2" s="251"/>
      <c r="BV2" s="251"/>
      <c r="BW2" s="251"/>
      <c r="BX2" s="251"/>
      <c r="BY2" s="251"/>
      <c r="BZ2" s="251"/>
      <c r="CA2" s="251"/>
    </row>
    <row r="3" spans="1:79" s="8" customFormat="1">
      <c r="A3" s="140"/>
      <c r="B3" s="1" t="s">
        <v>330</v>
      </c>
      <c r="C3" s="98" t="s">
        <v>157</v>
      </c>
      <c r="D3" s="98" t="s">
        <v>158</v>
      </c>
      <c r="E3" s="98" t="s">
        <v>159</v>
      </c>
      <c r="F3" s="98" t="s">
        <v>160</v>
      </c>
      <c r="G3" s="98" t="s">
        <v>161</v>
      </c>
      <c r="H3" s="98" t="s">
        <v>162</v>
      </c>
      <c r="I3" s="98" t="s">
        <v>163</v>
      </c>
      <c r="J3" s="98" t="s">
        <v>164</v>
      </c>
      <c r="K3" s="98" t="s">
        <v>165</v>
      </c>
      <c r="L3" s="98" t="s">
        <v>166</v>
      </c>
      <c r="M3" s="98" t="s">
        <v>167</v>
      </c>
      <c r="N3" s="98" t="s">
        <v>168</v>
      </c>
      <c r="O3" s="98" t="s">
        <v>169</v>
      </c>
      <c r="P3" s="98" t="s">
        <v>170</v>
      </c>
      <c r="Q3" s="98" t="s">
        <v>171</v>
      </c>
      <c r="R3" s="98" t="s">
        <v>172</v>
      </c>
      <c r="S3" s="98" t="s">
        <v>173</v>
      </c>
      <c r="T3" s="98" t="s">
        <v>174</v>
      </c>
      <c r="U3" s="98" t="s">
        <v>175</v>
      </c>
      <c r="V3" s="98" t="s">
        <v>176</v>
      </c>
      <c r="W3" s="98" t="s">
        <v>177</v>
      </c>
      <c r="X3" s="98" t="s">
        <v>178</v>
      </c>
      <c r="Y3" s="98" t="s">
        <v>179</v>
      </c>
      <c r="Z3" s="98" t="s">
        <v>180</v>
      </c>
      <c r="AA3" s="98" t="s">
        <v>181</v>
      </c>
      <c r="AB3" s="98" t="s">
        <v>182</v>
      </c>
      <c r="AC3" s="98" t="s">
        <v>183</v>
      </c>
      <c r="AD3" s="98" t="s">
        <v>184</v>
      </c>
      <c r="AE3" s="98" t="s">
        <v>185</v>
      </c>
      <c r="AF3" s="98" t="s">
        <v>186</v>
      </c>
      <c r="AG3" s="98" t="s">
        <v>187</v>
      </c>
      <c r="AH3" s="98" t="s">
        <v>188</v>
      </c>
      <c r="AI3" s="14" t="s">
        <v>189</v>
      </c>
      <c r="AJ3" s="14" t="s">
        <v>190</v>
      </c>
      <c r="AK3" s="14" t="s">
        <v>191</v>
      </c>
      <c r="AL3" s="14" t="s">
        <v>368</v>
      </c>
      <c r="AM3" s="14" t="s">
        <v>192</v>
      </c>
      <c r="AN3" s="14" t="s">
        <v>430</v>
      </c>
      <c r="AO3" s="14" t="s">
        <v>428</v>
      </c>
      <c r="AP3" s="14" t="s">
        <v>429</v>
      </c>
      <c r="AQ3" s="14"/>
      <c r="AR3" s="14"/>
      <c r="AS3" s="14"/>
      <c r="AT3" s="14"/>
      <c r="AU3" s="167"/>
      <c r="AV3" s="14" t="s">
        <v>17</v>
      </c>
      <c r="AW3" s="14" t="s">
        <v>18</v>
      </c>
      <c r="AX3" s="14" t="s">
        <v>19</v>
      </c>
      <c r="AY3" s="14" t="s">
        <v>20</v>
      </c>
      <c r="AZ3" s="14" t="s">
        <v>21</v>
      </c>
      <c r="BA3" s="14" t="s">
        <v>22</v>
      </c>
      <c r="BB3" s="14" t="s">
        <v>23</v>
      </c>
      <c r="BC3" s="14" t="s">
        <v>24</v>
      </c>
      <c r="BD3" s="14" t="s">
        <v>25</v>
      </c>
      <c r="BE3" s="14" t="s">
        <v>26</v>
      </c>
      <c r="BF3" s="14" t="s">
        <v>27</v>
      </c>
      <c r="BG3" s="14" t="s">
        <v>28</v>
      </c>
      <c r="BH3" s="14" t="s">
        <v>29</v>
      </c>
      <c r="BI3" s="14" t="s">
        <v>30</v>
      </c>
      <c r="BJ3" s="14" t="s">
        <v>31</v>
      </c>
      <c r="BK3" s="14" t="s">
        <v>32</v>
      </c>
      <c r="BL3" s="292" t="s">
        <v>33</v>
      </c>
      <c r="BM3" s="14" t="s">
        <v>34</v>
      </c>
      <c r="BN3" s="14" t="s">
        <v>37</v>
      </c>
      <c r="BO3" s="14" t="s">
        <v>38</v>
      </c>
      <c r="BP3" s="14"/>
      <c r="BQ3" s="14"/>
      <c r="BR3" s="14" t="s">
        <v>8</v>
      </c>
      <c r="BS3" s="14" t="s">
        <v>9</v>
      </c>
      <c r="BT3" s="14" t="s">
        <v>10</v>
      </c>
      <c r="BU3" s="292" t="s">
        <v>11</v>
      </c>
      <c r="BV3" s="14" t="s">
        <v>12</v>
      </c>
      <c r="BW3" s="14" t="s">
        <v>13</v>
      </c>
      <c r="BX3" s="14" t="s">
        <v>14</v>
      </c>
      <c r="BY3" s="14" t="s">
        <v>15</v>
      </c>
      <c r="BZ3" s="292" t="s">
        <v>16</v>
      </c>
      <c r="CA3" s="292" t="s">
        <v>35</v>
      </c>
    </row>
    <row r="4" spans="1:79" s="8" customFormat="1">
      <c r="A4" s="140"/>
      <c r="B4" s="97" t="s">
        <v>156</v>
      </c>
      <c r="C4" s="97">
        <v>14</v>
      </c>
      <c r="D4" s="97">
        <v>13</v>
      </c>
      <c r="E4" s="97">
        <v>13</v>
      </c>
      <c r="F4" s="97">
        <v>12</v>
      </c>
      <c r="G4" s="97">
        <v>14</v>
      </c>
      <c r="H4" s="97">
        <v>13</v>
      </c>
      <c r="I4" s="97">
        <v>13</v>
      </c>
      <c r="J4" s="97">
        <v>12</v>
      </c>
      <c r="K4" s="97">
        <v>14</v>
      </c>
      <c r="L4" s="97">
        <v>13</v>
      </c>
      <c r="M4" s="97">
        <v>13</v>
      </c>
      <c r="N4" s="97">
        <v>12</v>
      </c>
      <c r="O4" s="97">
        <v>14</v>
      </c>
      <c r="P4" s="97">
        <v>13</v>
      </c>
      <c r="Q4" s="97">
        <v>13</v>
      </c>
      <c r="R4" s="97">
        <v>12</v>
      </c>
      <c r="S4" s="97">
        <v>14</v>
      </c>
      <c r="T4" s="97">
        <v>13</v>
      </c>
      <c r="U4" s="97">
        <v>13</v>
      </c>
      <c r="V4" s="97">
        <v>12</v>
      </c>
      <c r="W4" s="97">
        <v>14</v>
      </c>
      <c r="X4" s="97">
        <v>13</v>
      </c>
      <c r="Y4" s="97">
        <v>13</v>
      </c>
      <c r="Z4" s="97">
        <v>12</v>
      </c>
      <c r="AA4" s="97">
        <v>14</v>
      </c>
      <c r="AB4" s="97">
        <v>13</v>
      </c>
      <c r="AC4" s="97">
        <v>13</v>
      </c>
      <c r="AD4" s="97">
        <v>12</v>
      </c>
      <c r="AE4" s="97">
        <v>14</v>
      </c>
      <c r="AF4" s="97">
        <v>13</v>
      </c>
      <c r="AG4" s="97">
        <v>13</v>
      </c>
      <c r="AH4" s="97">
        <v>13</v>
      </c>
      <c r="AI4" s="251">
        <v>14</v>
      </c>
      <c r="AJ4" s="251">
        <v>13</v>
      </c>
      <c r="AK4" s="251">
        <v>13</v>
      </c>
      <c r="AL4" s="251">
        <v>12</v>
      </c>
      <c r="AM4" s="251">
        <v>14</v>
      </c>
      <c r="AN4" s="251">
        <v>13</v>
      </c>
      <c r="AO4" s="251">
        <v>13</v>
      </c>
      <c r="AP4" s="251">
        <v>12</v>
      </c>
      <c r="AQ4" s="251">
        <v>14</v>
      </c>
      <c r="AR4" s="251">
        <v>13</v>
      </c>
      <c r="AS4" s="251">
        <v>13</v>
      </c>
      <c r="AT4" s="251">
        <v>12</v>
      </c>
      <c r="AU4" s="167"/>
      <c r="AV4" s="251">
        <f>D4+C4</f>
        <v>27</v>
      </c>
      <c r="AW4" s="251">
        <f>F4+E4</f>
        <v>25</v>
      </c>
      <c r="AX4" s="251">
        <f>H4+G4</f>
        <v>27</v>
      </c>
      <c r="AY4" s="251">
        <f>J4+I4</f>
        <v>25</v>
      </c>
      <c r="AZ4" s="251">
        <f>L4+K4</f>
        <v>27</v>
      </c>
      <c r="BA4" s="251">
        <f>N4+M4</f>
        <v>25</v>
      </c>
      <c r="BB4" s="251">
        <f>P4+O4</f>
        <v>27</v>
      </c>
      <c r="BC4" s="251">
        <f>R4+Q4</f>
        <v>25</v>
      </c>
      <c r="BD4" s="251">
        <f>T4+S4</f>
        <v>27</v>
      </c>
      <c r="BE4" s="251">
        <f>V4+U4</f>
        <v>25</v>
      </c>
      <c r="BF4" s="251">
        <f>X4+W4</f>
        <v>27</v>
      </c>
      <c r="BG4" s="251">
        <f>Z4+Y4</f>
        <v>25</v>
      </c>
      <c r="BH4" s="251">
        <f>AB4+AA4</f>
        <v>27</v>
      </c>
      <c r="BI4" s="251">
        <f>AD4+AC4</f>
        <v>25</v>
      </c>
      <c r="BJ4" s="251">
        <f>AF4+AE4</f>
        <v>27</v>
      </c>
      <c r="BK4" s="251">
        <f>AH4+AG4</f>
        <v>26</v>
      </c>
      <c r="BL4" s="251">
        <f>AI4+AJ4</f>
        <v>27</v>
      </c>
      <c r="BM4" s="251">
        <f>AK4+AL4</f>
        <v>25</v>
      </c>
      <c r="BN4" s="251">
        <f>AM4+AN4</f>
        <v>27</v>
      </c>
      <c r="BO4" s="251">
        <f>AO4+AP4</f>
        <v>25</v>
      </c>
      <c r="BP4" s="167"/>
      <c r="BQ4" s="167"/>
      <c r="BR4" s="251"/>
      <c r="BS4" s="251"/>
      <c r="BT4" s="251"/>
      <c r="BU4" s="251"/>
      <c r="BV4" s="251"/>
      <c r="BW4" s="251"/>
      <c r="BX4" s="251"/>
      <c r="BY4" s="251"/>
      <c r="BZ4" s="251"/>
      <c r="CA4" s="251"/>
    </row>
    <row r="5" spans="1:79">
      <c r="B5" s="72" t="s">
        <v>7</v>
      </c>
      <c r="C5" s="32"/>
      <c r="D5" s="32"/>
      <c r="E5" s="32"/>
      <c r="F5" s="32"/>
      <c r="G5" s="32"/>
      <c r="H5" s="32"/>
      <c r="I5" s="32"/>
      <c r="J5" s="32"/>
      <c r="K5" s="32"/>
      <c r="L5" s="32"/>
      <c r="M5" s="32"/>
      <c r="N5" s="32"/>
      <c r="O5" s="32"/>
      <c r="P5" s="32"/>
      <c r="Q5" s="32"/>
      <c r="R5" s="32"/>
      <c r="S5" s="32"/>
      <c r="T5" s="32"/>
      <c r="U5" s="32"/>
      <c r="V5" s="32"/>
      <c r="W5" s="32"/>
      <c r="X5" s="32"/>
      <c r="Y5" s="32"/>
      <c r="Z5" s="32"/>
      <c r="AA5" s="32"/>
      <c r="AB5" s="32"/>
      <c r="AC5" s="32"/>
      <c r="AD5" s="32"/>
      <c r="AE5" s="32"/>
      <c r="AF5" s="32"/>
      <c r="AG5" s="32"/>
      <c r="AH5" s="32"/>
      <c r="AI5" s="199"/>
      <c r="AJ5" s="199"/>
      <c r="AK5" s="199"/>
      <c r="AL5" s="199"/>
      <c r="AM5" s="199"/>
      <c r="AN5" s="200"/>
      <c r="AO5" s="200"/>
      <c r="AP5" s="200"/>
      <c r="AQ5" s="200"/>
      <c r="AR5" s="200"/>
      <c r="AS5" s="200"/>
      <c r="AT5" s="200"/>
      <c r="AU5" s="200"/>
      <c r="AV5" s="60"/>
      <c r="AW5" s="60"/>
      <c r="AX5" s="60"/>
      <c r="AY5" s="60"/>
      <c r="AZ5" s="60"/>
      <c r="BA5" s="60"/>
      <c r="BB5" s="60"/>
      <c r="BC5" s="60"/>
      <c r="BD5" s="60"/>
      <c r="BE5" s="60"/>
      <c r="BF5" s="60"/>
      <c r="BG5" s="60"/>
      <c r="BH5" s="60"/>
      <c r="BI5" s="60"/>
      <c r="BJ5" s="60"/>
      <c r="BK5" s="60"/>
      <c r="BL5" s="60"/>
      <c r="BM5" s="60"/>
      <c r="BN5" s="293"/>
      <c r="BO5" s="293"/>
      <c r="BP5" s="200"/>
      <c r="BQ5" s="200"/>
      <c r="BR5" s="199"/>
      <c r="BS5" s="199"/>
      <c r="BT5" s="199"/>
      <c r="BU5" s="199"/>
      <c r="BV5" s="199"/>
      <c r="BW5" s="199"/>
      <c r="BX5" s="199"/>
      <c r="BY5" s="199"/>
      <c r="BZ5" s="199"/>
      <c r="CA5" s="200"/>
    </row>
    <row r="6" spans="1:79">
      <c r="A6" s="24" t="s">
        <v>355</v>
      </c>
      <c r="B6" s="16" t="s">
        <v>1</v>
      </c>
      <c r="C6" s="22">
        <v>9202</v>
      </c>
      <c r="D6" s="22">
        <v>9392</v>
      </c>
      <c r="E6" s="22">
        <v>9276</v>
      </c>
      <c r="F6" s="22">
        <v>8252</v>
      </c>
      <c r="G6" s="22">
        <v>9634</v>
      </c>
      <c r="H6" s="22">
        <v>9752</v>
      </c>
      <c r="I6" s="22">
        <v>9571</v>
      </c>
      <c r="J6" s="22">
        <v>8529</v>
      </c>
      <c r="K6" s="22">
        <v>9870</v>
      </c>
      <c r="L6" s="22">
        <v>10022</v>
      </c>
      <c r="M6" s="22">
        <v>10017</v>
      </c>
      <c r="N6" s="22">
        <v>9659</v>
      </c>
      <c r="O6" s="22">
        <v>10663</v>
      </c>
      <c r="P6" s="22">
        <v>10537</v>
      </c>
      <c r="Q6" s="22">
        <v>11171</v>
      </c>
      <c r="R6" s="22">
        <v>9780</v>
      </c>
      <c r="S6" s="22">
        <v>11808</v>
      </c>
      <c r="T6" s="22">
        <v>11180</v>
      </c>
      <c r="U6" s="22">
        <v>10778</v>
      </c>
      <c r="V6" s="22">
        <v>9500.3643254168783</v>
      </c>
      <c r="W6" s="22">
        <v>12271</v>
      </c>
      <c r="X6" s="22">
        <v>11648</v>
      </c>
      <c r="Y6" s="22">
        <v>11432</v>
      </c>
      <c r="Z6" s="22">
        <v>10389</v>
      </c>
      <c r="AA6" s="22">
        <v>12204</v>
      </c>
      <c r="AB6" s="22">
        <v>12356</v>
      </c>
      <c r="AC6" s="22">
        <v>12300</v>
      </c>
      <c r="AD6" s="22">
        <v>11187</v>
      </c>
      <c r="AE6" s="22">
        <v>13102</v>
      </c>
      <c r="AF6" s="22">
        <v>12843</v>
      </c>
      <c r="AG6" s="22">
        <v>12597</v>
      </c>
      <c r="AH6" s="22">
        <v>12281</v>
      </c>
      <c r="AI6" s="22">
        <v>13605</v>
      </c>
      <c r="AJ6" s="22">
        <v>13069</v>
      </c>
      <c r="AK6" s="22">
        <v>13060</v>
      </c>
      <c r="AL6" s="22">
        <v>11754</v>
      </c>
      <c r="AM6" s="22">
        <v>13887</v>
      </c>
      <c r="AN6" s="148">
        <f>BN6-AM6</f>
        <v>13730.811438454632</v>
      </c>
      <c r="AO6" s="148">
        <f>AK6*(1+AO24)</f>
        <v>13517.099999999999</v>
      </c>
      <c r="AP6" s="148">
        <f>BO6-AO6</f>
        <v>12215.864017230244</v>
      </c>
      <c r="AQ6" s="148"/>
      <c r="AR6" s="148"/>
      <c r="AS6" s="148"/>
      <c r="AT6" s="148"/>
      <c r="AU6" s="200"/>
      <c r="AV6" s="21">
        <f>VLOOKUP($A6,Model!$1:$1048576,MATCH(Quarterly!AV$3,Model!$3:$3,0),FALSE)</f>
        <v>18712.599999999999</v>
      </c>
      <c r="AW6" s="21">
        <f>VLOOKUP($A6,Model!$1:$1048576,MATCH(Quarterly!AW$3,Model!$3:$3,0),FALSE)</f>
        <v>17123.400000000001</v>
      </c>
      <c r="AX6" s="21">
        <f>VLOOKUP($A6,Model!$1:$1048576,MATCH(Quarterly!AX$3,Model!$3:$3,0),FALSE)</f>
        <v>19436</v>
      </c>
      <c r="AY6" s="21">
        <f>VLOOKUP($A6,Model!$1:$1048576,MATCH(Quarterly!AY$3,Model!$3:$3,0),FALSE)</f>
        <v>18153</v>
      </c>
      <c r="AZ6" s="21">
        <f>VLOOKUP($A6,Model!$1:$1048576,MATCH(Quarterly!AZ$3,Model!$3:$3,0),FALSE)</f>
        <v>19928</v>
      </c>
      <c r="BA6" s="21">
        <f>VLOOKUP($A6,Model!$1:$1048576,MATCH(Quarterly!BA$3,Model!$3:$3,0),FALSE)</f>
        <v>19707</v>
      </c>
      <c r="BB6" s="21">
        <f>VLOOKUP($A6,Model!$1:$1048576,MATCH(Quarterly!BB$3,Model!$3:$3,0),FALSE)</f>
        <v>21200</v>
      </c>
      <c r="BC6" s="21">
        <f>VLOOKUP($A6,Model!$1:$1048576,MATCH(Quarterly!BC$3,Model!$3:$3,0),FALSE)</f>
        <v>20951</v>
      </c>
      <c r="BD6" s="21">
        <f>VLOOKUP($A6,Model!$1:$1048576,MATCH(Quarterly!BD$3,Model!$3:$3,0),FALSE)</f>
        <v>22988</v>
      </c>
      <c r="BE6" s="21">
        <f>VLOOKUP($A6,Model!$1:$1048576,MATCH(Quarterly!BE$3,Model!$3:$3,0),FALSE)</f>
        <v>20758</v>
      </c>
      <c r="BF6" s="21">
        <f>VLOOKUP($A6,Model!$1:$1048576,MATCH(Quarterly!BF$3,Model!$3:$3,0),FALSE)</f>
        <v>23780</v>
      </c>
      <c r="BG6" s="21">
        <f>VLOOKUP($A6,Model!$1:$1048576,MATCH(Quarterly!BG$3,Model!$3:$3,0),FALSE)</f>
        <v>21960</v>
      </c>
      <c r="BH6" s="21">
        <f>VLOOKUP($A6,Model!$1:$1048576,MATCH(Quarterly!BH$3,Model!$3:$3,0),FALSE)</f>
        <v>24385</v>
      </c>
      <c r="BI6" s="21">
        <f>VLOOKUP($A6,Model!$1:$1048576,MATCH(Quarterly!BI$3,Model!$3:$3,0),FALSE)</f>
        <v>23662</v>
      </c>
      <c r="BJ6" s="21">
        <f>VLOOKUP($A6,Model!$1:$1048576,MATCH(Quarterly!BJ$3,Model!$3:$3,0),FALSE)</f>
        <v>25945</v>
      </c>
      <c r="BK6" s="21">
        <f>VLOOKUP($A6,Model!$1:$1048576,MATCH(Quarterly!BK$3,Model!$3:$3,0),FALSE)</f>
        <v>24878</v>
      </c>
      <c r="BL6" s="21">
        <f>VLOOKUP($A6,Model!$1:$1048576,MATCH(Quarterly!BL$3,Model!$3:$3,0),FALSE)</f>
        <v>26674</v>
      </c>
      <c r="BM6" s="21">
        <f>VLOOKUP($A6,Model!$1:$1048576,MATCH(Quarterly!BM$3,Model!$3:$3,0),FALSE)</f>
        <v>24814</v>
      </c>
      <c r="BN6" s="148">
        <f>VLOOKUP($A6,Model!$1:$1048576,MATCH(Quarterly!BN$3,Model!$3:$3,0),FALSE)</f>
        <v>27617.811438454632</v>
      </c>
      <c r="BO6" s="148">
        <f>VLOOKUP($A6,Model!$1:$1048576,MATCH(Quarterly!BO$3,Model!$3:$3,0),FALSE)</f>
        <v>25732.964017230242</v>
      </c>
      <c r="BP6" s="204"/>
      <c r="BQ6" s="204"/>
      <c r="BR6" s="21">
        <f>VLOOKUP($A6,Model!$1:$1048576,MATCH(Quarterly!BR$3,Model!$3:$3,0),FALSE)</f>
        <v>35836</v>
      </c>
      <c r="BS6" s="21">
        <f>VLOOKUP($A6,Model!$1:$1048576,MATCH(Quarterly!BS$3,Model!$3:$3,0),FALSE)</f>
        <v>37589</v>
      </c>
      <c r="BT6" s="21">
        <f>VLOOKUP($A6,Model!$1:$1048576,MATCH(Quarterly!BT$3,Model!$3:$3,0),FALSE)</f>
        <v>39635</v>
      </c>
      <c r="BU6" s="21">
        <f>VLOOKUP($A6,Model!$1:$1048576,MATCH(Quarterly!BU$3,Model!$3:$3,0),FALSE)</f>
        <v>42151</v>
      </c>
      <c r="BV6" s="21">
        <f>VLOOKUP($A6,Model!$1:$1048576,MATCH(Quarterly!BV$3,Model!$3:$3,0),FALSE)</f>
        <v>43746</v>
      </c>
      <c r="BW6" s="21">
        <f>VLOOKUP($A6,Model!$1:$1048576,MATCH(Quarterly!BW$3,Model!$3:$3,0),FALSE)</f>
        <v>45740</v>
      </c>
      <c r="BX6" s="21">
        <f>VLOOKUP($A6,Model!$1:$1048576,MATCH(Quarterly!BX$3,Model!$3:$3,0),FALSE)</f>
        <v>48047</v>
      </c>
      <c r="BY6" s="21">
        <f>VLOOKUP($A6,Model!$1:$1048576,MATCH(Quarterly!BY$3,Model!$3:$3,0),FALSE)</f>
        <v>50823</v>
      </c>
      <c r="BZ6" s="21">
        <f>VLOOKUP($A6,Model!$1:$1048576,MATCH(Quarterly!BZ$3,Model!$3:$3,0),FALSE)</f>
        <v>51488</v>
      </c>
      <c r="CA6" s="148">
        <f>VLOOKUP($A6,Model!$1:$1048576,MATCH(Quarterly!CA$3,Model!$3:$3,0),FALSE)</f>
        <v>53350.775455684874</v>
      </c>
    </row>
    <row r="7" spans="1:79">
      <c r="A7" s="24" t="s">
        <v>406</v>
      </c>
      <c r="B7" s="16" t="s">
        <v>390</v>
      </c>
      <c r="C7" s="22"/>
      <c r="D7" s="22"/>
      <c r="E7" s="22"/>
      <c r="F7" s="22"/>
      <c r="G7" s="22"/>
      <c r="H7" s="22"/>
      <c r="I7" s="22"/>
      <c r="J7" s="22"/>
      <c r="K7" s="22"/>
      <c r="L7" s="22"/>
      <c r="M7" s="22"/>
      <c r="N7" s="22"/>
      <c r="O7" s="22"/>
      <c r="P7" s="22"/>
      <c r="Q7" s="22"/>
      <c r="R7" s="22"/>
      <c r="S7" s="22">
        <v>321</v>
      </c>
      <c r="T7" s="22">
        <v>310</v>
      </c>
      <c r="U7" s="22">
        <v>314</v>
      </c>
      <c r="V7" s="22">
        <v>229.63567458312264</v>
      </c>
      <c r="W7" s="22">
        <v>952</v>
      </c>
      <c r="X7" s="22">
        <v>1027</v>
      </c>
      <c r="Y7" s="22">
        <v>995</v>
      </c>
      <c r="Z7" s="22">
        <v>710</v>
      </c>
      <c r="AA7" s="22">
        <v>1199</v>
      </c>
      <c r="AB7" s="22">
        <v>1059</v>
      </c>
      <c r="AC7" s="22">
        <v>1159</v>
      </c>
      <c r="AD7" s="22">
        <v>907</v>
      </c>
      <c r="AE7" s="22">
        <v>1378</v>
      </c>
      <c r="AF7" s="22">
        <v>1450</v>
      </c>
      <c r="AG7" s="22">
        <v>1352</v>
      </c>
      <c r="AH7" s="22">
        <v>1414</v>
      </c>
      <c r="AI7" s="22">
        <v>1473</v>
      </c>
      <c r="AJ7" s="22">
        <v>1509</v>
      </c>
      <c r="AK7" s="22">
        <v>1438</v>
      </c>
      <c r="AL7" s="22">
        <v>1323</v>
      </c>
      <c r="AM7" s="22">
        <v>1565</v>
      </c>
      <c r="AN7" s="148">
        <f t="shared" ref="AN7:AN12" si="0">BN7-AM7</f>
        <v>1536.2800000000002</v>
      </c>
      <c r="AO7" s="148">
        <f>AK7*(1+AO25)</f>
        <v>1466.76</v>
      </c>
      <c r="AP7" s="148">
        <f t="shared" ref="AP7:AP12" si="1">BO7-AO7</f>
        <v>1375.964999999999</v>
      </c>
      <c r="AQ7" s="148"/>
      <c r="AR7" s="148"/>
      <c r="AS7" s="148"/>
      <c r="AT7" s="148"/>
      <c r="AU7" s="200"/>
      <c r="AV7" s="21"/>
      <c r="AW7" s="21"/>
      <c r="AX7" s="21"/>
      <c r="AY7" s="21"/>
      <c r="AZ7" s="21"/>
      <c r="BA7" s="21"/>
      <c r="BB7" s="21"/>
      <c r="BC7" s="21"/>
      <c r="BD7" s="21">
        <f>VLOOKUP($A7,Model!$1:$1048576,MATCH(Quarterly!BD$3,Model!$3:$3,0),FALSE)</f>
        <v>631</v>
      </c>
      <c r="BE7" s="21">
        <f>VLOOKUP($A7,Model!$1:$1048576,MATCH(Quarterly!BE$3,Model!$3:$3,0),FALSE)</f>
        <v>354</v>
      </c>
      <c r="BF7" s="21">
        <f>VLOOKUP($A7,Model!$1:$1048576,MATCH(Quarterly!BF$3,Model!$3:$3,0),FALSE)</f>
        <v>1979</v>
      </c>
      <c r="BG7" s="21">
        <f>VLOOKUP($A7,Model!$1:$1048576,MATCH(Quarterly!BG$3,Model!$3:$3,0),FALSE)</f>
        <v>1705</v>
      </c>
      <c r="BH7" s="21">
        <f>VLOOKUP($A7,Model!$1:$1048576,MATCH(Quarterly!BH$3,Model!$3:$3,0),FALSE)</f>
        <v>2433</v>
      </c>
      <c r="BI7" s="21">
        <f>VLOOKUP($A7,Model!$1:$1048576,MATCH(Quarterly!BI$3,Model!$3:$3,0),FALSE)</f>
        <v>1891</v>
      </c>
      <c r="BJ7" s="21">
        <f>VLOOKUP($A7,Model!$1:$1048576,MATCH(Quarterly!BJ$3,Model!$3:$3,0),FALSE)</f>
        <v>2828</v>
      </c>
      <c r="BK7" s="21">
        <f>VLOOKUP($A7,Model!$1:$1048576,MATCH(Quarterly!BK$3,Model!$3:$3,0),FALSE)</f>
        <v>2766</v>
      </c>
      <c r="BL7" s="21">
        <f>VLOOKUP($A7,Model!$1:$1048576,MATCH(Quarterly!BL$3,Model!$3:$3,0),FALSE)</f>
        <v>2982</v>
      </c>
      <c r="BM7" s="21">
        <f>VLOOKUP($A7,Model!$1:$1048576,MATCH(Quarterly!BM$3,Model!$3:$3,0),FALSE)</f>
        <v>2761</v>
      </c>
      <c r="BN7" s="148">
        <f>VLOOKUP($A7,Model!$1:$1048576,MATCH(Quarterly!BN$3,Model!$3:$3,0),FALSE)</f>
        <v>3101.28</v>
      </c>
      <c r="BO7" s="148">
        <f>VLOOKUP($A7,Model!$1:$1048576,MATCH(Quarterly!BO$3,Model!$3:$3,0),FALSE)</f>
        <v>2842.724999999999</v>
      </c>
      <c r="BP7" s="204"/>
      <c r="BQ7" s="204"/>
      <c r="BR7" s="21"/>
      <c r="BS7" s="21"/>
      <c r="BT7" s="21"/>
      <c r="BU7" s="21"/>
      <c r="BV7" s="21">
        <f>VLOOKUP($A7,Model!$1:$1048576,MATCH(Quarterly!BV$3,Model!$3:$3,0),FALSE)</f>
        <v>985</v>
      </c>
      <c r="BW7" s="21">
        <f>VLOOKUP($A7,Model!$1:$1048576,MATCH(Quarterly!BW$3,Model!$3:$3,0),FALSE)</f>
        <v>3684</v>
      </c>
      <c r="BX7" s="21">
        <f>VLOOKUP($A7,Model!$1:$1048576,MATCH(Quarterly!BX$3,Model!$3:$3,0),FALSE)</f>
        <v>4324</v>
      </c>
      <c r="BY7" s="21">
        <f>VLOOKUP($A7,Model!$1:$1048576,MATCH(Quarterly!BY$3,Model!$3:$3,0),FALSE)</f>
        <v>5594</v>
      </c>
      <c r="BZ7" s="21">
        <f>VLOOKUP($A7,Model!$1:$1048576,MATCH(Quarterly!BZ$3,Model!$3:$3,0),FALSE)</f>
        <v>5743</v>
      </c>
      <c r="CA7" s="148">
        <f>VLOOKUP($A7,Model!$1:$1048576,MATCH(Quarterly!CA$3,Model!$3:$3,0),FALSE)</f>
        <v>5944.0049999999992</v>
      </c>
    </row>
    <row r="8" spans="1:79">
      <c r="A8" s="24" t="s">
        <v>357</v>
      </c>
      <c r="B8" s="16" t="s">
        <v>205</v>
      </c>
      <c r="C8" s="22">
        <v>1502</v>
      </c>
      <c r="D8" s="22">
        <v>1556</v>
      </c>
      <c r="E8" s="22">
        <v>1492</v>
      </c>
      <c r="F8" s="22">
        <v>1316</v>
      </c>
      <c r="G8" s="22">
        <v>1508</v>
      </c>
      <c r="H8" s="22">
        <v>1542</v>
      </c>
      <c r="I8" s="22">
        <v>1509</v>
      </c>
      <c r="J8" s="22">
        <v>1732</v>
      </c>
      <c r="K8" s="22">
        <v>1537</v>
      </c>
      <c r="L8" s="22">
        <v>1606</v>
      </c>
      <c r="M8" s="22">
        <v>1616</v>
      </c>
      <c r="N8" s="22">
        <v>1989</v>
      </c>
      <c r="O8" s="22">
        <v>1660</v>
      </c>
      <c r="P8" s="22">
        <v>1707</v>
      </c>
      <c r="Q8" s="22">
        <v>1856</v>
      </c>
      <c r="R8" s="22">
        <v>1600</v>
      </c>
      <c r="S8" s="22">
        <v>1738</v>
      </c>
      <c r="T8" s="22">
        <v>1727</v>
      </c>
      <c r="U8" s="22">
        <v>1667</v>
      </c>
      <c r="V8" s="22">
        <v>1520.4418176942231</v>
      </c>
      <c r="W8" s="22">
        <v>1962</v>
      </c>
      <c r="X8" s="22">
        <v>1846.2728378068957</v>
      </c>
      <c r="Y8" s="22">
        <v>1736</v>
      </c>
      <c r="Z8" s="22">
        <v>1518</v>
      </c>
      <c r="AA8" s="22">
        <v>1802</v>
      </c>
      <c r="AB8" s="22">
        <v>1901</v>
      </c>
      <c r="AC8" s="22">
        <v>1858</v>
      </c>
      <c r="AD8" s="22">
        <v>1679</v>
      </c>
      <c r="AE8" s="22">
        <v>1906</v>
      </c>
      <c r="AF8" s="22">
        <v>1952</v>
      </c>
      <c r="AG8" s="22">
        <v>1884</v>
      </c>
      <c r="AH8" s="22">
        <v>1809</v>
      </c>
      <c r="AI8" s="22">
        <v>1933</v>
      </c>
      <c r="AJ8" s="22">
        <v>1962</v>
      </c>
      <c r="AK8" s="22">
        <v>1918</v>
      </c>
      <c r="AL8" s="22">
        <v>1744</v>
      </c>
      <c r="AM8" s="22">
        <v>1980</v>
      </c>
      <c r="AN8" s="148">
        <f t="shared" si="0"/>
        <v>1936.747527841781</v>
      </c>
      <c r="AO8" s="148">
        <f>AO84/AO88</f>
        <v>1896.9913043478261</v>
      </c>
      <c r="AP8" s="148">
        <f t="shared" si="1"/>
        <v>1696.8235571909261</v>
      </c>
      <c r="AQ8" s="148"/>
      <c r="AR8" s="148"/>
      <c r="AS8" s="148"/>
      <c r="AT8" s="148"/>
      <c r="AU8" s="200"/>
      <c r="AV8" s="21">
        <f>VLOOKUP($A8,Model!$1:$1048576,MATCH(Quarterly!AV$3,Model!$3:$3,0),FALSE)</f>
        <v>3068.9</v>
      </c>
      <c r="AW8" s="21">
        <f>VLOOKUP($A8,Model!$1:$1048576,MATCH(Quarterly!AW$3,Model!$3:$3,0),FALSE)</f>
        <v>2774.1</v>
      </c>
      <c r="AX8" s="21">
        <f>VLOOKUP($A8,Model!$1:$1048576,MATCH(Quarterly!AX$3,Model!$3:$3,0),FALSE)</f>
        <v>3060</v>
      </c>
      <c r="AY8" s="21">
        <f>VLOOKUP($A8,Model!$1:$1048576,MATCH(Quarterly!AY$3,Model!$3:$3,0),FALSE)</f>
        <v>2838</v>
      </c>
      <c r="AZ8" s="21">
        <f>VLOOKUP($A8,Model!$1:$1048576,MATCH(Quarterly!AZ$3,Model!$3:$3,0),FALSE)</f>
        <v>3143</v>
      </c>
      <c r="BA8" s="21">
        <f>VLOOKUP($A8,Model!$1:$1048576,MATCH(Quarterly!BA$3,Model!$3:$3,0),FALSE)</f>
        <v>3148</v>
      </c>
      <c r="BB8" s="21">
        <f>VLOOKUP($A8,Model!$1:$1048576,MATCH(Quarterly!BB$3,Model!$3:$3,0),FALSE)</f>
        <v>3367</v>
      </c>
      <c r="BC8" s="21">
        <f>VLOOKUP($A8,Model!$1:$1048576,MATCH(Quarterly!BC$3,Model!$3:$3,0),FALSE)</f>
        <v>3456</v>
      </c>
      <c r="BD8" s="21">
        <f>VLOOKUP($A8,Model!$1:$1048576,MATCH(Quarterly!BD$3,Model!$3:$3,0),FALSE)</f>
        <v>3465</v>
      </c>
      <c r="BE8" s="21">
        <f>VLOOKUP($A8,Model!$1:$1048576,MATCH(Quarterly!BE$3,Model!$3:$3,0),FALSE)</f>
        <v>3187</v>
      </c>
      <c r="BF8" s="21">
        <f>VLOOKUP($A8,Model!$1:$1048576,MATCH(Quarterly!BF$3,Model!$3:$3,0),FALSE)</f>
        <v>3838</v>
      </c>
      <c r="BG8" s="21">
        <f>VLOOKUP($A8,Model!$1:$1048576,MATCH(Quarterly!BG$3,Model!$3:$3,0),FALSE)</f>
        <v>3254</v>
      </c>
      <c r="BH8" s="21">
        <f>VLOOKUP($A8,Model!$1:$1048576,MATCH(Quarterly!BH$3,Model!$3:$3,0),FALSE)</f>
        <v>3703</v>
      </c>
      <c r="BI8" s="21">
        <f>VLOOKUP($A8,Model!$1:$1048576,MATCH(Quarterly!BI$3,Model!$3:$3,0),FALSE)</f>
        <v>3537</v>
      </c>
      <c r="BJ8" s="21">
        <f>VLOOKUP($A8,Model!$1:$1048576,MATCH(Quarterly!BJ$3,Model!$3:$3,0),FALSE)</f>
        <v>3858</v>
      </c>
      <c r="BK8" s="21">
        <f>VLOOKUP($A8,Model!$1:$1048576,MATCH(Quarterly!BK$3,Model!$3:$3,0),FALSE)</f>
        <v>3693</v>
      </c>
      <c r="BL8" s="21">
        <f>VLOOKUP($A8,Model!$1:$1048576,MATCH(Quarterly!BL$3,Model!$3:$3,0),FALSE)</f>
        <v>3895</v>
      </c>
      <c r="BM8" s="21">
        <f>VLOOKUP($A8,Model!$1:$1048576,MATCH(Quarterly!BM$3,Model!$3:$3,0),FALSE)</f>
        <v>3662</v>
      </c>
      <c r="BN8" s="148">
        <f>VLOOKUP($A8,Model!$1:$1048576,MATCH(Quarterly!BN$3,Model!$3:$3,0),FALSE)</f>
        <v>3916.747527841781</v>
      </c>
      <c r="BO8" s="148">
        <f>VLOOKUP($A8,Model!$1:$1048576,MATCH(Quarterly!BO$3,Model!$3:$3,0),FALSE)</f>
        <v>3593.8148615387522</v>
      </c>
      <c r="BP8" s="204"/>
      <c r="BQ8" s="204"/>
      <c r="BR8" s="21">
        <f>VLOOKUP($A8,Model!$1:$1048576,MATCH(Quarterly!BR$3,Model!$3:$3,0),FALSE)</f>
        <v>5843</v>
      </c>
      <c r="BS8" s="21">
        <f>VLOOKUP($A8,Model!$1:$1048576,MATCH(Quarterly!BS$3,Model!$3:$3,0),FALSE)</f>
        <v>5898</v>
      </c>
      <c r="BT8" s="21">
        <f>VLOOKUP($A8,Model!$1:$1048576,MATCH(Quarterly!BT$3,Model!$3:$3,0),FALSE)</f>
        <v>6291</v>
      </c>
      <c r="BU8" s="21">
        <f>VLOOKUP($A8,Model!$1:$1048576,MATCH(Quarterly!BU$3,Model!$3:$3,0),FALSE)</f>
        <v>6823</v>
      </c>
      <c r="BV8" s="21">
        <f>VLOOKUP($A8,Model!$1:$1048576,MATCH(Quarterly!BV$3,Model!$3:$3,0),FALSE)</f>
        <v>6652</v>
      </c>
      <c r="BW8" s="21">
        <f>VLOOKUP($A8,Model!$1:$1048576,MATCH(Quarterly!BW$3,Model!$3:$3,0),FALSE)</f>
        <v>7092</v>
      </c>
      <c r="BX8" s="21">
        <f>VLOOKUP($A8,Model!$1:$1048576,MATCH(Quarterly!BX$3,Model!$3:$3,0),FALSE)</f>
        <v>7240</v>
      </c>
      <c r="BY8" s="21">
        <f>VLOOKUP($A8,Model!$1:$1048576,MATCH(Quarterly!BY$3,Model!$3:$3,0),FALSE)</f>
        <v>7551</v>
      </c>
      <c r="BZ8" s="21">
        <f>VLOOKUP($A8,Model!$1:$1048576,MATCH(Quarterly!BZ$3,Model!$3:$3,0),FALSE)</f>
        <v>7557</v>
      </c>
      <c r="CA8" s="148">
        <f>VLOOKUP($A8,Model!$1:$1048576,MATCH(Quarterly!CA$3,Model!$3:$3,0),FALSE)</f>
        <v>7510.5623893805332</v>
      </c>
    </row>
    <row r="9" spans="1:79">
      <c r="A9" s="24" t="s">
        <v>358</v>
      </c>
      <c r="B9" s="16" t="s">
        <v>76</v>
      </c>
      <c r="C9" s="22">
        <v>868</v>
      </c>
      <c r="D9" s="22">
        <v>1170</v>
      </c>
      <c r="E9" s="22">
        <v>757</v>
      </c>
      <c r="F9" s="22">
        <v>780</v>
      </c>
      <c r="G9" s="22">
        <v>890</v>
      </c>
      <c r="H9" s="22">
        <v>1147</v>
      </c>
      <c r="I9" s="22">
        <v>770</v>
      </c>
      <c r="J9" s="22">
        <v>759</v>
      </c>
      <c r="K9" s="22">
        <v>902</v>
      </c>
      <c r="L9" s="22">
        <v>1189</v>
      </c>
      <c r="M9" s="22">
        <v>791</v>
      </c>
      <c r="N9" s="22">
        <v>915</v>
      </c>
      <c r="O9" s="22">
        <v>926</v>
      </c>
      <c r="P9" s="22">
        <v>1223</v>
      </c>
      <c r="Q9" s="22">
        <v>866</v>
      </c>
      <c r="R9" s="22">
        <v>1091</v>
      </c>
      <c r="S9" s="22">
        <v>1115</v>
      </c>
      <c r="T9" s="22">
        <v>1466</v>
      </c>
      <c r="U9" s="22">
        <v>1024</v>
      </c>
      <c r="V9" s="22">
        <v>978</v>
      </c>
      <c r="W9" s="22">
        <v>920</v>
      </c>
      <c r="X9" s="22">
        <v>1428</v>
      </c>
      <c r="Y9" s="22">
        <v>989</v>
      </c>
      <c r="Z9" s="22">
        <v>1094</v>
      </c>
      <c r="AA9" s="22">
        <v>1197</v>
      </c>
      <c r="AB9" s="22">
        <v>1511</v>
      </c>
      <c r="AC9" s="22">
        <v>1046</v>
      </c>
      <c r="AD9" s="22">
        <v>1031</v>
      </c>
      <c r="AE9" s="22">
        <v>1160</v>
      </c>
      <c r="AF9" s="22">
        <v>1496</v>
      </c>
      <c r="AG9" s="22">
        <v>1253</v>
      </c>
      <c r="AH9" s="22">
        <v>1311</v>
      </c>
      <c r="AI9" s="22">
        <v>1346</v>
      </c>
      <c r="AJ9" s="22">
        <v>1715</v>
      </c>
      <c r="AK9" s="22">
        <v>1210</v>
      </c>
      <c r="AL9" s="22">
        <v>1326</v>
      </c>
      <c r="AM9" s="22">
        <v>1390</v>
      </c>
      <c r="AN9" s="148">
        <f t="shared" si="0"/>
        <v>1698.3720000000003</v>
      </c>
      <c r="AO9" s="148">
        <f>AO126</f>
        <v>1244.1400000000001</v>
      </c>
      <c r="AP9" s="148">
        <f t="shared" si="1"/>
        <v>1298.2937872340419</v>
      </c>
      <c r="AQ9" s="148"/>
      <c r="AR9" s="148"/>
      <c r="AS9" s="148"/>
      <c r="AT9" s="148"/>
      <c r="AU9" s="200"/>
      <c r="AV9" s="21">
        <f>VLOOKUP($A9,Model!$1:$1048576,MATCH(Quarterly!AV$3,Model!$3:$3,0),FALSE)</f>
        <v>2050.3000000000002</v>
      </c>
      <c r="AW9" s="21">
        <f>VLOOKUP($A9,Model!$1:$1048576,MATCH(Quarterly!AW$3,Model!$3:$3,0),FALSE)</f>
        <v>1547.6999999999998</v>
      </c>
      <c r="AX9" s="21">
        <f>VLOOKUP($A9,Model!$1:$1048576,MATCH(Quarterly!AX$3,Model!$3:$3,0),FALSE)</f>
        <v>2037</v>
      </c>
      <c r="AY9" s="21">
        <f>VLOOKUP($A9,Model!$1:$1048576,MATCH(Quarterly!AY$3,Model!$3:$3,0),FALSE)</f>
        <v>1529</v>
      </c>
      <c r="AZ9" s="21">
        <f>VLOOKUP($A9,Model!$1:$1048576,MATCH(Quarterly!AZ$3,Model!$3:$3,0),FALSE)</f>
        <v>2091</v>
      </c>
      <c r="BA9" s="21">
        <f>VLOOKUP($A9,Model!$1:$1048576,MATCH(Quarterly!BA$3,Model!$3:$3,0),FALSE)</f>
        <v>1706</v>
      </c>
      <c r="BB9" s="21">
        <f>VLOOKUP($A9,Model!$1:$1048576,MATCH(Quarterly!BB$3,Model!$3:$3,0),FALSE)</f>
        <v>2149</v>
      </c>
      <c r="BC9" s="21">
        <f>VLOOKUP($A9,Model!$1:$1048576,MATCH(Quarterly!BC$3,Model!$3:$3,0),FALSE)</f>
        <v>1957</v>
      </c>
      <c r="BD9" s="21">
        <f>VLOOKUP($A9,Model!$1:$1048576,MATCH(Quarterly!BD$3,Model!$3:$3,0),FALSE)</f>
        <v>2581</v>
      </c>
      <c r="BE9" s="21">
        <f>VLOOKUP($A9,Model!$1:$1048576,MATCH(Quarterly!BE$3,Model!$3:$3,0),FALSE)</f>
        <v>2002</v>
      </c>
      <c r="BF9" s="21">
        <f>VLOOKUP($A9,Model!$1:$1048576,MATCH(Quarterly!BF$3,Model!$3:$3,0),FALSE)</f>
        <v>2348</v>
      </c>
      <c r="BG9" s="21">
        <f>VLOOKUP($A9,Model!$1:$1048576,MATCH(Quarterly!BG$3,Model!$3:$3,0),FALSE)</f>
        <v>2083</v>
      </c>
      <c r="BH9" s="21">
        <f>VLOOKUP($A9,Model!$1:$1048576,MATCH(Quarterly!BH$3,Model!$3:$3,0),FALSE)</f>
        <v>2708</v>
      </c>
      <c r="BI9" s="21">
        <f>VLOOKUP($A9,Model!$1:$1048576,MATCH(Quarterly!BI$3,Model!$3:$3,0),FALSE)</f>
        <v>2077</v>
      </c>
      <c r="BJ9" s="21">
        <f>VLOOKUP($A9,Model!$1:$1048576,MATCH(Quarterly!BJ$3,Model!$3:$3,0),FALSE)</f>
        <v>2656</v>
      </c>
      <c r="BK9" s="21">
        <f>VLOOKUP($A9,Model!$1:$1048576,MATCH(Quarterly!BK$3,Model!$3:$3,0),FALSE)</f>
        <v>2564</v>
      </c>
      <c r="BL9" s="21">
        <f>VLOOKUP($A9,Model!$1:$1048576,MATCH(Quarterly!BL$3,Model!$3:$3,0),FALSE)</f>
        <v>3061</v>
      </c>
      <c r="BM9" s="21">
        <f>VLOOKUP($A9,Model!$1:$1048576,MATCH(Quarterly!BM$3,Model!$3:$3,0),FALSE)</f>
        <v>2536</v>
      </c>
      <c r="BN9" s="148">
        <f>VLOOKUP($A9,Model!$1:$1048576,MATCH(Quarterly!BN$3,Model!$3:$3,0),FALSE)</f>
        <v>3088.3720000000003</v>
      </c>
      <c r="BO9" s="148">
        <f>VLOOKUP($A9,Model!$1:$1048576,MATCH(Quarterly!BO$3,Model!$3:$3,0),FALSE)</f>
        <v>2542.433787234042</v>
      </c>
      <c r="BP9" s="204"/>
      <c r="BQ9" s="204"/>
      <c r="BR9" s="21">
        <f>VLOOKUP($A9,Model!$1:$1048576,MATCH(Quarterly!BR$3,Model!$3:$3,0),FALSE)</f>
        <v>3542</v>
      </c>
      <c r="BS9" s="21">
        <f>VLOOKUP($A9,Model!$1:$1048576,MATCH(Quarterly!BS$3,Model!$3:$3,0),FALSE)</f>
        <v>3566</v>
      </c>
      <c r="BT9" s="21">
        <f>VLOOKUP($A9,Model!$1:$1048576,MATCH(Quarterly!BT$3,Model!$3:$3,0),FALSE)</f>
        <v>3797</v>
      </c>
      <c r="BU9" s="21">
        <f>VLOOKUP($A9,Model!$1:$1048576,MATCH(Quarterly!BU$3,Model!$3:$3,0),FALSE)</f>
        <v>4106</v>
      </c>
      <c r="BV9" s="21">
        <f>VLOOKUP($A9,Model!$1:$1048576,MATCH(Quarterly!BV$3,Model!$3:$3,0),FALSE)</f>
        <v>4583</v>
      </c>
      <c r="BW9" s="21">
        <f>VLOOKUP($A9,Model!$1:$1048576,MATCH(Quarterly!BW$3,Model!$3:$3,0),FALSE)</f>
        <v>4431</v>
      </c>
      <c r="BX9" s="21">
        <f>VLOOKUP($A9,Model!$1:$1048576,MATCH(Quarterly!BX$3,Model!$3:$3,0),FALSE)</f>
        <v>4785</v>
      </c>
      <c r="BY9" s="21">
        <f>VLOOKUP($A9,Model!$1:$1048576,MATCH(Quarterly!BY$3,Model!$3:$3,0),FALSE)</f>
        <v>5220</v>
      </c>
      <c r="BZ9" s="21">
        <f>VLOOKUP($A9,Model!$1:$1048576,MATCH(Quarterly!BZ$3,Model!$3:$3,0),FALSE)</f>
        <v>5597</v>
      </c>
      <c r="CA9" s="148">
        <f>VLOOKUP($A9,Model!$1:$1048576,MATCH(Quarterly!CA$3,Model!$3:$3,0),FALSE)</f>
        <v>5630.8057872340414</v>
      </c>
    </row>
    <row r="10" spans="1:79">
      <c r="A10" s="24" t="s">
        <v>356</v>
      </c>
      <c r="B10" s="16" t="s">
        <v>5</v>
      </c>
      <c r="C10" s="21"/>
      <c r="D10" s="22"/>
      <c r="E10" s="22"/>
      <c r="F10" s="22"/>
      <c r="G10" s="22"/>
      <c r="H10" s="22"/>
      <c r="I10" s="22"/>
      <c r="J10" s="22"/>
      <c r="K10" s="22"/>
      <c r="L10" s="22"/>
      <c r="M10" s="22"/>
      <c r="N10" s="22"/>
      <c r="O10" s="22"/>
      <c r="P10" s="22"/>
      <c r="Q10" s="22"/>
      <c r="R10" s="22"/>
      <c r="S10" s="22"/>
      <c r="T10" s="22"/>
      <c r="U10" s="22">
        <v>-51.5</v>
      </c>
      <c r="V10" s="22">
        <v>-51.5</v>
      </c>
      <c r="W10" s="22">
        <v>52</v>
      </c>
      <c r="X10" s="22"/>
      <c r="Y10" s="22">
        <v>-29</v>
      </c>
      <c r="Z10" s="22">
        <v>-18</v>
      </c>
      <c r="AA10" s="22">
        <v>-36.428571428571431</v>
      </c>
      <c r="AB10" s="22">
        <v>-23.571428571428569</v>
      </c>
      <c r="AC10" s="22">
        <v>-25</v>
      </c>
      <c r="AD10" s="22">
        <v>-17</v>
      </c>
      <c r="AE10" s="22">
        <v>54</v>
      </c>
      <c r="AF10" s="22">
        <v>58</v>
      </c>
      <c r="AG10" s="44">
        <v>57</v>
      </c>
      <c r="AH10" s="22">
        <v>57</v>
      </c>
      <c r="AI10" s="22">
        <v>58</v>
      </c>
      <c r="AJ10" s="22">
        <v>62</v>
      </c>
      <c r="AK10" s="44">
        <v>59</v>
      </c>
      <c r="AL10" s="22">
        <v>67</v>
      </c>
      <c r="AM10" s="22">
        <v>66</v>
      </c>
      <c r="AN10" s="148">
        <f t="shared" si="0"/>
        <v>66</v>
      </c>
      <c r="AO10" s="148">
        <f>AJ10*(1+AK28)</f>
        <v>64.175438596491233</v>
      </c>
      <c r="AP10" s="148">
        <f t="shared" si="1"/>
        <v>74.42456140350879</v>
      </c>
      <c r="AQ10" s="148"/>
      <c r="AR10" s="148"/>
      <c r="AS10" s="148"/>
      <c r="AT10" s="148"/>
      <c r="AU10" s="200"/>
      <c r="AV10" s="21"/>
      <c r="AW10" s="21"/>
      <c r="AX10" s="21"/>
      <c r="AY10" s="21"/>
      <c r="AZ10" s="21"/>
      <c r="BA10" s="21"/>
      <c r="BB10" s="21"/>
      <c r="BC10" s="21"/>
      <c r="BD10" s="21">
        <f>VLOOKUP($A10,Model!$1:$1048576,MATCH(Quarterly!BD$3,Model!$3:$3,0),FALSE)</f>
        <v>-130</v>
      </c>
      <c r="BE10" s="21">
        <f>VLOOKUP($A10,Model!$1:$1048576,MATCH(Quarterly!BE$3,Model!$3:$3,0),FALSE)</f>
        <v>-103</v>
      </c>
      <c r="BF10" s="21">
        <f>VLOOKUP($A10,Model!$1:$1048576,MATCH(Quarterly!BF$3,Model!$3:$3,0),FALSE)</f>
        <v>-51</v>
      </c>
      <c r="BG10" s="21">
        <f>VLOOKUP($A10,Model!$1:$1048576,MATCH(Quarterly!BG$3,Model!$3:$3,0),FALSE)</f>
        <v>-47</v>
      </c>
      <c r="BH10" s="21">
        <f>VLOOKUP($A10,Model!$1:$1048576,MATCH(Quarterly!BH$3,Model!$3:$3,0),FALSE)</f>
        <v>-60</v>
      </c>
      <c r="BI10" s="21">
        <f>VLOOKUP($A10,Model!$1:$1048576,MATCH(Quarterly!BI$3,Model!$3:$3,0),FALSE)</f>
        <v>-42</v>
      </c>
      <c r="BJ10" s="21">
        <f>VLOOKUP($A10,Model!$1:$1048576,MATCH(Quarterly!BJ$3,Model!$3:$3,0),FALSE)</f>
        <v>112</v>
      </c>
      <c r="BK10" s="21">
        <f>VLOOKUP($A10,Model!$1:$1048576,MATCH(Quarterly!BK$3,Model!$3:$3,0),FALSE)</f>
        <v>114</v>
      </c>
      <c r="BL10" s="21">
        <f>VLOOKUP($A10,Model!$1:$1048576,MATCH(Quarterly!BL$3,Model!$3:$3,0),FALSE)</f>
        <v>120</v>
      </c>
      <c r="BM10" s="21">
        <f>VLOOKUP($A10,Model!$1:$1048576,MATCH(Quarterly!BM$3,Model!$3:$3,0),FALSE)</f>
        <v>126</v>
      </c>
      <c r="BN10" s="148">
        <f>VLOOKUP($A10,Model!$1:$1048576,MATCH(Quarterly!BN$3,Model!$3:$3,0),FALSE)</f>
        <v>132</v>
      </c>
      <c r="BO10" s="148">
        <f>VLOOKUP($A10,Model!$1:$1048576,MATCH(Quarterly!BO$3,Model!$3:$3,0),FALSE)</f>
        <v>138.60000000000002</v>
      </c>
      <c r="BP10" s="204"/>
      <c r="BQ10" s="204"/>
      <c r="BR10" s="21"/>
      <c r="BS10" s="21"/>
      <c r="BT10" s="21"/>
      <c r="BU10" s="21"/>
      <c r="BV10" s="21">
        <f>VLOOKUP($A10,Model!$1:$1048576,MATCH(Quarterly!BV$3,Model!$3:$3,0),FALSE)</f>
        <v>-233</v>
      </c>
      <c r="BW10" s="21">
        <f>VLOOKUP($A10,Model!$1:$1048576,MATCH(Quarterly!BW$3,Model!$3:$3,0),FALSE)</f>
        <v>-98</v>
      </c>
      <c r="BX10" s="21">
        <f>VLOOKUP($A10,Model!$1:$1048576,MATCH(Quarterly!BX$3,Model!$3:$3,0),FALSE)</f>
        <v>-102</v>
      </c>
      <c r="BY10" s="21">
        <f>VLOOKUP($A10,Model!$1:$1048576,MATCH(Quarterly!BY$3,Model!$3:$3,0),FALSE)</f>
        <v>226</v>
      </c>
      <c r="BZ10" s="21">
        <f>VLOOKUP($A10,Model!$1:$1048576,MATCH(Quarterly!BZ$3,Model!$3:$3,0),FALSE)</f>
        <v>246</v>
      </c>
      <c r="CA10" s="148">
        <f>VLOOKUP($A10,Model!$1:$1048576,MATCH(Quarterly!CA$3,Model!$3:$3,0),FALSE)</f>
        <v>270.60000000000002</v>
      </c>
    </row>
    <row r="11" spans="1:79">
      <c r="A11" s="24" t="s">
        <v>359</v>
      </c>
      <c r="B11" s="17" t="s">
        <v>6</v>
      </c>
      <c r="C11" s="22"/>
      <c r="D11" s="22"/>
      <c r="E11" s="22"/>
      <c r="F11" s="22"/>
      <c r="G11" s="22"/>
      <c r="H11" s="22"/>
      <c r="I11" s="22"/>
      <c r="J11" s="22"/>
      <c r="K11" s="22"/>
      <c r="L11" s="22"/>
      <c r="M11" s="22"/>
      <c r="N11" s="22"/>
      <c r="O11" s="22"/>
      <c r="P11" s="22"/>
      <c r="Q11" s="22"/>
      <c r="R11" s="22"/>
      <c r="S11" s="22">
        <v>-74</v>
      </c>
      <c r="T11" s="22"/>
      <c r="U11" s="22"/>
      <c r="V11" s="22"/>
      <c r="W11" s="22">
        <v>-87</v>
      </c>
      <c r="X11" s="22"/>
      <c r="Y11" s="22"/>
      <c r="Z11" s="22"/>
      <c r="AA11" s="22"/>
      <c r="AB11" s="22"/>
      <c r="AC11" s="22"/>
      <c r="AD11" s="22"/>
      <c r="AE11" s="22">
        <v>-376</v>
      </c>
      <c r="AF11" s="22">
        <v>-388</v>
      </c>
      <c r="AG11" s="22">
        <v>-371</v>
      </c>
      <c r="AH11" s="22">
        <v>-357</v>
      </c>
      <c r="AI11" s="22">
        <v>-411</v>
      </c>
      <c r="AJ11" s="22">
        <v>-391</v>
      </c>
      <c r="AK11" s="44">
        <v>-375</v>
      </c>
      <c r="AL11" s="22">
        <v>-377</v>
      </c>
      <c r="AM11" s="22">
        <v>-405</v>
      </c>
      <c r="AN11" s="148">
        <f t="shared" si="0"/>
        <v>-397</v>
      </c>
      <c r="AO11" s="148">
        <f>AK11*(1+AO29)</f>
        <v>-375</v>
      </c>
      <c r="AP11" s="148">
        <f t="shared" si="1"/>
        <v>-377</v>
      </c>
      <c r="AQ11" s="148"/>
      <c r="AR11" s="148"/>
      <c r="AS11" s="148"/>
      <c r="AT11" s="148"/>
      <c r="AU11" s="200"/>
      <c r="AV11" s="21">
        <f>VLOOKUP($A11,Model!$1:$1048576,MATCH(Quarterly!AV$3,Model!$3:$3,0),FALSE)</f>
        <v>78.900000000000006</v>
      </c>
      <c r="AW11" s="21">
        <f>VLOOKUP($A11,Model!$1:$1048576,MATCH(Quarterly!AW$3,Model!$3:$3,0),FALSE)</f>
        <v>75.099999999999994</v>
      </c>
      <c r="AX11" s="21"/>
      <c r="AY11" s="21">
        <f>VLOOKUP($A11,Model!$1:$1048576,MATCH(Quarterly!AY$3,Model!$3:$3,0),FALSE)</f>
        <v>239</v>
      </c>
      <c r="AZ11" s="21"/>
      <c r="BA11" s="21"/>
      <c r="BB11" s="21"/>
      <c r="BC11" s="21"/>
      <c r="BD11" s="21"/>
      <c r="BE11" s="21"/>
      <c r="BF11" s="21"/>
      <c r="BG11" s="21"/>
      <c r="BH11" s="21"/>
      <c r="BI11" s="21"/>
      <c r="BJ11" s="21">
        <f>VLOOKUP($A11,Model!$1:$1048576,MATCH(Quarterly!BJ$3,Model!$3:$3,0),FALSE)</f>
        <v>-764</v>
      </c>
      <c r="BK11" s="21">
        <f>VLOOKUP($A11,Model!$1:$1048576,MATCH(Quarterly!BK$3,Model!$3:$3,0),FALSE)</f>
        <v>-728</v>
      </c>
      <c r="BL11" s="21">
        <f>VLOOKUP($A11,Model!$1:$1048576,MATCH(Quarterly!BL$3,Model!$3:$3,0),FALSE)</f>
        <v>-802</v>
      </c>
      <c r="BM11" s="21">
        <f>VLOOKUP($A11,Model!$1:$1048576,MATCH(Quarterly!BM$3,Model!$3:$3,0),FALSE)</f>
        <v>-752</v>
      </c>
      <c r="BN11" s="148">
        <f>VLOOKUP($A11,Model!$1:$1048576,MATCH(Quarterly!BN$3,Model!$3:$3,0),FALSE)</f>
        <v>-802</v>
      </c>
      <c r="BO11" s="148">
        <f>VLOOKUP($A11,Model!$1:$1048576,MATCH(Quarterly!BO$3,Model!$3:$3,0),FALSE)</f>
        <v>-752</v>
      </c>
      <c r="BP11" s="204"/>
      <c r="BQ11" s="204"/>
      <c r="BR11" s="21">
        <f>VLOOKUP($A11,Model!$1:$1048576,MATCH(Quarterly!BR$3,Model!$3:$3,0),FALSE)</f>
        <v>154</v>
      </c>
      <c r="BS11" s="21">
        <f>VLOOKUP($A11,Model!$1:$1048576,MATCH(Quarterly!BS$3,Model!$3:$3,0),FALSE)</f>
        <v>239</v>
      </c>
      <c r="BT11" s="21"/>
      <c r="BU11" s="21"/>
      <c r="BV11" s="21"/>
      <c r="BW11" s="21"/>
      <c r="BX11" s="21"/>
      <c r="BY11" s="21">
        <f>VLOOKUP($A11,Model!$1:$1048576,MATCH(Quarterly!BY$3,Model!$3:$3,0),FALSE)</f>
        <v>-1492</v>
      </c>
      <c r="BZ11" s="21">
        <f>VLOOKUP($A11,Model!$1:$1048576,MATCH(Quarterly!BZ$3,Model!$3:$3,0),FALSE)</f>
        <v>-1554</v>
      </c>
      <c r="CA11" s="148">
        <f>VLOOKUP($A11,Model!$1:$1048576,MATCH(Quarterly!CA$3,Model!$3:$3,0),FALSE)</f>
        <v>-1554</v>
      </c>
    </row>
    <row r="12" spans="1:79" s="7" customFormat="1">
      <c r="A12" s="24" t="s">
        <v>256</v>
      </c>
      <c r="B12" s="338" t="s">
        <v>7</v>
      </c>
      <c r="C12" s="339">
        <v>14007</v>
      </c>
      <c r="D12" s="339">
        <v>14910</v>
      </c>
      <c r="E12" s="339">
        <v>13811</v>
      </c>
      <c r="F12" s="339">
        <v>12454</v>
      </c>
      <c r="G12" s="339">
        <v>14520</v>
      </c>
      <c r="H12" s="339">
        <v>15335</v>
      </c>
      <c r="I12" s="339">
        <v>14244</v>
      </c>
      <c r="J12" s="339">
        <v>12736</v>
      </c>
      <c r="K12" s="339">
        <v>14853</v>
      </c>
      <c r="L12" s="339">
        <v>15734</v>
      </c>
      <c r="M12" s="339">
        <v>14898</v>
      </c>
      <c r="N12" s="339">
        <v>14499</v>
      </c>
      <c r="O12" s="339">
        <v>15903</v>
      </c>
      <c r="P12" s="339">
        <v>16507</v>
      </c>
      <c r="Q12" s="339">
        <v>16495</v>
      </c>
      <c r="R12" s="339">
        <v>14770</v>
      </c>
      <c r="S12" s="339">
        <f t="shared" ref="S12:AO12" si="2">SUM(S6:S11)</f>
        <v>14908</v>
      </c>
      <c r="T12" s="339">
        <f t="shared" si="2"/>
        <v>14683</v>
      </c>
      <c r="U12" s="339">
        <f t="shared" si="2"/>
        <v>13731.5</v>
      </c>
      <c r="V12" s="339">
        <f t="shared" si="2"/>
        <v>12176.941817694224</v>
      </c>
      <c r="W12" s="339">
        <f t="shared" si="2"/>
        <v>16070</v>
      </c>
      <c r="X12" s="339">
        <f t="shared" si="2"/>
        <v>15949.272837806895</v>
      </c>
      <c r="Y12" s="339">
        <f t="shared" si="2"/>
        <v>15123</v>
      </c>
      <c r="Z12" s="339">
        <f t="shared" si="2"/>
        <v>13693</v>
      </c>
      <c r="AA12" s="339">
        <f t="shared" si="2"/>
        <v>16365.571428571429</v>
      </c>
      <c r="AB12" s="339">
        <f t="shared" si="2"/>
        <v>16803.428571428572</v>
      </c>
      <c r="AC12" s="339">
        <f t="shared" si="2"/>
        <v>16338</v>
      </c>
      <c r="AD12" s="339">
        <f t="shared" si="2"/>
        <v>14787</v>
      </c>
      <c r="AE12" s="339">
        <f t="shared" si="2"/>
        <v>17224</v>
      </c>
      <c r="AF12" s="339">
        <f t="shared" si="2"/>
        <v>17411</v>
      </c>
      <c r="AG12" s="339">
        <f t="shared" si="2"/>
        <v>16772</v>
      </c>
      <c r="AH12" s="339">
        <f t="shared" si="2"/>
        <v>16515</v>
      </c>
      <c r="AI12" s="202">
        <f t="shared" si="2"/>
        <v>18004</v>
      </c>
      <c r="AJ12" s="202">
        <f t="shared" si="2"/>
        <v>17926</v>
      </c>
      <c r="AK12" s="202">
        <f t="shared" si="2"/>
        <v>17310</v>
      </c>
      <c r="AL12" s="202">
        <f t="shared" si="2"/>
        <v>15837</v>
      </c>
      <c r="AM12" s="202">
        <f t="shared" si="2"/>
        <v>18483</v>
      </c>
      <c r="AN12" s="340">
        <f t="shared" si="0"/>
        <v>18571.210966296414</v>
      </c>
      <c r="AO12" s="202">
        <f t="shared" si="2"/>
        <v>17814.166742944315</v>
      </c>
      <c r="AP12" s="340">
        <f t="shared" si="1"/>
        <v>16284.370923058716</v>
      </c>
      <c r="AQ12" s="361"/>
      <c r="AR12" s="361"/>
      <c r="AS12" s="361"/>
      <c r="AT12" s="361"/>
      <c r="AU12" s="229"/>
      <c r="AV12" s="340">
        <f>VLOOKUP($A12,Model!$1:$1048576,MATCH(Quarterly!AV$3,Model!$3:$3,0),FALSE)</f>
        <v>29058.5</v>
      </c>
      <c r="AW12" s="340">
        <f>VLOOKUP($A12,Model!$1:$1048576,MATCH(Quarterly!AW$3,Model!$3:$3,0),FALSE)</f>
        <v>25838.5</v>
      </c>
      <c r="AX12" s="340">
        <f>VLOOKUP($A12,Model!$1:$1048576,MATCH(Quarterly!AX$3,Model!$3:$3,0),FALSE)</f>
        <v>29907</v>
      </c>
      <c r="AY12" s="340">
        <f>VLOOKUP($A12,Model!$1:$1048576,MATCH(Quarterly!AY$3,Model!$3:$3,0),FALSE)</f>
        <v>27268</v>
      </c>
      <c r="AZ12" s="340">
        <f>VLOOKUP($A12,Model!$1:$1048576,MATCH(Quarterly!AZ$3,Model!$3:$3,0),FALSE)</f>
        <v>30587</v>
      </c>
      <c r="BA12" s="340">
        <f>VLOOKUP($A12,Model!$1:$1048576,MATCH(Quarterly!BA$3,Model!$3:$3,0),FALSE)</f>
        <v>29397</v>
      </c>
      <c r="BB12" s="340">
        <f>VLOOKUP($A12,Model!$1:$1048576,MATCH(Quarterly!BB$3,Model!$3:$3,0),FALSE)</f>
        <v>32410</v>
      </c>
      <c r="BC12" s="340">
        <f>VLOOKUP($A12,Model!$1:$1048576,MATCH(Quarterly!BC$3,Model!$3:$3,0),FALSE)</f>
        <v>31265</v>
      </c>
      <c r="BD12" s="340">
        <f>VLOOKUP($A12,Model!$1:$1048576,MATCH(Quarterly!BD$3,Model!$3:$3,0),FALSE)</f>
        <v>35885</v>
      </c>
      <c r="BE12" s="340">
        <f>VLOOKUP($A12,Model!$1:$1048576,MATCH(Quarterly!BE$3,Model!$3:$3,0),FALSE)</f>
        <v>31432</v>
      </c>
      <c r="BF12" s="340">
        <f>VLOOKUP($A12,Model!$1:$1048576,MATCH(Quarterly!BF$3,Model!$3:$3,0),FALSE)</f>
        <v>31894</v>
      </c>
      <c r="BG12" s="340">
        <f>VLOOKUP($A12,Model!$1:$1048576,MATCH(Quarterly!BG$3,Model!$3:$3,0),FALSE)</f>
        <v>28955</v>
      </c>
      <c r="BH12" s="340">
        <f>VLOOKUP($A12,Model!$1:$1048576,MATCH(Quarterly!BH$3,Model!$3:$3,0),FALSE)</f>
        <v>33169</v>
      </c>
      <c r="BI12" s="340">
        <f>VLOOKUP($A12,Model!$1:$1048576,MATCH(Quarterly!BI$3,Model!$3:$3,0),FALSE)</f>
        <v>31125</v>
      </c>
      <c r="BJ12" s="340">
        <f>VLOOKUP($A12,Model!$1:$1048576,MATCH(Quarterly!BJ$3,Model!$3:$3,0),FALSE)</f>
        <v>34635</v>
      </c>
      <c r="BK12" s="340">
        <f>VLOOKUP($A12,Model!$1:$1048576,MATCH(Quarterly!BK$3,Model!$3:$3,0),FALSE)</f>
        <v>33287</v>
      </c>
      <c r="BL12" s="340">
        <f>VLOOKUP($A12,Model!$1:$1048576,MATCH(Quarterly!BL$3,Model!$3:$3,0),FALSE)</f>
        <v>35930</v>
      </c>
      <c r="BM12" s="340">
        <f>VLOOKUP($A12,Model!$1:$1048576,MATCH(Quarterly!BM$3,Model!$3:$3,0),FALSE)</f>
        <v>33147</v>
      </c>
      <c r="BN12" s="340">
        <f>VLOOKUP($A12,Model!$1:$1048576,MATCH(Quarterly!BN$3,Model!$3:$3,0),FALSE)</f>
        <v>37054.210966296414</v>
      </c>
      <c r="BO12" s="340">
        <f>VLOOKUP($A12,Model!$1:$1048576,MATCH(Quarterly!BO$3,Model!$3:$3,0),FALSE)</f>
        <v>34098.537666003031</v>
      </c>
      <c r="BP12" s="204"/>
      <c r="BQ12" s="204"/>
      <c r="BR12" s="340">
        <f>VLOOKUP($A12,Model!$1:$1048576,MATCH(Quarterly!BR$3,Model!$3:$3,0),FALSE)</f>
        <v>54841</v>
      </c>
      <c r="BS12" s="340">
        <f>VLOOKUP($A12,Model!$1:$1048576,MATCH(Quarterly!BS$3,Model!$3:$3,0),FALSE)</f>
        <v>57175</v>
      </c>
      <c r="BT12" s="340">
        <f>VLOOKUP($A12,Model!$1:$1048576,MATCH(Quarterly!BT$3,Model!$3:$3,0),FALSE)</f>
        <v>59984</v>
      </c>
      <c r="BU12" s="340">
        <f>VLOOKUP($A12,Model!$1:$1048576,MATCH(Quarterly!BU$3,Model!$3:$3,0),FALSE)</f>
        <v>63675</v>
      </c>
      <c r="BV12" s="340">
        <f>VLOOKUP($A12,Model!$1:$1048576,MATCH(Quarterly!BV$3,Model!$3:$3,0),FALSE)</f>
        <v>67317</v>
      </c>
      <c r="BW12" s="340">
        <f>VLOOKUP($A12,Model!$1:$1048576,MATCH(Quarterly!BW$3,Model!$3:$3,0),FALSE)</f>
        <v>60849</v>
      </c>
      <c r="BX12" s="340">
        <f>VLOOKUP($A12,Model!$1:$1048576,MATCH(Quarterly!BX$3,Model!$3:$3,0),FALSE)</f>
        <v>64294</v>
      </c>
      <c r="BY12" s="340">
        <f>VLOOKUP($A12,Model!$1:$1048576,MATCH(Quarterly!BY$3,Model!$3:$3,0),FALSE)</f>
        <v>67922</v>
      </c>
      <c r="BZ12" s="340">
        <f>VLOOKUP($A12,Model!$1:$1048576,MATCH(Quarterly!BZ$3,Model!$3:$3,0),FALSE)</f>
        <v>69077</v>
      </c>
      <c r="CA12" s="340">
        <f>VLOOKUP($A12,Model!$1:$1048576,MATCH(Quarterly!CA$3,Model!$3:$3,0),FALSE)</f>
        <v>71152.748632299452</v>
      </c>
    </row>
    <row r="13" spans="1:79">
      <c r="B13" s="73"/>
      <c r="C13" s="32"/>
      <c r="D13" s="32"/>
      <c r="E13" s="32"/>
      <c r="F13" s="32"/>
      <c r="G13" s="32"/>
      <c r="H13" s="32"/>
      <c r="I13" s="32"/>
      <c r="J13" s="32"/>
      <c r="K13" s="32"/>
      <c r="L13" s="32"/>
      <c r="M13" s="32"/>
      <c r="N13" s="32"/>
      <c r="O13" s="32"/>
      <c r="P13" s="32"/>
      <c r="Q13" s="32"/>
      <c r="R13" s="32"/>
      <c r="S13" s="32"/>
      <c r="T13" s="32"/>
      <c r="U13" s="32"/>
      <c r="V13" s="32"/>
      <c r="W13" s="32"/>
      <c r="X13" s="32"/>
      <c r="Y13" s="32"/>
      <c r="Z13" s="32"/>
      <c r="AA13" s="32"/>
      <c r="AB13" s="32"/>
      <c r="AC13" s="32"/>
      <c r="AD13" s="32"/>
      <c r="AE13" s="32"/>
      <c r="AF13" s="32"/>
      <c r="AG13" s="32"/>
      <c r="AH13" s="32"/>
      <c r="AI13" s="199"/>
      <c r="AJ13" s="199"/>
      <c r="AK13" s="199"/>
      <c r="AL13" s="199"/>
      <c r="AM13" s="199"/>
      <c r="AN13" s="200"/>
      <c r="AO13" s="200"/>
      <c r="AP13" s="200"/>
      <c r="AQ13" s="200"/>
      <c r="AR13" s="200"/>
      <c r="AS13" s="200"/>
      <c r="AT13" s="200"/>
      <c r="AU13" s="200"/>
      <c r="AV13" s="60"/>
      <c r="AW13" s="60"/>
      <c r="AX13" s="60"/>
      <c r="AY13" s="60"/>
      <c r="AZ13" s="60"/>
      <c r="BA13" s="60"/>
      <c r="BB13" s="60"/>
      <c r="BC13" s="60"/>
      <c r="BD13" s="60"/>
      <c r="BE13" s="60"/>
      <c r="BF13" s="60"/>
      <c r="BG13" s="60"/>
      <c r="BH13" s="60"/>
      <c r="BI13" s="60"/>
      <c r="BJ13" s="60"/>
      <c r="BK13" s="60"/>
      <c r="BL13" s="60"/>
      <c r="BM13" s="60"/>
      <c r="BN13" s="293"/>
      <c r="BO13" s="293"/>
      <c r="BP13" s="200"/>
      <c r="BQ13" s="200"/>
      <c r="BR13" s="199"/>
      <c r="BS13" s="199"/>
      <c r="BT13" s="199"/>
      <c r="BU13" s="199"/>
      <c r="BV13" s="199"/>
      <c r="BW13" s="199"/>
      <c r="BX13" s="199"/>
      <c r="BY13" s="199"/>
      <c r="BZ13" s="199"/>
      <c r="CA13" s="200"/>
    </row>
    <row r="14" spans="1:79">
      <c r="B14" s="72" t="s">
        <v>486</v>
      </c>
      <c r="C14" s="93"/>
      <c r="D14" s="93"/>
      <c r="E14" s="93"/>
      <c r="F14" s="93"/>
      <c r="G14" s="93"/>
      <c r="H14" s="93"/>
      <c r="I14" s="93"/>
      <c r="J14" s="93"/>
      <c r="K14" s="93"/>
      <c r="L14" s="93"/>
      <c r="M14" s="93"/>
      <c r="N14" s="93"/>
      <c r="O14" s="93"/>
      <c r="P14" s="93"/>
      <c r="Q14" s="93"/>
      <c r="R14" s="93"/>
      <c r="S14" s="32"/>
      <c r="T14" s="32"/>
      <c r="U14" s="32"/>
      <c r="V14" s="32"/>
      <c r="W14" s="32"/>
      <c r="X14" s="32"/>
      <c r="Y14" s="32"/>
      <c r="Z14" s="32"/>
      <c r="AA14" s="32"/>
      <c r="AB14" s="32"/>
      <c r="AC14" s="32"/>
      <c r="AD14" s="32"/>
      <c r="AE14" s="32"/>
      <c r="AF14" s="32"/>
      <c r="AG14" s="32"/>
      <c r="AH14" s="32"/>
      <c r="AI14" s="199"/>
      <c r="AJ14" s="199"/>
      <c r="AK14" s="199"/>
      <c r="AL14" s="199"/>
      <c r="AM14" s="199"/>
      <c r="AN14" s="200"/>
      <c r="AO14" s="200"/>
      <c r="AP14" s="200"/>
      <c r="AQ14" s="200"/>
      <c r="AR14" s="200"/>
      <c r="AS14" s="200"/>
      <c r="AT14" s="200"/>
      <c r="AU14" s="200"/>
      <c r="AV14" s="60"/>
      <c r="AW14" s="60"/>
      <c r="AX14" s="60"/>
      <c r="AY14" s="60"/>
      <c r="AZ14" s="60"/>
      <c r="BA14" s="60"/>
      <c r="BB14" s="60"/>
      <c r="BC14" s="60"/>
      <c r="BD14" s="60"/>
      <c r="BE14" s="60"/>
      <c r="BF14" s="60"/>
      <c r="BG14" s="60"/>
      <c r="BH14" s="60"/>
      <c r="BI14" s="60"/>
      <c r="BJ14" s="60"/>
      <c r="BK14" s="60"/>
      <c r="BL14" s="60"/>
      <c r="BM14" s="60"/>
      <c r="BN14" s="293"/>
      <c r="BO14" s="293"/>
      <c r="BP14" s="200"/>
      <c r="BQ14" s="200"/>
      <c r="BR14" s="199"/>
      <c r="BS14" s="199"/>
      <c r="BT14" s="199"/>
      <c r="BU14" s="199"/>
      <c r="BV14" s="199"/>
      <c r="BW14" s="199"/>
      <c r="BX14" s="199"/>
      <c r="BY14" s="199"/>
      <c r="BZ14" s="199"/>
      <c r="CA14" s="200"/>
    </row>
    <row r="15" spans="1:79" hidden="1" outlineLevel="1">
      <c r="A15" s="24" t="s">
        <v>360</v>
      </c>
      <c r="B15" s="16" t="s">
        <v>1</v>
      </c>
      <c r="C15" s="108">
        <v>1.7000000000000001E-2</v>
      </c>
      <c r="D15" s="108">
        <v>0.04</v>
      </c>
      <c r="E15" s="108">
        <v>5.5999999999999994E-2</v>
      </c>
      <c r="F15" s="108">
        <v>7.2000000000000008E-2</v>
      </c>
      <c r="G15" s="108">
        <v>4.7E-2</v>
      </c>
      <c r="H15" s="108">
        <v>5.0999999999999997E-2</v>
      </c>
      <c r="I15" s="108">
        <v>4.2000000000000003E-2</v>
      </c>
      <c r="J15" s="108">
        <v>3.1E-2</v>
      </c>
      <c r="K15" s="108">
        <v>1.9E-2</v>
      </c>
      <c r="L15" s="108">
        <v>2.8000000000000001E-2</v>
      </c>
      <c r="M15" s="108">
        <v>4.7E-2</v>
      </c>
      <c r="N15" s="108">
        <v>4.3999999999999997E-2</v>
      </c>
      <c r="O15" s="117">
        <v>7.8E-2</v>
      </c>
      <c r="P15" s="117">
        <v>4.9000000000000002E-2</v>
      </c>
      <c r="Q15" s="117">
        <v>0.113</v>
      </c>
      <c r="R15" s="117">
        <v>9.2999999999999999E-2</v>
      </c>
      <c r="S15" s="108">
        <v>0.129</v>
      </c>
      <c r="T15" s="108">
        <v>8.3000000000000004E-2</v>
      </c>
      <c r="U15" s="108">
        <v>-7.0000000000000001E-3</v>
      </c>
      <c r="V15" s="108">
        <v>1.2E-2</v>
      </c>
      <c r="W15" s="108">
        <v>3.9E-2</v>
      </c>
      <c r="X15" s="108">
        <v>2.9000000000000001E-2</v>
      </c>
      <c r="Y15" s="360">
        <v>5.3999999999999999E-2</v>
      </c>
      <c r="Z15" s="108">
        <v>0.06</v>
      </c>
      <c r="AA15" s="108">
        <v>-4.0000000000000001E-3</v>
      </c>
      <c r="AB15" s="108">
        <v>5.8999999999999997E-2</v>
      </c>
      <c r="AC15" s="108">
        <v>7.8E-2</v>
      </c>
      <c r="AD15" s="108">
        <v>7.4999999999999997E-2</v>
      </c>
      <c r="AE15" s="108">
        <v>6.4000000000000001E-2</v>
      </c>
      <c r="AF15" s="108">
        <v>4.4999999999999998E-2</v>
      </c>
      <c r="AG15" s="108">
        <v>1.4999999999999999E-2</v>
      </c>
      <c r="AH15" s="108">
        <v>2.1999999999999999E-2</v>
      </c>
      <c r="AI15" s="113">
        <v>3.7999999999999999E-2</v>
      </c>
      <c r="AJ15" s="113">
        <v>1.7000000000000001E-2</v>
      </c>
      <c r="AK15" s="113">
        <v>3.5999999999999997E-2</v>
      </c>
      <c r="AL15" s="113">
        <v>3.4000000000000002E-2</v>
      </c>
      <c r="AM15" s="113">
        <v>2.1000000000000001E-2</v>
      </c>
      <c r="AN15" s="294"/>
      <c r="AO15" s="186"/>
      <c r="AP15" s="294"/>
      <c r="AQ15" s="294"/>
      <c r="AR15" s="294"/>
      <c r="AS15" s="294"/>
      <c r="AT15" s="294"/>
      <c r="AU15" s="200"/>
      <c r="AV15" s="95"/>
      <c r="AW15" s="95"/>
      <c r="AX15" s="95"/>
      <c r="AY15" s="95"/>
      <c r="AZ15" s="95"/>
      <c r="BA15" s="95"/>
      <c r="BB15" s="95"/>
      <c r="BC15" s="95"/>
      <c r="BD15" s="95"/>
      <c r="BE15" s="95"/>
      <c r="BF15" s="95"/>
      <c r="BG15" s="95"/>
      <c r="BH15" s="95"/>
      <c r="BI15" s="95"/>
      <c r="BJ15" s="95"/>
      <c r="BK15" s="95"/>
      <c r="BL15" s="95"/>
      <c r="BM15" s="95"/>
      <c r="BN15" s="158"/>
      <c r="BO15" s="158"/>
      <c r="BP15" s="200"/>
      <c r="BQ15" s="200"/>
      <c r="BR15" s="199"/>
      <c r="BS15" s="244">
        <f>BS6/BR6-1</f>
        <v>4.8917289876102332E-2</v>
      </c>
      <c r="BT15" s="244">
        <f t="shared" ref="BT15:CA15" si="3">BT6/BS6-1</f>
        <v>5.4430817526404107E-2</v>
      </c>
      <c r="BU15" s="244">
        <f t="shared" si="3"/>
        <v>6.347924813927075E-2</v>
      </c>
      <c r="BV15" s="244">
        <f t="shared" si="3"/>
        <v>3.7840146141254083E-2</v>
      </c>
      <c r="BW15" s="244">
        <f t="shared" si="3"/>
        <v>4.5581310291226584E-2</v>
      </c>
      <c r="BX15" s="244">
        <f t="shared" si="3"/>
        <v>5.0437254044599866E-2</v>
      </c>
      <c r="BY15" s="244">
        <f t="shared" si="3"/>
        <v>5.7776760255582982E-2</v>
      </c>
      <c r="BZ15" s="244">
        <f t="shared" si="3"/>
        <v>1.308462703893909E-2</v>
      </c>
      <c r="CA15" s="166">
        <f t="shared" si="3"/>
        <v>3.6178827215756604E-2</v>
      </c>
    </row>
    <row r="16" spans="1:79" hidden="1" outlineLevel="1">
      <c r="B16" s="16" t="s">
        <v>390</v>
      </c>
      <c r="C16" s="108"/>
      <c r="D16" s="108"/>
      <c r="E16" s="108"/>
      <c r="F16" s="108"/>
      <c r="G16" s="108"/>
      <c r="H16" s="108"/>
      <c r="I16" s="108"/>
      <c r="J16" s="108"/>
      <c r="K16" s="108"/>
      <c r="L16" s="108"/>
      <c r="M16" s="108"/>
      <c r="N16" s="108"/>
      <c r="O16" s="117"/>
      <c r="P16" s="117"/>
      <c r="Q16" s="117"/>
      <c r="R16" s="117"/>
      <c r="S16" s="108"/>
      <c r="T16" s="108"/>
      <c r="U16" s="108"/>
      <c r="V16" s="108"/>
      <c r="W16" s="108">
        <v>1.964</v>
      </c>
      <c r="X16" s="108">
        <v>2.31</v>
      </c>
      <c r="Y16" s="108">
        <v>2.173</v>
      </c>
      <c r="Z16" s="108">
        <v>2.5640000000000001</v>
      </c>
      <c r="AA16" s="108">
        <v>0.25600000000000001</v>
      </c>
      <c r="AB16" s="108">
        <v>0.20200000000000001</v>
      </c>
      <c r="AC16" s="108">
        <v>0.14899999999999999</v>
      </c>
      <c r="AD16" s="108">
        <v>9.0999999999999998E-2</v>
      </c>
      <c r="AE16" s="108">
        <v>1.4999999999999999E-2</v>
      </c>
      <c r="AF16" s="108">
        <v>4.1000000000000002E-2</v>
      </c>
      <c r="AG16" s="108">
        <v>3.2000000000000001E-2</v>
      </c>
      <c r="AH16" s="108">
        <v>8.8999999999999996E-2</v>
      </c>
      <c r="AI16" s="113">
        <v>6.9000000000000006E-2</v>
      </c>
      <c r="AJ16" s="113">
        <v>4.1000000000000002E-2</v>
      </c>
      <c r="AK16" s="113">
        <v>6.3E-2</v>
      </c>
      <c r="AL16" s="113">
        <v>-8.9999999999999993E-3</v>
      </c>
      <c r="AM16" s="113">
        <v>6.2E-2</v>
      </c>
      <c r="AN16" s="294"/>
      <c r="AO16" s="186"/>
      <c r="AP16" s="294"/>
      <c r="AQ16" s="294"/>
      <c r="AR16" s="294"/>
      <c r="AS16" s="294"/>
      <c r="AT16" s="294"/>
      <c r="AU16" s="200"/>
      <c r="AV16" s="95"/>
      <c r="AW16" s="95"/>
      <c r="AX16" s="95"/>
      <c r="AY16" s="95"/>
      <c r="AZ16" s="95"/>
      <c r="BA16" s="95"/>
      <c r="BB16" s="95"/>
      <c r="BC16" s="95"/>
      <c r="BD16" s="95"/>
      <c r="BE16" s="95"/>
      <c r="BF16" s="95"/>
      <c r="BG16" s="95"/>
      <c r="BH16" s="95"/>
      <c r="BI16" s="95"/>
      <c r="BJ16" s="95"/>
      <c r="BK16" s="95"/>
      <c r="BL16" s="95"/>
      <c r="BM16" s="95"/>
      <c r="BN16" s="158"/>
      <c r="BO16" s="158"/>
      <c r="BP16" s="200"/>
      <c r="BQ16" s="200"/>
      <c r="BR16" s="199"/>
      <c r="BS16" s="244"/>
      <c r="BT16" s="244"/>
      <c r="BU16" s="244"/>
      <c r="BV16" s="244"/>
      <c r="BW16" s="244">
        <f t="shared" ref="BS16:CA21" si="4">BW7/BV7-1</f>
        <v>2.7401015228426395</v>
      </c>
      <c r="BX16" s="244">
        <f t="shared" si="4"/>
        <v>0.17372421281216077</v>
      </c>
      <c r="BY16" s="244">
        <f t="shared" si="4"/>
        <v>0.29370952821461604</v>
      </c>
      <c r="BZ16" s="244">
        <f t="shared" si="4"/>
        <v>2.663568108687886E-2</v>
      </c>
      <c r="CA16" s="166">
        <f t="shared" si="4"/>
        <v>3.499999999999992E-2</v>
      </c>
    </row>
    <row r="17" spans="1:79" hidden="1" outlineLevel="1">
      <c r="A17" s="24" t="s">
        <v>362</v>
      </c>
      <c r="B17" s="16" t="s">
        <v>205</v>
      </c>
      <c r="C17" s="108">
        <v>8.1000000000000003E-2</v>
      </c>
      <c r="D17" s="108">
        <v>0.04</v>
      </c>
      <c r="E17" s="108">
        <v>4.4000000000000004E-2</v>
      </c>
      <c r="F17" s="108">
        <v>4.5999999999999999E-2</v>
      </c>
      <c r="G17" s="108">
        <v>4.0000000000000001E-3</v>
      </c>
      <c r="H17" s="108">
        <v>-6.0000000000000001E-3</v>
      </c>
      <c r="I17" s="108">
        <v>2.1999999999999999E-2</v>
      </c>
      <c r="J17" s="108">
        <v>1.9E-2</v>
      </c>
      <c r="K17" s="108">
        <v>1.2E-2</v>
      </c>
      <c r="L17" s="108">
        <v>4.1000000000000002E-2</v>
      </c>
      <c r="M17" s="108">
        <v>6.2E-2</v>
      </c>
      <c r="N17" s="108">
        <v>4.9000000000000002E-2</v>
      </c>
      <c r="O17" s="117">
        <v>0.08</v>
      </c>
      <c r="P17" s="117">
        <v>6.2E-2</v>
      </c>
      <c r="Q17" s="117">
        <v>0.14799999999999999</v>
      </c>
      <c r="R17" s="117">
        <v>0.13</v>
      </c>
      <c r="S17" s="108">
        <v>4.7E-2</v>
      </c>
      <c r="T17" s="108">
        <v>1.2E-2</v>
      </c>
      <c r="U17" s="108">
        <v>0.10199999999999999</v>
      </c>
      <c r="V17" s="108">
        <v>-0.05</v>
      </c>
      <c r="W17" s="108">
        <v>0.12888377445339461</v>
      </c>
      <c r="X17" s="108">
        <v>8.5999999999999993E-2</v>
      </c>
      <c r="Y17" s="108">
        <v>4.2000000000000003E-2</v>
      </c>
      <c r="Z17" s="108">
        <v>-1E-3</v>
      </c>
      <c r="AA17" s="108">
        <v>-8.1000000000000003E-2</v>
      </c>
      <c r="AB17" s="108">
        <v>1.2999999999999999E-2</v>
      </c>
      <c r="AC17" s="108">
        <v>7.0000000000000007E-2</v>
      </c>
      <c r="AD17" s="108">
        <v>0.106</v>
      </c>
      <c r="AE17" s="108">
        <v>5.8000000000000003E-2</v>
      </c>
      <c r="AF17" s="108">
        <v>2.8000000000000001E-2</v>
      </c>
      <c r="AG17" s="108">
        <v>1.4E-2</v>
      </c>
      <c r="AH17" s="108">
        <v>-4.0000000000000001E-3</v>
      </c>
      <c r="AI17" s="113">
        <v>1.4E-2</v>
      </c>
      <c r="AJ17" s="113">
        <v>4.0000000000000001E-3</v>
      </c>
      <c r="AK17" s="113">
        <v>1.7999999999999999E-2</v>
      </c>
      <c r="AL17" s="113">
        <v>4.2999999999999997E-2</v>
      </c>
      <c r="AM17" s="113">
        <v>3.2000000000000001E-2</v>
      </c>
      <c r="AN17" s="294"/>
      <c r="AO17" s="186"/>
      <c r="AP17" s="294"/>
      <c r="AQ17" s="294"/>
      <c r="AR17" s="294"/>
      <c r="AS17" s="294"/>
      <c r="AT17" s="294"/>
      <c r="AU17" s="200"/>
      <c r="AV17" s="95"/>
      <c r="AW17" s="95"/>
      <c r="AX17" s="95"/>
      <c r="AY17" s="95"/>
      <c r="AZ17" s="95"/>
      <c r="BA17" s="95"/>
      <c r="BB17" s="95"/>
      <c r="BC17" s="95"/>
      <c r="BD17" s="95"/>
      <c r="BE17" s="95"/>
      <c r="BF17" s="95"/>
      <c r="BG17" s="95"/>
      <c r="BH17" s="95"/>
      <c r="BI17" s="95"/>
      <c r="BJ17" s="95"/>
      <c r="BK17" s="95"/>
      <c r="BL17" s="95"/>
      <c r="BM17" s="95"/>
      <c r="BN17" s="158"/>
      <c r="BO17" s="158"/>
      <c r="BP17" s="200"/>
      <c r="BQ17" s="200"/>
      <c r="BR17" s="199"/>
      <c r="BS17" s="244">
        <f t="shared" si="4"/>
        <v>9.4129727879515013E-3</v>
      </c>
      <c r="BT17" s="244">
        <f t="shared" si="4"/>
        <v>6.6632756866734422E-2</v>
      </c>
      <c r="BU17" s="244">
        <f t="shared" si="4"/>
        <v>8.4565251947226194E-2</v>
      </c>
      <c r="BV17" s="244">
        <f t="shared" si="4"/>
        <v>-2.5062289315550323E-2</v>
      </c>
      <c r="BW17" s="244">
        <f t="shared" si="4"/>
        <v>6.6145520144317516E-2</v>
      </c>
      <c r="BX17" s="244">
        <f t="shared" si="4"/>
        <v>2.0868584320360872E-2</v>
      </c>
      <c r="BY17" s="244">
        <f t="shared" si="4"/>
        <v>4.2955801104972435E-2</v>
      </c>
      <c r="BZ17" s="244">
        <f t="shared" si="4"/>
        <v>7.9459674215343057E-4</v>
      </c>
      <c r="CA17" s="166">
        <f t="shared" si="4"/>
        <v>-6.1449795711878696E-3</v>
      </c>
    </row>
    <row r="18" spans="1:79" hidden="1" outlineLevel="1">
      <c r="B18" s="16" t="s">
        <v>76</v>
      </c>
      <c r="C18" s="108">
        <v>-5.5E-2</v>
      </c>
      <c r="D18" s="108">
        <v>-6.8000000000000005E-2</v>
      </c>
      <c r="E18" s="108">
        <v>-6.0999999999999999E-2</v>
      </c>
      <c r="F18" s="108">
        <v>-4.4000000000000004E-2</v>
      </c>
      <c r="G18" s="108">
        <v>2.5000000000000001E-2</v>
      </c>
      <c r="H18" s="108">
        <v>-1E-3</v>
      </c>
      <c r="I18" s="108">
        <v>-1.2999999999999999E-2</v>
      </c>
      <c r="J18" s="108">
        <v>1.7000000000000001E-2</v>
      </c>
      <c r="K18" s="108">
        <v>1.2999999999999999E-2</v>
      </c>
      <c r="L18" s="108">
        <v>3.6999999999999998E-2</v>
      </c>
      <c r="M18" s="108">
        <v>5.6000000000000001E-2</v>
      </c>
      <c r="N18" s="108">
        <v>6.9000000000000006E-2</v>
      </c>
      <c r="O18" s="117">
        <v>2.5999999999999999E-2</v>
      </c>
      <c r="P18" s="117">
        <v>2.9000000000000001E-2</v>
      </c>
      <c r="Q18" s="117">
        <v>9.5000000000000001E-2</v>
      </c>
      <c r="R18" s="117">
        <v>0.308</v>
      </c>
      <c r="S18" s="108">
        <v>0.20399999999999999</v>
      </c>
      <c r="T18" s="108">
        <v>0.19800000000000001</v>
      </c>
      <c r="U18" s="108">
        <v>0.183</v>
      </c>
      <c r="V18" s="108">
        <v>-0.104</v>
      </c>
      <c r="W18" s="108">
        <v>-0.17488789237668156</v>
      </c>
      <c r="X18" s="108">
        <v>-2.5999999999999999E-2</v>
      </c>
      <c r="Y18" s="108">
        <v>-3.5000000000000003E-2</v>
      </c>
      <c r="Z18" s="108">
        <v>0.11899999999999999</v>
      </c>
      <c r="AA18" s="108">
        <v>0.30099999999999999</v>
      </c>
      <c r="AB18" s="108">
        <v>5.8000000000000003E-2</v>
      </c>
      <c r="AC18" s="108">
        <v>5.7000000000000002E-2</v>
      </c>
      <c r="AD18" s="108">
        <v>-5.7000000000000002E-2</v>
      </c>
      <c r="AE18" s="108">
        <v>-5.5E-2</v>
      </c>
      <c r="AF18" s="108">
        <v>-3.1E-2</v>
      </c>
      <c r="AG18" s="108">
        <v>-4.1000000000000002E-2</v>
      </c>
      <c r="AH18" s="108">
        <v>-3.1E-2</v>
      </c>
      <c r="AI18" s="113">
        <v>0.17</v>
      </c>
      <c r="AJ18" s="113">
        <v>0.153</v>
      </c>
      <c r="AK18" s="113">
        <v>-2.7E-2</v>
      </c>
      <c r="AL18" s="113">
        <v>9.9000000000000005E-2</v>
      </c>
      <c r="AM18" s="113">
        <v>3.3000000000000002E-2</v>
      </c>
      <c r="AN18" s="294"/>
      <c r="AO18" s="186"/>
      <c r="AP18" s="294"/>
      <c r="AQ18" s="294"/>
      <c r="AR18" s="294"/>
      <c r="AS18" s="294"/>
      <c r="AT18" s="294"/>
      <c r="AU18" s="200"/>
      <c r="AV18" s="95"/>
      <c r="AW18" s="95"/>
      <c r="AX18" s="95"/>
      <c r="AY18" s="95"/>
      <c r="AZ18" s="95"/>
      <c r="BA18" s="95"/>
      <c r="BB18" s="95"/>
      <c r="BC18" s="95"/>
      <c r="BD18" s="95"/>
      <c r="BE18" s="95"/>
      <c r="BF18" s="95"/>
      <c r="BG18" s="95"/>
      <c r="BH18" s="95"/>
      <c r="BI18" s="95"/>
      <c r="BJ18" s="95"/>
      <c r="BK18" s="95"/>
      <c r="BL18" s="95"/>
      <c r="BM18" s="95"/>
      <c r="BN18" s="158"/>
      <c r="BO18" s="158"/>
      <c r="BP18" s="200"/>
      <c r="BQ18" s="200"/>
      <c r="BR18" s="199"/>
      <c r="BS18" s="244">
        <f t="shared" si="4"/>
        <v>6.7758328627893771E-3</v>
      </c>
      <c r="BT18" s="244">
        <f t="shared" si="4"/>
        <v>6.4778463264161479E-2</v>
      </c>
      <c r="BU18" s="244">
        <f t="shared" si="4"/>
        <v>8.138003687121409E-2</v>
      </c>
      <c r="BV18" s="244">
        <f t="shared" si="4"/>
        <v>0.1161714564052605</v>
      </c>
      <c r="BW18" s="244">
        <f t="shared" si="4"/>
        <v>-3.3166048439886575E-2</v>
      </c>
      <c r="BX18" s="244">
        <f t="shared" si="4"/>
        <v>7.9891672308733952E-2</v>
      </c>
      <c r="BY18" s="244">
        <f t="shared" si="4"/>
        <v>9.0909090909090828E-2</v>
      </c>
      <c r="BZ18" s="244">
        <f t="shared" si="4"/>
        <v>7.2222222222222188E-2</v>
      </c>
      <c r="CA18" s="166">
        <f t="shared" si="4"/>
        <v>6.0399834257711671E-3</v>
      </c>
    </row>
    <row r="19" spans="1:79" hidden="1" outlineLevel="1">
      <c r="B19" s="16" t="s">
        <v>5</v>
      </c>
      <c r="C19" s="108"/>
      <c r="D19" s="108"/>
      <c r="E19" s="108"/>
      <c r="F19" s="108"/>
      <c r="G19" s="108"/>
      <c r="H19" s="108"/>
      <c r="I19" s="108"/>
      <c r="J19" s="108"/>
      <c r="K19" s="108"/>
      <c r="L19" s="108"/>
      <c r="M19" s="108"/>
      <c r="N19" s="108"/>
      <c r="O19" s="117"/>
      <c r="P19" s="117"/>
      <c r="Q19" s="117"/>
      <c r="R19" s="117"/>
      <c r="S19" s="108"/>
      <c r="T19" s="108"/>
      <c r="U19" s="108"/>
      <c r="V19" s="108"/>
      <c r="W19" s="108"/>
      <c r="X19" s="108"/>
      <c r="Y19" s="108"/>
      <c r="Z19" s="108"/>
      <c r="AA19" s="108"/>
      <c r="AB19" s="108"/>
      <c r="AC19" s="108"/>
      <c r="AD19" s="108"/>
      <c r="AE19" s="108"/>
      <c r="AF19" s="108"/>
      <c r="AG19" s="108"/>
      <c r="AH19" s="108"/>
      <c r="AI19" s="113">
        <v>5.8000000000000003E-2</v>
      </c>
      <c r="AJ19" s="113">
        <v>7.1999999999999995E-2</v>
      </c>
      <c r="AK19" s="113">
        <v>5.2999999999999999E-2</v>
      </c>
      <c r="AL19" s="113">
        <v>8.6999999999999994E-2</v>
      </c>
      <c r="AM19" s="113">
        <v>0.13800000000000001</v>
      </c>
      <c r="AN19" s="294"/>
      <c r="AO19" s="186"/>
      <c r="AP19" s="294"/>
      <c r="AQ19" s="294"/>
      <c r="AR19" s="294"/>
      <c r="AS19" s="294"/>
      <c r="AT19" s="294"/>
      <c r="AU19" s="200"/>
      <c r="AV19" s="95"/>
      <c r="AW19" s="95"/>
      <c r="AX19" s="95"/>
      <c r="AY19" s="95"/>
      <c r="AZ19" s="95"/>
      <c r="BA19" s="95"/>
      <c r="BB19" s="95"/>
      <c r="BC19" s="95"/>
      <c r="BD19" s="95"/>
      <c r="BE19" s="95"/>
      <c r="BF19" s="95"/>
      <c r="BG19" s="95"/>
      <c r="BH19" s="95"/>
      <c r="BI19" s="95"/>
      <c r="BJ19" s="95"/>
      <c r="BK19" s="95"/>
      <c r="BL19" s="95"/>
      <c r="BM19" s="95"/>
      <c r="BN19" s="158"/>
      <c r="BO19" s="158"/>
      <c r="BP19" s="200"/>
      <c r="BQ19" s="200"/>
      <c r="BR19" s="199"/>
      <c r="BS19" s="244"/>
      <c r="BT19" s="244"/>
      <c r="BU19" s="244"/>
      <c r="BV19" s="244"/>
      <c r="BW19" s="244">
        <f t="shared" si="4"/>
        <v>-0.57939914163090123</v>
      </c>
      <c r="BX19" s="244">
        <f t="shared" si="4"/>
        <v>4.081632653061229E-2</v>
      </c>
      <c r="BY19" s="244">
        <f t="shared" si="4"/>
        <v>-3.215686274509804</v>
      </c>
      <c r="BZ19" s="244">
        <f t="shared" si="4"/>
        <v>8.8495575221238854E-2</v>
      </c>
      <c r="CA19" s="166">
        <f t="shared" si="4"/>
        <v>0.10000000000000009</v>
      </c>
    </row>
    <row r="20" spans="1:79" hidden="1" outlineLevel="1">
      <c r="B20" s="17" t="s">
        <v>6</v>
      </c>
      <c r="C20" s="108"/>
      <c r="D20" s="108"/>
      <c r="E20" s="108"/>
      <c r="F20" s="108"/>
      <c r="G20" s="108"/>
      <c r="H20" s="108"/>
      <c r="I20" s="108"/>
      <c r="J20" s="108"/>
      <c r="K20" s="108"/>
      <c r="L20" s="108"/>
      <c r="M20" s="108"/>
      <c r="N20" s="108"/>
      <c r="O20" s="117"/>
      <c r="P20" s="117"/>
      <c r="Q20" s="117"/>
      <c r="R20" s="117"/>
      <c r="S20" s="108"/>
      <c r="T20" s="108"/>
      <c r="U20" s="108"/>
      <c r="V20" s="108"/>
      <c r="W20" s="108"/>
      <c r="X20" s="108"/>
      <c r="Y20" s="108"/>
      <c r="Z20" s="108"/>
      <c r="AA20" s="108"/>
      <c r="AB20" s="108"/>
      <c r="AC20" s="108"/>
      <c r="AD20" s="108"/>
      <c r="AE20" s="108"/>
      <c r="AF20" s="108"/>
      <c r="AG20" s="108"/>
      <c r="AH20" s="108"/>
      <c r="AI20" s="113">
        <v>9.2999999999999999E-2</v>
      </c>
      <c r="AJ20" s="113">
        <v>1.4999999999999999E-2</v>
      </c>
      <c r="AK20" s="113">
        <v>1.6E-2</v>
      </c>
      <c r="AL20" s="113">
        <v>4.4999999999999998E-2</v>
      </c>
      <c r="AM20" s="113">
        <v>-1.4999999999999999E-2</v>
      </c>
      <c r="AN20" s="294"/>
      <c r="AO20" s="186"/>
      <c r="AP20" s="294"/>
      <c r="AQ20" s="294"/>
      <c r="AR20" s="294"/>
      <c r="AS20" s="294"/>
      <c r="AT20" s="294"/>
      <c r="AU20" s="200"/>
      <c r="AV20" s="95"/>
      <c r="AW20" s="95"/>
      <c r="AX20" s="95"/>
      <c r="AY20" s="95"/>
      <c r="AZ20" s="95"/>
      <c r="BA20" s="95"/>
      <c r="BB20" s="95"/>
      <c r="BC20" s="95"/>
      <c r="BD20" s="95"/>
      <c r="BE20" s="95"/>
      <c r="BF20" s="95"/>
      <c r="BG20" s="95"/>
      <c r="BH20" s="95"/>
      <c r="BI20" s="95"/>
      <c r="BJ20" s="95"/>
      <c r="BK20" s="95"/>
      <c r="BL20" s="95"/>
      <c r="BM20" s="95"/>
      <c r="BN20" s="158"/>
      <c r="BO20" s="158"/>
      <c r="BP20" s="200"/>
      <c r="BQ20" s="200"/>
      <c r="BR20" s="199"/>
      <c r="BS20" s="244">
        <f t="shared" si="4"/>
        <v>0.55194805194805197</v>
      </c>
      <c r="BT20" s="244">
        <f t="shared" si="4"/>
        <v>-1</v>
      </c>
      <c r="BU20" s="244"/>
      <c r="BV20" s="244"/>
      <c r="BW20" s="244"/>
      <c r="BX20" s="244"/>
      <c r="BY20" s="244"/>
      <c r="BZ20" s="244">
        <f t="shared" si="4"/>
        <v>4.1554959785522705E-2</v>
      </c>
      <c r="CA20" s="166">
        <f t="shared" si="4"/>
        <v>0</v>
      </c>
    </row>
    <row r="21" spans="1:79" s="7" customFormat="1" hidden="1" outlineLevel="1">
      <c r="A21" s="24"/>
      <c r="B21" s="23" t="s">
        <v>331</v>
      </c>
      <c r="C21" s="110">
        <v>2.2000000000000002E-2</v>
      </c>
      <c r="D21" s="110">
        <v>3.1E-2</v>
      </c>
      <c r="E21" s="110">
        <v>4.4000000000000004E-2</v>
      </c>
      <c r="F21" s="110">
        <v>5.7000000000000002E-2</v>
      </c>
      <c r="G21" s="110">
        <v>3.6999999999999998E-2</v>
      </c>
      <c r="H21" s="110">
        <v>3.9E-2</v>
      </c>
      <c r="I21" s="110">
        <v>3.4000000000000002E-2</v>
      </c>
      <c r="J21" s="110">
        <v>2.7E-2</v>
      </c>
      <c r="K21" s="110">
        <v>1.9E-2</v>
      </c>
      <c r="L21" s="110">
        <v>2.5999999999999999E-2</v>
      </c>
      <c r="M21" s="110">
        <v>5.0999999999999997E-2</v>
      </c>
      <c r="N21" s="110">
        <v>4.2000000000000003E-2</v>
      </c>
      <c r="O21" s="122">
        <v>7.0999999999999994E-2</v>
      </c>
      <c r="P21" s="122">
        <v>4.9000000000000002E-2</v>
      </c>
      <c r="Q21" s="122">
        <v>0.107</v>
      </c>
      <c r="R21" s="122">
        <v>0.10199999999999999</v>
      </c>
      <c r="S21" s="110">
        <v>0.124</v>
      </c>
      <c r="T21" s="110">
        <v>8.5000000000000006E-2</v>
      </c>
      <c r="U21" s="110">
        <v>-8.0000000000000002E-3</v>
      </c>
      <c r="V21" s="110">
        <v>-4.0000000000000001E-3</v>
      </c>
      <c r="W21" s="110">
        <v>7.7944727662999647E-2</v>
      </c>
      <c r="X21" s="110">
        <v>8.2000000000000003E-2</v>
      </c>
      <c r="Y21" s="110">
        <v>9.7000000000000003E-2</v>
      </c>
      <c r="Z21" s="110">
        <v>0.115</v>
      </c>
      <c r="AA21" s="110">
        <v>1.7999999999999999E-2</v>
      </c>
      <c r="AB21" s="110">
        <v>6.2E-2</v>
      </c>
      <c r="AC21" s="110">
        <v>0.08</v>
      </c>
      <c r="AD21" s="110">
        <v>6.9000000000000006E-2</v>
      </c>
      <c r="AE21" s="110">
        <v>5.2999999999999999E-2</v>
      </c>
      <c r="AF21" s="110">
        <v>3.5999999999999997E-2</v>
      </c>
      <c r="AG21" s="110">
        <v>2.8000000000000001E-2</v>
      </c>
      <c r="AH21" s="110">
        <v>6.9000000000000006E-2</v>
      </c>
      <c r="AI21" s="295">
        <v>4.4999999999999998E-2</v>
      </c>
      <c r="AJ21" s="295">
        <v>2.9000000000000001E-2</v>
      </c>
      <c r="AK21" s="295">
        <v>3.2000000000000001E-2</v>
      </c>
      <c r="AL21" s="295">
        <v>3.5000000000000003E-2</v>
      </c>
      <c r="AM21" s="295">
        <v>2.7E-2</v>
      </c>
      <c r="AN21" s="296"/>
      <c r="AO21" s="297"/>
      <c r="AP21" s="296"/>
      <c r="AQ21" s="296"/>
      <c r="AR21" s="296"/>
      <c r="AS21" s="296"/>
      <c r="AT21" s="296"/>
      <c r="AU21" s="229"/>
      <c r="AV21" s="95"/>
      <c r="AW21" s="95"/>
      <c r="AX21" s="95"/>
      <c r="AY21" s="95"/>
      <c r="AZ21" s="95"/>
      <c r="BA21" s="95"/>
      <c r="BB21" s="95"/>
      <c r="BC21" s="95"/>
      <c r="BD21" s="95"/>
      <c r="BE21" s="95"/>
      <c r="BF21" s="95"/>
      <c r="BG21" s="95"/>
      <c r="BH21" s="95"/>
      <c r="BI21" s="95"/>
      <c r="BJ21" s="95"/>
      <c r="BK21" s="95"/>
      <c r="BL21" s="95"/>
      <c r="BM21" s="95"/>
      <c r="BN21" s="158"/>
      <c r="BO21" s="158"/>
      <c r="BP21" s="229"/>
      <c r="BQ21" s="229"/>
      <c r="BR21" s="228"/>
      <c r="BS21" s="244">
        <f t="shared" si="4"/>
        <v>4.2559398989806985E-2</v>
      </c>
      <c r="BT21" s="244">
        <f t="shared" si="4"/>
        <v>4.9129864451246119E-2</v>
      </c>
      <c r="BU21" s="244">
        <f t="shared" si="4"/>
        <v>6.1533075486796429E-2</v>
      </c>
      <c r="BV21" s="244">
        <f t="shared" si="4"/>
        <v>5.7196702002355604E-2</v>
      </c>
      <c r="BW21" s="244">
        <f t="shared" si="4"/>
        <v>-9.608271313338379E-2</v>
      </c>
      <c r="BX21" s="244">
        <f t="shared" si="4"/>
        <v>5.6615556541602885E-2</v>
      </c>
      <c r="BY21" s="244">
        <f t="shared" si="4"/>
        <v>5.6428282576912236E-2</v>
      </c>
      <c r="BZ21" s="244">
        <f t="shared" si="4"/>
        <v>1.7004799623097089E-2</v>
      </c>
      <c r="CA21" s="166">
        <f t="shared" si="4"/>
        <v>3.0049779699457879E-2</v>
      </c>
    </row>
    <row r="22" spans="1:79" collapsed="1">
      <c r="B22" s="73"/>
      <c r="C22" s="108"/>
      <c r="D22" s="108"/>
      <c r="E22" s="108"/>
      <c r="F22" s="108"/>
      <c r="G22" s="93"/>
      <c r="H22" s="93"/>
      <c r="I22" s="93"/>
      <c r="J22" s="93"/>
      <c r="K22" s="82"/>
      <c r="L22" s="82"/>
      <c r="M22" s="82"/>
      <c r="N22" s="82"/>
      <c r="O22" s="93"/>
      <c r="P22" s="93"/>
      <c r="Q22" s="93"/>
      <c r="R22" s="93"/>
      <c r="S22" s="32"/>
      <c r="T22" s="32"/>
      <c r="U22" s="32"/>
      <c r="V22" s="32"/>
      <c r="W22" s="32"/>
      <c r="X22" s="32"/>
      <c r="Y22" s="32"/>
      <c r="Z22" s="32"/>
      <c r="AA22" s="32"/>
      <c r="AB22" s="32"/>
      <c r="AC22" s="32"/>
      <c r="AD22" s="32"/>
      <c r="AE22" s="32"/>
      <c r="AF22" s="32"/>
      <c r="AG22" s="32"/>
      <c r="AH22" s="32"/>
      <c r="AI22" s="199"/>
      <c r="AJ22" s="199"/>
      <c r="AK22" s="199"/>
      <c r="AL22" s="199"/>
      <c r="AM22" s="199"/>
      <c r="AN22" s="166">
        <f>220/AJ6</f>
        <v>1.6833728670900605E-2</v>
      </c>
      <c r="AO22" s="200"/>
      <c r="AP22" s="200"/>
      <c r="AQ22" s="200"/>
      <c r="AR22" s="200"/>
      <c r="AS22" s="200"/>
      <c r="AT22" s="200"/>
      <c r="AU22" s="200"/>
      <c r="AV22" s="60"/>
      <c r="AW22" s="95"/>
      <c r="AX22" s="95"/>
      <c r="AY22" s="95"/>
      <c r="AZ22" s="95"/>
      <c r="BA22" s="95"/>
      <c r="BB22" s="95"/>
      <c r="BC22" s="95"/>
      <c r="BD22" s="95"/>
      <c r="BE22" s="95"/>
      <c r="BF22" s="95"/>
      <c r="BG22" s="95"/>
      <c r="BH22" s="95"/>
      <c r="BI22" s="95"/>
      <c r="BJ22" s="95"/>
      <c r="BK22" s="95"/>
      <c r="BL22" s="95"/>
      <c r="BM22" s="95"/>
      <c r="BN22" s="158"/>
      <c r="BO22" s="158"/>
      <c r="BP22" s="200"/>
      <c r="BQ22" s="200"/>
      <c r="BR22" s="199"/>
      <c r="BS22" s="199"/>
      <c r="BT22" s="199"/>
      <c r="BU22" s="199"/>
      <c r="BV22" s="199"/>
      <c r="BW22" s="199"/>
      <c r="BX22" s="199"/>
      <c r="BY22" s="199"/>
      <c r="BZ22" s="199"/>
      <c r="CA22" s="200"/>
    </row>
    <row r="23" spans="1:79">
      <c r="B23" s="72" t="s">
        <v>487</v>
      </c>
      <c r="C23" s="108"/>
      <c r="D23" s="108"/>
      <c r="E23" s="108"/>
      <c r="F23" s="108"/>
      <c r="G23" s="93"/>
      <c r="H23" s="93"/>
      <c r="I23" s="93"/>
      <c r="J23" s="93"/>
      <c r="K23" s="82"/>
      <c r="L23" s="82"/>
      <c r="M23" s="82"/>
      <c r="N23" s="82"/>
      <c r="O23" s="93"/>
      <c r="P23" s="93"/>
      <c r="Q23" s="93"/>
      <c r="R23" s="93"/>
      <c r="S23" s="32"/>
      <c r="T23" s="32"/>
      <c r="U23" s="32"/>
      <c r="V23" s="32"/>
      <c r="W23" s="32"/>
      <c r="X23" s="32"/>
      <c r="Y23" s="32"/>
      <c r="Z23" s="32"/>
      <c r="AA23" s="32"/>
      <c r="AB23" s="32"/>
      <c r="AC23" s="32"/>
      <c r="AD23" s="32"/>
      <c r="AE23" s="32"/>
      <c r="AF23" s="32"/>
      <c r="AG23" s="32"/>
      <c r="AH23" s="32"/>
      <c r="AI23" s="199"/>
      <c r="AJ23" s="244">
        <f>240/AF6</f>
        <v>1.8687222611539361E-2</v>
      </c>
      <c r="AK23" s="199"/>
      <c r="AL23" s="199"/>
      <c r="AM23" s="199"/>
      <c r="AN23" s="166">
        <f>240/AJ6</f>
        <v>1.8364067640982477E-2</v>
      </c>
      <c r="AO23" s="200"/>
      <c r="AP23" s="200"/>
      <c r="AQ23" s="200"/>
      <c r="AR23" s="200"/>
      <c r="AS23" s="200"/>
      <c r="AT23" s="200"/>
      <c r="AU23" s="200"/>
      <c r="AV23" s="60"/>
      <c r="AW23" s="60"/>
      <c r="AX23" s="60"/>
      <c r="AY23" s="60"/>
      <c r="AZ23" s="60"/>
      <c r="BA23" s="60"/>
      <c r="BB23" s="60"/>
      <c r="BC23" s="60"/>
      <c r="BD23" s="60"/>
      <c r="BE23" s="60"/>
      <c r="BF23" s="60"/>
      <c r="BG23" s="60"/>
      <c r="BH23" s="60"/>
      <c r="BI23" s="60"/>
      <c r="BJ23" s="60"/>
      <c r="BK23" s="60"/>
      <c r="BL23" s="60"/>
      <c r="BM23" s="60"/>
      <c r="BN23" s="293"/>
      <c r="BO23" s="293"/>
      <c r="BP23" s="200"/>
      <c r="BQ23" s="200"/>
      <c r="BR23" s="199"/>
      <c r="BS23" s="199"/>
      <c r="BT23" s="199"/>
      <c r="BU23" s="199"/>
      <c r="BV23" s="199"/>
      <c r="BW23" s="199"/>
      <c r="BX23" s="199"/>
      <c r="BY23" s="199"/>
      <c r="BZ23" s="199"/>
      <c r="CA23" s="200"/>
    </row>
    <row r="24" spans="1:79">
      <c r="B24" s="16" t="s">
        <v>1</v>
      </c>
      <c r="C24" s="82"/>
      <c r="D24" s="82"/>
      <c r="E24" s="82"/>
      <c r="F24" s="82"/>
      <c r="G24" s="82">
        <f t="shared" ref="G24" si="5">G6/C6-1</f>
        <v>4.6946316018256828E-2</v>
      </c>
      <c r="H24" s="82">
        <f t="shared" ref="H24" si="6">H6/D6-1</f>
        <v>3.833049403747868E-2</v>
      </c>
      <c r="I24" s="82">
        <f t="shared" ref="I24" si="7">I6/E6-1</f>
        <v>3.1802501078050938E-2</v>
      </c>
      <c r="J24" s="82">
        <f t="shared" ref="J24" si="8">J6/F6-1</f>
        <v>3.3567619970916063E-2</v>
      </c>
      <c r="K24" s="82">
        <f t="shared" ref="K24" si="9">K6/G6-1</f>
        <v>2.4496574631513335E-2</v>
      </c>
      <c r="L24" s="82">
        <f t="shared" ref="L24" si="10">L6/H6-1</f>
        <v>2.7686628383921219E-2</v>
      </c>
      <c r="M24" s="82">
        <f t="shared" ref="M24" si="11">M6/I6-1</f>
        <v>4.6599101452303726E-2</v>
      </c>
      <c r="N24" s="82">
        <f t="shared" ref="N24" si="12">N6/J6-1</f>
        <v>0.13248915464884514</v>
      </c>
      <c r="O24" s="82">
        <f t="shared" ref="O24" si="13">O6/K6-1</f>
        <v>8.034447821681856E-2</v>
      </c>
      <c r="P24" s="82">
        <f t="shared" ref="P24" si="14">P6/L6-1</f>
        <v>5.1386948712831781E-2</v>
      </c>
      <c r="Q24" s="82">
        <f t="shared" ref="Q24" si="15">Q6/M6-1</f>
        <v>0.11520415294000208</v>
      </c>
      <c r="R24" s="82">
        <f t="shared" ref="R24" si="16">R6/N6-1</f>
        <v>1.2527176726369271E-2</v>
      </c>
      <c r="S24" s="82">
        <f t="shared" ref="S24" si="17">S6/O6-1</f>
        <v>0.10738066210259767</v>
      </c>
      <c r="T24" s="82">
        <f t="shared" ref="T24" si="18">T6/P6-1</f>
        <v>6.1023061592483607E-2</v>
      </c>
      <c r="U24" s="82">
        <f t="shared" ref="U24" si="19">U6/Q6-1</f>
        <v>-3.5180377763852855E-2</v>
      </c>
      <c r="V24" s="82">
        <f t="shared" ref="V24" si="20">V6/R6-1</f>
        <v>-2.8592604763100327E-2</v>
      </c>
      <c r="W24" s="82">
        <f t="shared" ref="W24" si="21">W6/S6-1</f>
        <v>3.921070460704601E-2</v>
      </c>
      <c r="X24" s="82">
        <f t="shared" ref="X24" si="22">X6/T6-1</f>
        <v>4.1860465116279055E-2</v>
      </c>
      <c r="Y24" s="82">
        <f t="shared" ref="Y24:AN24" si="23">Y6/U6-1</f>
        <v>6.0679161254407088E-2</v>
      </c>
      <c r="Z24" s="82">
        <f t="shared" si="23"/>
        <v>9.3537010176094393E-2</v>
      </c>
      <c r="AA24" s="82">
        <f t="shared" si="23"/>
        <v>-5.4600277076033432E-3</v>
      </c>
      <c r="AB24" s="82">
        <f t="shared" si="23"/>
        <v>6.0782967032966928E-2</v>
      </c>
      <c r="AC24" s="82">
        <f t="shared" si="23"/>
        <v>7.5927221833449909E-2</v>
      </c>
      <c r="AD24" s="82">
        <f t="shared" si="23"/>
        <v>7.6812012705746557E-2</v>
      </c>
      <c r="AE24" s="82">
        <f t="shared" si="23"/>
        <v>7.3582431989511532E-2</v>
      </c>
      <c r="AF24" s="82">
        <f t="shared" si="23"/>
        <v>3.9414049854321842E-2</v>
      </c>
      <c r="AG24" s="82">
        <f t="shared" si="23"/>
        <v>2.4146341463414656E-2</v>
      </c>
      <c r="AH24" s="82">
        <f t="shared" si="23"/>
        <v>9.7792080092965028E-2</v>
      </c>
      <c r="AI24" s="244">
        <f t="shared" si="23"/>
        <v>3.8391085330483854E-2</v>
      </c>
      <c r="AJ24" s="244">
        <f t="shared" si="23"/>
        <v>1.7597134625866317E-2</v>
      </c>
      <c r="AK24" s="244">
        <f t="shared" si="23"/>
        <v>3.6754782884813819E-2</v>
      </c>
      <c r="AL24" s="244">
        <f t="shared" si="23"/>
        <v>-4.2911814998778608E-2</v>
      </c>
      <c r="AM24" s="244">
        <f>AM6/AI6-1</f>
        <v>2.0727673649393541E-2</v>
      </c>
      <c r="AN24" s="166">
        <f t="shared" si="23"/>
        <v>5.0639791755653141E-2</v>
      </c>
      <c r="AO24" s="166">
        <f>AO33+AO38</f>
        <v>3.4999999999999996E-2</v>
      </c>
      <c r="AP24" s="166">
        <f>AP6/AL6-1</f>
        <v>3.929419918582977E-2</v>
      </c>
      <c r="AQ24" s="166"/>
      <c r="AR24" s="166"/>
      <c r="AS24" s="166"/>
      <c r="AT24" s="166"/>
      <c r="AU24" s="200"/>
      <c r="AV24" s="60"/>
      <c r="AW24" s="95">
        <f t="shared" ref="AW24:BL24" si="24">AW6/AV6-1</f>
        <v>-8.4926733858469494E-2</v>
      </c>
      <c r="AX24" s="95">
        <f t="shared" si="24"/>
        <v>0.13505495403950141</v>
      </c>
      <c r="AY24" s="95">
        <f t="shared" si="24"/>
        <v>-6.6011525005145066E-2</v>
      </c>
      <c r="AZ24" s="95">
        <f t="shared" si="24"/>
        <v>9.777998127031351E-2</v>
      </c>
      <c r="BA24" s="95">
        <f t="shared" si="24"/>
        <v>-1.108992372541151E-2</v>
      </c>
      <c r="BB24" s="95">
        <f t="shared" si="24"/>
        <v>7.575988227533359E-2</v>
      </c>
      <c r="BC24" s="95">
        <f t="shared" si="24"/>
        <v>-1.1745283018867902E-2</v>
      </c>
      <c r="BD24" s="95">
        <f t="shared" si="24"/>
        <v>9.7226862679585802E-2</v>
      </c>
      <c r="BE24" s="95">
        <f t="shared" si="24"/>
        <v>-9.7007134156951502E-2</v>
      </c>
      <c r="BF24" s="95">
        <f t="shared" si="24"/>
        <v>0.14558242605260618</v>
      </c>
      <c r="BG24" s="95">
        <f t="shared" si="24"/>
        <v>-7.653490328006729E-2</v>
      </c>
      <c r="BH24" s="95">
        <f t="shared" si="24"/>
        <v>0.1104280510018214</v>
      </c>
      <c r="BI24" s="95">
        <f t="shared" si="24"/>
        <v>-2.964937461554229E-2</v>
      </c>
      <c r="BJ24" s="95">
        <f t="shared" si="24"/>
        <v>9.648381370974568E-2</v>
      </c>
      <c r="BK24" s="95">
        <f t="shared" si="24"/>
        <v>-4.1125457698978574E-2</v>
      </c>
      <c r="BL24" s="95">
        <f t="shared" si="24"/>
        <v>7.2192298416271505E-2</v>
      </c>
      <c r="BM24" s="95">
        <f t="shared" ref="BM24:BO30" si="25">BM6/BK6-1</f>
        <v>-2.5725540638315003E-3</v>
      </c>
      <c r="BN24" s="158">
        <f t="shared" si="25"/>
        <v>3.5383198562443985E-2</v>
      </c>
      <c r="BO24" s="158">
        <f t="shared" si="25"/>
        <v>3.7034094351182434E-2</v>
      </c>
      <c r="BP24" s="200"/>
      <c r="BQ24" s="200"/>
      <c r="BR24" s="199"/>
      <c r="BS24" s="244">
        <f>BS6/BR6-1</f>
        <v>4.8917289876102332E-2</v>
      </c>
      <c r="BT24" s="244">
        <f t="shared" ref="BT24:CA24" si="26">BT6/BS6-1</f>
        <v>5.4430817526404107E-2</v>
      </c>
      <c r="BU24" s="244">
        <f t="shared" si="26"/>
        <v>6.347924813927075E-2</v>
      </c>
      <c r="BV24" s="244">
        <f t="shared" si="26"/>
        <v>3.7840146141254083E-2</v>
      </c>
      <c r="BW24" s="244">
        <f t="shared" si="26"/>
        <v>4.5581310291226584E-2</v>
      </c>
      <c r="BX24" s="244">
        <f t="shared" si="26"/>
        <v>5.0437254044599866E-2</v>
      </c>
      <c r="BY24" s="244">
        <f t="shared" si="26"/>
        <v>5.7776760255582982E-2</v>
      </c>
      <c r="BZ24" s="244">
        <f t="shared" si="26"/>
        <v>1.308462703893909E-2</v>
      </c>
      <c r="CA24" s="166">
        <f t="shared" si="26"/>
        <v>3.6178827215756604E-2</v>
      </c>
    </row>
    <row r="25" spans="1:79">
      <c r="B25" s="16" t="s">
        <v>390</v>
      </c>
      <c r="C25" s="108"/>
      <c r="D25" s="108"/>
      <c r="E25" s="108"/>
      <c r="F25" s="108"/>
      <c r="G25" s="93"/>
      <c r="H25" s="93"/>
      <c r="I25" s="93"/>
      <c r="J25" s="93"/>
      <c r="K25" s="82"/>
      <c r="L25" s="82"/>
      <c r="M25" s="82"/>
      <c r="N25" s="82"/>
      <c r="O25" s="93"/>
      <c r="P25" s="93"/>
      <c r="Q25" s="93"/>
      <c r="R25" s="93"/>
      <c r="S25" s="32"/>
      <c r="T25" s="32"/>
      <c r="U25" s="32"/>
      <c r="V25" s="32"/>
      <c r="W25" s="32"/>
      <c r="X25" s="32"/>
      <c r="Y25" s="82">
        <f t="shared" ref="Y25:Y30" si="27">Y7/U7-1</f>
        <v>2.1687898089171975</v>
      </c>
      <c r="Z25" s="82">
        <f t="shared" ref="Z25:Z30" si="28">Z7/V7-1</f>
        <v>2.0918540914382051</v>
      </c>
      <c r="AA25" s="82">
        <f t="shared" ref="AA25:AA30" si="29">AA7/W7-1</f>
        <v>0.25945378151260501</v>
      </c>
      <c r="AB25" s="82">
        <f t="shared" ref="AB25:AB30" si="30">AB7/X7-1</f>
        <v>3.1158714703018564E-2</v>
      </c>
      <c r="AC25" s="82">
        <f t="shared" ref="AC25:AC30" si="31">AC7/Y7-1</f>
        <v>0.16482412060301499</v>
      </c>
      <c r="AD25" s="82">
        <f t="shared" ref="AD25:AD30" si="32">AD7/Z7-1</f>
        <v>0.27746478873239444</v>
      </c>
      <c r="AE25" s="82">
        <f t="shared" ref="AE25:AE30" si="33">AE7/AA7-1</f>
        <v>0.14929107589658042</v>
      </c>
      <c r="AF25" s="82">
        <f t="shared" ref="AF25:AF30" si="34">AF7/AB7-1</f>
        <v>0.36921624173748824</v>
      </c>
      <c r="AG25" s="82">
        <f t="shared" ref="AG25:AG30" si="35">AG7/AC7-1</f>
        <v>0.16652286453839515</v>
      </c>
      <c r="AH25" s="82">
        <f t="shared" ref="AH25:AH30" si="36">AH7/AD7-1</f>
        <v>0.55898566703417862</v>
      </c>
      <c r="AI25" s="244">
        <f t="shared" ref="AI25:AI30" si="37">AI7/AE7-1</f>
        <v>6.8940493468795383E-2</v>
      </c>
      <c r="AJ25" s="244">
        <f t="shared" ref="AJ25:AJ30" si="38">AJ7/AF7-1</f>
        <v>4.0689655172413852E-2</v>
      </c>
      <c r="AK25" s="244">
        <f t="shared" ref="AK25:AK30" si="39">AK7/AG7-1</f>
        <v>6.3609467455621349E-2</v>
      </c>
      <c r="AL25" s="244">
        <f t="shared" ref="AL25:AM30" si="40">AL7/AH7-1</f>
        <v>-6.4356435643564303E-2</v>
      </c>
      <c r="AM25" s="244">
        <f t="shared" si="40"/>
        <v>6.2457569585879114E-2</v>
      </c>
      <c r="AN25" s="166">
        <f t="shared" ref="AN25:AO30" si="41">AN7/AJ7-1</f>
        <v>1.8078197481776082E-2</v>
      </c>
      <c r="AO25" s="245">
        <v>0.02</v>
      </c>
      <c r="AP25" s="166">
        <f>AP7/AL7-1</f>
        <v>4.0034013605441343E-2</v>
      </c>
      <c r="AQ25" s="166"/>
      <c r="AR25" s="166"/>
      <c r="AS25" s="166"/>
      <c r="AT25" s="166"/>
      <c r="AU25" s="200"/>
      <c r="AV25" s="60"/>
      <c r="AW25" s="95"/>
      <c r="AX25" s="95"/>
      <c r="AY25" s="95"/>
      <c r="AZ25" s="95"/>
      <c r="BA25" s="95"/>
      <c r="BB25" s="95"/>
      <c r="BC25" s="95"/>
      <c r="BD25" s="95"/>
      <c r="BE25" s="95">
        <f t="shared" ref="BE25:BL28" si="42">BE7/BD7-1</f>
        <v>-0.43898573692551501</v>
      </c>
      <c r="BF25" s="95">
        <f t="shared" si="42"/>
        <v>4.5903954802259888</v>
      </c>
      <c r="BG25" s="95">
        <f t="shared" si="42"/>
        <v>-0.13845376452753921</v>
      </c>
      <c r="BH25" s="95">
        <f t="shared" si="42"/>
        <v>0.42697947214076248</v>
      </c>
      <c r="BI25" s="95">
        <f t="shared" si="42"/>
        <v>-0.22277024249897248</v>
      </c>
      <c r="BJ25" s="95">
        <f t="shared" si="42"/>
        <v>0.49550502379693273</v>
      </c>
      <c r="BK25" s="95">
        <f t="shared" si="42"/>
        <v>-2.1923620933521959E-2</v>
      </c>
      <c r="BL25" s="95">
        <f t="shared" si="42"/>
        <v>7.8091106290672396E-2</v>
      </c>
      <c r="BM25" s="95">
        <f t="shared" si="25"/>
        <v>-1.8076644974692746E-3</v>
      </c>
      <c r="BN25" s="158">
        <f t="shared" si="25"/>
        <v>4.0000000000000036E-2</v>
      </c>
      <c r="BO25" s="158">
        <f t="shared" si="25"/>
        <v>2.9599782687431686E-2</v>
      </c>
      <c r="BP25" s="200"/>
      <c r="BQ25" s="200"/>
      <c r="BR25" s="199"/>
      <c r="BS25" s="244"/>
      <c r="BT25" s="244"/>
      <c r="BU25" s="244"/>
      <c r="BV25" s="244"/>
      <c r="BW25" s="244">
        <f t="shared" ref="BS25:CA30" si="43">BW7/BV7-1</f>
        <v>2.7401015228426395</v>
      </c>
      <c r="BX25" s="244">
        <f t="shared" si="43"/>
        <v>0.17372421281216077</v>
      </c>
      <c r="BY25" s="244">
        <f t="shared" si="43"/>
        <v>0.29370952821461604</v>
      </c>
      <c r="BZ25" s="244">
        <f t="shared" si="43"/>
        <v>2.663568108687886E-2</v>
      </c>
      <c r="CA25" s="166">
        <f t="shared" si="43"/>
        <v>3.499999999999992E-2</v>
      </c>
    </row>
    <row r="26" spans="1:79">
      <c r="B26" s="16" t="s">
        <v>205</v>
      </c>
      <c r="C26" s="108"/>
      <c r="D26" s="108"/>
      <c r="E26" s="108"/>
      <c r="F26" s="108"/>
      <c r="G26" s="82">
        <f t="shared" ref="G26:G27" si="44">G8/C8-1</f>
        <v>3.9946737683089761E-3</v>
      </c>
      <c r="H26" s="82">
        <f t="shared" ref="H26:H27" si="45">H8/D8-1</f>
        <v>-8.9974293059126298E-3</v>
      </c>
      <c r="I26" s="82">
        <f t="shared" ref="I26:I27" si="46">I8/E8-1</f>
        <v>1.1394101876675666E-2</v>
      </c>
      <c r="J26" s="82">
        <f t="shared" ref="J26:J27" si="47">J8/F8-1</f>
        <v>0.31610942249240126</v>
      </c>
      <c r="K26" s="82">
        <f t="shared" ref="K26:K27" si="48">K8/G8-1</f>
        <v>1.9230769230769162E-2</v>
      </c>
      <c r="L26" s="82">
        <f t="shared" ref="L26:L27" si="49">L8/H8-1</f>
        <v>4.1504539559014342E-2</v>
      </c>
      <c r="M26" s="82">
        <f t="shared" ref="M26:M27" si="50">M8/I8-1</f>
        <v>7.090788601722986E-2</v>
      </c>
      <c r="N26" s="82">
        <f t="shared" ref="N26:N27" si="51">N8/J8-1</f>
        <v>0.14838337182448047</v>
      </c>
      <c r="O26" s="82">
        <f t="shared" ref="O26:O27" si="52">O8/K8-1</f>
        <v>8.002602472348741E-2</v>
      </c>
      <c r="P26" s="82">
        <f t="shared" ref="P26:P27" si="53">P8/L8-1</f>
        <v>6.2889165628891686E-2</v>
      </c>
      <c r="Q26" s="82">
        <f t="shared" ref="Q26:Q27" si="54">Q8/M8-1</f>
        <v>0.14851485148514842</v>
      </c>
      <c r="R26" s="82">
        <f t="shared" ref="R26:R27" si="55">R8/N8-1</f>
        <v>-0.19557566616390143</v>
      </c>
      <c r="S26" s="82">
        <f t="shared" ref="S26:S27" si="56">S8/O8-1</f>
        <v>4.6987951807228923E-2</v>
      </c>
      <c r="T26" s="82">
        <f t="shared" ref="T26:T27" si="57">T8/P8-1</f>
        <v>1.1716461628588082E-2</v>
      </c>
      <c r="U26" s="82">
        <f t="shared" ref="U26:U27" si="58">U8/Q8-1</f>
        <v>-0.10183189655172409</v>
      </c>
      <c r="V26" s="82">
        <f t="shared" ref="V26:V27" si="59">V8/R8-1</f>
        <v>-4.9723863941110502E-2</v>
      </c>
      <c r="W26" s="82">
        <f t="shared" ref="W26:W27" si="60">W8/S8-1</f>
        <v>0.12888377445339461</v>
      </c>
      <c r="X26" s="82">
        <f t="shared" ref="X26:X27" si="61">X8/T8-1</f>
        <v>6.9063600351416232E-2</v>
      </c>
      <c r="Y26" s="82">
        <f t="shared" si="27"/>
        <v>4.1391721655668956E-2</v>
      </c>
      <c r="Z26" s="82">
        <f t="shared" si="28"/>
        <v>-1.6059921963512691E-3</v>
      </c>
      <c r="AA26" s="82">
        <f t="shared" si="29"/>
        <v>-8.1549439347604502E-2</v>
      </c>
      <c r="AB26" s="82">
        <f t="shared" si="30"/>
        <v>2.9641968983366684E-2</v>
      </c>
      <c r="AC26" s="82">
        <f t="shared" si="31"/>
        <v>7.0276497695852536E-2</v>
      </c>
      <c r="AD26" s="82">
        <f t="shared" si="32"/>
        <v>0.10606060606060597</v>
      </c>
      <c r="AE26" s="82">
        <f t="shared" si="33"/>
        <v>5.7713651498335183E-2</v>
      </c>
      <c r="AF26" s="82">
        <f t="shared" si="34"/>
        <v>2.6827985270910126E-2</v>
      </c>
      <c r="AG26" s="82">
        <f t="shared" si="35"/>
        <v>1.3993541442411273E-2</v>
      </c>
      <c r="AH26" s="82">
        <f t="shared" si="36"/>
        <v>7.742703990470523E-2</v>
      </c>
      <c r="AI26" s="244">
        <f t="shared" si="37"/>
        <v>1.4165792235047325E-2</v>
      </c>
      <c r="AJ26" s="244">
        <f t="shared" si="38"/>
        <v>5.1229508196721785E-3</v>
      </c>
      <c r="AK26" s="244">
        <f t="shared" si="39"/>
        <v>1.8046709129511784E-2</v>
      </c>
      <c r="AL26" s="244">
        <f t="shared" si="40"/>
        <v>-3.5931453841901551E-2</v>
      </c>
      <c r="AM26" s="244">
        <f t="shared" ref="AM26:AO30" si="62">AM8/AI8-1</f>
        <v>2.4314536989135993E-2</v>
      </c>
      <c r="AN26" s="166">
        <f t="shared" si="41"/>
        <v>-1.2870780916523494E-2</v>
      </c>
      <c r="AO26" s="166">
        <f t="shared" si="62"/>
        <v>-1.0953438817608907E-2</v>
      </c>
      <c r="AP26" s="166">
        <f t="shared" ref="AP26:AP30" si="63">AP8/AL8-1</f>
        <v>-2.7050712619881789E-2</v>
      </c>
      <c r="AQ26" s="166"/>
      <c r="AR26" s="166"/>
      <c r="AS26" s="166"/>
      <c r="AT26" s="166"/>
      <c r="AU26" s="200"/>
      <c r="AV26" s="60"/>
      <c r="AW26" s="95">
        <f t="shared" ref="AW26:BD27" si="64">AW8/AV8-1</f>
        <v>-9.606047769559134E-2</v>
      </c>
      <c r="AX26" s="95">
        <f t="shared" si="64"/>
        <v>0.10306045203849901</v>
      </c>
      <c r="AY26" s="95">
        <f t="shared" si="64"/>
        <v>-7.2549019607843102E-2</v>
      </c>
      <c r="AZ26" s="95">
        <f t="shared" si="64"/>
        <v>0.10747004933051452</v>
      </c>
      <c r="BA26" s="95">
        <f t="shared" si="64"/>
        <v>1.5908367801462653E-3</v>
      </c>
      <c r="BB26" s="95">
        <f t="shared" si="64"/>
        <v>6.9567979669631574E-2</v>
      </c>
      <c r="BC26" s="95">
        <f t="shared" si="64"/>
        <v>2.6433026433026363E-2</v>
      </c>
      <c r="BD26" s="95">
        <f t="shared" si="64"/>
        <v>2.6041666666667407E-3</v>
      </c>
      <c r="BE26" s="95">
        <f t="shared" si="42"/>
        <v>-8.0230880230880208E-2</v>
      </c>
      <c r="BF26" s="95">
        <f t="shared" si="42"/>
        <v>0.20426733605271408</v>
      </c>
      <c r="BG26" s="95">
        <f t="shared" si="42"/>
        <v>-0.1521625846795206</v>
      </c>
      <c r="BH26" s="95">
        <f t="shared" si="42"/>
        <v>0.13798401966810081</v>
      </c>
      <c r="BI26" s="95">
        <f t="shared" si="42"/>
        <v>-4.482851741830951E-2</v>
      </c>
      <c r="BJ26" s="95">
        <f t="shared" si="42"/>
        <v>9.0754877014419089E-2</v>
      </c>
      <c r="BK26" s="95">
        <f t="shared" si="42"/>
        <v>-4.2768273716951799E-2</v>
      </c>
      <c r="BL26" s="95">
        <f t="shared" si="42"/>
        <v>5.4698077443812609E-2</v>
      </c>
      <c r="BM26" s="95">
        <f t="shared" si="25"/>
        <v>-8.3942594096939604E-3</v>
      </c>
      <c r="BN26" s="158">
        <f t="shared" si="25"/>
        <v>5.5834474561697878E-3</v>
      </c>
      <c r="BO26" s="158">
        <f t="shared" si="25"/>
        <v>-1.8619644582536288E-2</v>
      </c>
      <c r="BP26" s="200"/>
      <c r="BQ26" s="200"/>
      <c r="BR26" s="199"/>
      <c r="BS26" s="244">
        <f t="shared" si="43"/>
        <v>9.4129727879515013E-3</v>
      </c>
      <c r="BT26" s="244">
        <f t="shared" si="43"/>
        <v>6.6632756866734422E-2</v>
      </c>
      <c r="BU26" s="244">
        <f t="shared" si="43"/>
        <v>8.4565251947226194E-2</v>
      </c>
      <c r="BV26" s="244">
        <f t="shared" si="43"/>
        <v>-2.5062289315550323E-2</v>
      </c>
      <c r="BW26" s="244">
        <f t="shared" si="43"/>
        <v>6.6145520144317516E-2</v>
      </c>
      <c r="BX26" s="244">
        <f t="shared" si="43"/>
        <v>2.0868584320360872E-2</v>
      </c>
      <c r="BY26" s="244">
        <f t="shared" si="43"/>
        <v>4.2955801104972435E-2</v>
      </c>
      <c r="BZ26" s="244">
        <f t="shared" si="43"/>
        <v>7.9459674215343057E-4</v>
      </c>
      <c r="CA26" s="166">
        <f t="shared" si="43"/>
        <v>-6.1449795711878696E-3</v>
      </c>
    </row>
    <row r="27" spans="1:79">
      <c r="B27" s="16" t="s">
        <v>76</v>
      </c>
      <c r="C27" s="108"/>
      <c r="D27" s="108"/>
      <c r="E27" s="108"/>
      <c r="F27" s="108"/>
      <c r="G27" s="82">
        <f t="shared" si="44"/>
        <v>2.5345622119815614E-2</v>
      </c>
      <c r="H27" s="82">
        <f t="shared" si="45"/>
        <v>-1.9658119658119699E-2</v>
      </c>
      <c r="I27" s="82">
        <f t="shared" si="46"/>
        <v>1.7173051519154603E-2</v>
      </c>
      <c r="J27" s="82">
        <f t="shared" si="47"/>
        <v>-2.6923076923076938E-2</v>
      </c>
      <c r="K27" s="82">
        <f t="shared" si="48"/>
        <v>1.348314606741563E-2</v>
      </c>
      <c r="L27" s="82">
        <f t="shared" si="49"/>
        <v>3.6617262423713992E-2</v>
      </c>
      <c r="M27" s="82">
        <f t="shared" si="50"/>
        <v>2.7272727272727337E-2</v>
      </c>
      <c r="N27" s="82">
        <f t="shared" si="51"/>
        <v>0.20553359683794459</v>
      </c>
      <c r="O27" s="82">
        <f t="shared" si="52"/>
        <v>2.6607538802660757E-2</v>
      </c>
      <c r="P27" s="82">
        <f t="shared" si="53"/>
        <v>2.8595458368376736E-2</v>
      </c>
      <c r="Q27" s="82">
        <f t="shared" si="54"/>
        <v>9.4816687737041772E-2</v>
      </c>
      <c r="R27" s="82">
        <f t="shared" si="55"/>
        <v>0.19234972677595619</v>
      </c>
      <c r="S27" s="82">
        <f t="shared" si="56"/>
        <v>0.20410367170626342</v>
      </c>
      <c r="T27" s="82">
        <f t="shared" si="57"/>
        <v>0.19869174161896974</v>
      </c>
      <c r="U27" s="82">
        <f t="shared" si="58"/>
        <v>0.18244803695150114</v>
      </c>
      <c r="V27" s="82">
        <f t="shared" si="59"/>
        <v>-0.10357470210815767</v>
      </c>
      <c r="W27" s="82">
        <f t="shared" si="60"/>
        <v>-0.17488789237668156</v>
      </c>
      <c r="X27" s="82">
        <f t="shared" si="61"/>
        <v>-2.592087312414737E-2</v>
      </c>
      <c r="Y27" s="82">
        <f t="shared" si="27"/>
        <v>-3.41796875E-2</v>
      </c>
      <c r="Z27" s="82">
        <f t="shared" si="28"/>
        <v>0.11860940695296529</v>
      </c>
      <c r="AA27" s="82">
        <f t="shared" si="29"/>
        <v>0.30108695652173911</v>
      </c>
      <c r="AB27" s="82">
        <f t="shared" si="30"/>
        <v>5.8123249299719904E-2</v>
      </c>
      <c r="AC27" s="82">
        <f t="shared" si="31"/>
        <v>5.7633973710818909E-2</v>
      </c>
      <c r="AD27" s="82">
        <f t="shared" si="32"/>
        <v>-5.7586837294332671E-2</v>
      </c>
      <c r="AE27" s="82">
        <f t="shared" si="33"/>
        <v>-3.0910609857978333E-2</v>
      </c>
      <c r="AF27" s="82">
        <f t="shared" si="34"/>
        <v>-9.9272005294507304E-3</v>
      </c>
      <c r="AG27" s="82">
        <f t="shared" si="35"/>
        <v>0.19789674952198855</v>
      </c>
      <c r="AH27" s="82">
        <f t="shared" si="36"/>
        <v>0.27158098933074681</v>
      </c>
      <c r="AI27" s="244">
        <f t="shared" si="37"/>
        <v>0.16034482758620694</v>
      </c>
      <c r="AJ27" s="244">
        <f t="shared" si="38"/>
        <v>0.14639037433155089</v>
      </c>
      <c r="AK27" s="244">
        <f t="shared" si="39"/>
        <v>-3.4317637669592949E-2</v>
      </c>
      <c r="AL27" s="244">
        <f t="shared" si="40"/>
        <v>1.1441647597254079E-2</v>
      </c>
      <c r="AM27" s="244">
        <f t="shared" si="62"/>
        <v>3.2689450222882721E-2</v>
      </c>
      <c r="AN27" s="166">
        <f t="shared" si="41"/>
        <v>-9.6956268221572994E-3</v>
      </c>
      <c r="AO27" s="166">
        <f t="shared" si="62"/>
        <v>2.8214876033057834E-2</v>
      </c>
      <c r="AP27" s="166">
        <f t="shared" si="63"/>
        <v>-2.0894579763165999E-2</v>
      </c>
      <c r="AQ27" s="166"/>
      <c r="AR27" s="166"/>
      <c r="AS27" s="166"/>
      <c r="AT27" s="166"/>
      <c r="AU27" s="200"/>
      <c r="AV27" s="60"/>
      <c r="AW27" s="95">
        <f t="shared" si="64"/>
        <v>-0.24513485831341775</v>
      </c>
      <c r="AX27" s="95">
        <f t="shared" si="64"/>
        <v>0.31614654002713727</v>
      </c>
      <c r="AY27" s="95">
        <f t="shared" si="64"/>
        <v>-0.24938635247913599</v>
      </c>
      <c r="AZ27" s="95">
        <f t="shared" si="64"/>
        <v>0.36756049705689997</v>
      </c>
      <c r="BA27" s="95">
        <f t="shared" si="64"/>
        <v>-0.18412242945958868</v>
      </c>
      <c r="BB27" s="95">
        <f t="shared" si="64"/>
        <v>0.25967174677608451</v>
      </c>
      <c r="BC27" s="95">
        <f t="shared" si="64"/>
        <v>-8.9343880874825476E-2</v>
      </c>
      <c r="BD27" s="95">
        <f t="shared" si="64"/>
        <v>0.31885539090444559</v>
      </c>
      <c r="BE27" s="95">
        <f t="shared" si="42"/>
        <v>-0.22433165439752034</v>
      </c>
      <c r="BF27" s="95">
        <f t="shared" si="42"/>
        <v>0.17282717282717286</v>
      </c>
      <c r="BG27" s="95">
        <f t="shared" si="42"/>
        <v>-0.11286201022146503</v>
      </c>
      <c r="BH27" s="95">
        <f t="shared" si="42"/>
        <v>0.30004800768122908</v>
      </c>
      <c r="BI27" s="95">
        <f t="shared" si="42"/>
        <v>-0.23301329394387005</v>
      </c>
      <c r="BJ27" s="95">
        <f t="shared" si="42"/>
        <v>0.27876745305729411</v>
      </c>
      <c r="BK27" s="95">
        <f t="shared" si="42"/>
        <v>-3.4638554216867457E-2</v>
      </c>
      <c r="BL27" s="95">
        <f t="shared" si="42"/>
        <v>0.19383775351014032</v>
      </c>
      <c r="BM27" s="95">
        <f t="shared" si="25"/>
        <v>-1.0920436817472678E-2</v>
      </c>
      <c r="BN27" s="158">
        <f t="shared" si="25"/>
        <v>8.9421757595558038E-3</v>
      </c>
      <c r="BO27" s="158">
        <f t="shared" si="25"/>
        <v>2.5369823478083031E-3</v>
      </c>
      <c r="BP27" s="200"/>
      <c r="BQ27" s="200"/>
      <c r="BR27" s="199"/>
      <c r="BS27" s="244">
        <f t="shared" si="43"/>
        <v>6.7758328627893771E-3</v>
      </c>
      <c r="BT27" s="244">
        <f t="shared" si="43"/>
        <v>6.4778463264161479E-2</v>
      </c>
      <c r="BU27" s="244">
        <f t="shared" si="43"/>
        <v>8.138003687121409E-2</v>
      </c>
      <c r="BV27" s="244">
        <f t="shared" si="43"/>
        <v>0.1161714564052605</v>
      </c>
      <c r="BW27" s="244">
        <f t="shared" si="43"/>
        <v>-3.3166048439886575E-2</v>
      </c>
      <c r="BX27" s="244">
        <f t="shared" si="43"/>
        <v>7.9891672308733952E-2</v>
      </c>
      <c r="BY27" s="244">
        <f t="shared" si="43"/>
        <v>9.0909090909090828E-2</v>
      </c>
      <c r="BZ27" s="244">
        <f t="shared" si="43"/>
        <v>7.2222222222222188E-2</v>
      </c>
      <c r="CA27" s="166">
        <f t="shared" si="43"/>
        <v>6.0399834257711671E-3</v>
      </c>
    </row>
    <row r="28" spans="1:79">
      <c r="B28" s="16" t="s">
        <v>5</v>
      </c>
      <c r="C28" s="108"/>
      <c r="D28" s="108"/>
      <c r="E28" s="108"/>
      <c r="F28" s="108"/>
      <c r="G28" s="93"/>
      <c r="H28" s="93"/>
      <c r="I28" s="93"/>
      <c r="J28" s="93"/>
      <c r="K28" s="82"/>
      <c r="L28" s="82"/>
      <c r="M28" s="82"/>
      <c r="N28" s="82"/>
      <c r="O28" s="93"/>
      <c r="P28" s="93"/>
      <c r="Q28" s="93"/>
      <c r="R28" s="93"/>
      <c r="S28" s="32"/>
      <c r="T28" s="32"/>
      <c r="U28" s="32"/>
      <c r="V28" s="32"/>
      <c r="W28" s="32"/>
      <c r="X28" s="32"/>
      <c r="Y28" s="82"/>
      <c r="Z28" s="82"/>
      <c r="AA28" s="82"/>
      <c r="AB28" s="82"/>
      <c r="AC28" s="82"/>
      <c r="AD28" s="82"/>
      <c r="AE28" s="82"/>
      <c r="AF28" s="82"/>
      <c r="AG28" s="82"/>
      <c r="AH28" s="82"/>
      <c r="AI28" s="244">
        <f t="shared" si="37"/>
        <v>7.4074074074074181E-2</v>
      </c>
      <c r="AJ28" s="244">
        <f t="shared" si="38"/>
        <v>6.8965517241379226E-2</v>
      </c>
      <c r="AK28" s="244">
        <f t="shared" si="39"/>
        <v>3.5087719298245723E-2</v>
      </c>
      <c r="AL28" s="244">
        <f t="shared" si="40"/>
        <v>0.17543859649122817</v>
      </c>
      <c r="AM28" s="244">
        <f t="shared" si="62"/>
        <v>0.13793103448275867</v>
      </c>
      <c r="AN28" s="166">
        <f t="shared" si="41"/>
        <v>6.4516129032258007E-2</v>
      </c>
      <c r="AO28" s="245">
        <v>0.1</v>
      </c>
      <c r="AP28" s="166">
        <f t="shared" si="63"/>
        <v>0.11081434930610135</v>
      </c>
      <c r="AQ28" s="166"/>
      <c r="AR28" s="166"/>
      <c r="AS28" s="166"/>
      <c r="AT28" s="166"/>
      <c r="AU28" s="200"/>
      <c r="AV28" s="60"/>
      <c r="AW28" s="95"/>
      <c r="AX28" s="95"/>
      <c r="AY28" s="95"/>
      <c r="AZ28" s="95"/>
      <c r="BA28" s="95"/>
      <c r="BB28" s="95"/>
      <c r="BC28" s="95"/>
      <c r="BD28" s="95"/>
      <c r="BE28" s="95">
        <f t="shared" si="42"/>
        <v>-0.20769230769230773</v>
      </c>
      <c r="BF28" s="95">
        <f t="shared" si="42"/>
        <v>-0.50485436893203883</v>
      </c>
      <c r="BG28" s="95">
        <f t="shared" si="42"/>
        <v>-7.8431372549019662E-2</v>
      </c>
      <c r="BH28" s="95">
        <f t="shared" si="42"/>
        <v>0.27659574468085113</v>
      </c>
      <c r="BI28" s="95">
        <f t="shared" si="42"/>
        <v>-0.30000000000000004</v>
      </c>
      <c r="BJ28" s="95">
        <f t="shared" si="42"/>
        <v>-3.6666666666666665</v>
      </c>
      <c r="BK28" s="95">
        <f t="shared" si="42"/>
        <v>1.7857142857142794E-2</v>
      </c>
      <c r="BL28" s="95">
        <f t="shared" si="42"/>
        <v>5.2631578947368363E-2</v>
      </c>
      <c r="BM28" s="95">
        <f t="shared" si="25"/>
        <v>0.10526315789473695</v>
      </c>
      <c r="BN28" s="158">
        <f t="shared" si="25"/>
        <v>0.10000000000000009</v>
      </c>
      <c r="BO28" s="158">
        <f t="shared" si="25"/>
        <v>0.10000000000000009</v>
      </c>
      <c r="BP28" s="200"/>
      <c r="BQ28" s="200"/>
      <c r="BR28" s="199"/>
      <c r="BS28" s="244"/>
      <c r="BT28" s="244"/>
      <c r="BU28" s="244"/>
      <c r="BV28" s="244"/>
      <c r="BW28" s="244"/>
      <c r="BX28" s="244"/>
      <c r="BY28" s="244"/>
      <c r="BZ28" s="244">
        <f t="shared" si="43"/>
        <v>8.8495575221238854E-2</v>
      </c>
      <c r="CA28" s="166">
        <f t="shared" si="43"/>
        <v>0.10000000000000009</v>
      </c>
    </row>
    <row r="29" spans="1:79">
      <c r="B29" s="17" t="s">
        <v>6</v>
      </c>
      <c r="C29" s="108"/>
      <c r="D29" s="108"/>
      <c r="E29" s="108"/>
      <c r="F29" s="108"/>
      <c r="G29" s="93"/>
      <c r="H29" s="93"/>
      <c r="I29" s="93"/>
      <c r="J29" s="93"/>
      <c r="K29" s="82"/>
      <c r="L29" s="82"/>
      <c r="M29" s="82"/>
      <c r="N29" s="82"/>
      <c r="O29" s="93"/>
      <c r="P29" s="93"/>
      <c r="Q29" s="93"/>
      <c r="R29" s="93"/>
      <c r="S29" s="32"/>
      <c r="T29" s="32"/>
      <c r="U29" s="32"/>
      <c r="V29" s="32"/>
      <c r="W29" s="32"/>
      <c r="X29" s="32"/>
      <c r="Y29" s="82"/>
      <c r="Z29" s="82"/>
      <c r="AA29" s="82"/>
      <c r="AB29" s="82"/>
      <c r="AC29" s="82"/>
      <c r="AD29" s="82"/>
      <c r="AE29" s="82"/>
      <c r="AF29" s="82"/>
      <c r="AG29" s="82"/>
      <c r="AH29" s="82"/>
      <c r="AI29" s="244">
        <f t="shared" si="37"/>
        <v>9.3085106382978733E-2</v>
      </c>
      <c r="AJ29" s="244">
        <f t="shared" si="38"/>
        <v>7.7319587628865705E-3</v>
      </c>
      <c r="AK29" s="244">
        <f t="shared" si="39"/>
        <v>1.0781671159029615E-2</v>
      </c>
      <c r="AL29" s="244">
        <f t="shared" si="40"/>
        <v>5.6022408963585457E-2</v>
      </c>
      <c r="AM29" s="244">
        <f t="shared" si="62"/>
        <v>-1.4598540145985384E-2</v>
      </c>
      <c r="AN29" s="166">
        <f t="shared" si="41"/>
        <v>1.5345268542199531E-2</v>
      </c>
      <c r="AO29" s="245">
        <v>0</v>
      </c>
      <c r="AP29" s="166">
        <f t="shared" si="63"/>
        <v>0</v>
      </c>
      <c r="AQ29" s="166"/>
      <c r="AR29" s="166"/>
      <c r="AS29" s="166"/>
      <c r="AT29" s="166"/>
      <c r="AU29" s="200"/>
      <c r="AV29" s="60"/>
      <c r="AW29" s="95"/>
      <c r="AX29" s="95"/>
      <c r="AY29" s="95"/>
      <c r="AZ29" s="95"/>
      <c r="BA29" s="95"/>
      <c r="BB29" s="95"/>
      <c r="BC29" s="95"/>
      <c r="BD29" s="95"/>
      <c r="BE29" s="95"/>
      <c r="BF29" s="95"/>
      <c r="BG29" s="95"/>
      <c r="BH29" s="95"/>
      <c r="BI29" s="95"/>
      <c r="BJ29" s="95"/>
      <c r="BK29" s="95">
        <f>BK11/BJ11-1</f>
        <v>-4.7120418848167533E-2</v>
      </c>
      <c r="BL29" s="95">
        <f>BL11/BK11-1</f>
        <v>0.10164835164835173</v>
      </c>
      <c r="BM29" s="95">
        <f t="shared" si="25"/>
        <v>3.2967032967033072E-2</v>
      </c>
      <c r="BN29" s="158">
        <f t="shared" si="25"/>
        <v>0</v>
      </c>
      <c r="BO29" s="158">
        <f t="shared" si="25"/>
        <v>0</v>
      </c>
      <c r="BP29" s="200"/>
      <c r="BQ29" s="200"/>
      <c r="BR29" s="199"/>
      <c r="BS29" s="244"/>
      <c r="BT29" s="244"/>
      <c r="BU29" s="244"/>
      <c r="BV29" s="244"/>
      <c r="BW29" s="244"/>
      <c r="BX29" s="244"/>
      <c r="BY29" s="244"/>
      <c r="BZ29" s="244">
        <f t="shared" si="43"/>
        <v>4.1554959785522705E-2</v>
      </c>
      <c r="CA29" s="166">
        <f t="shared" si="43"/>
        <v>0</v>
      </c>
    </row>
    <row r="30" spans="1:79">
      <c r="B30" s="338" t="s">
        <v>331</v>
      </c>
      <c r="C30" s="341"/>
      <c r="D30" s="341"/>
      <c r="E30" s="341"/>
      <c r="F30" s="341"/>
      <c r="G30" s="342"/>
      <c r="H30" s="342"/>
      <c r="I30" s="342"/>
      <c r="J30" s="342"/>
      <c r="K30" s="343"/>
      <c r="L30" s="343"/>
      <c r="M30" s="343"/>
      <c r="N30" s="343"/>
      <c r="O30" s="342"/>
      <c r="P30" s="342"/>
      <c r="Q30" s="342"/>
      <c r="R30" s="342"/>
      <c r="S30" s="344"/>
      <c r="T30" s="344"/>
      <c r="U30" s="344"/>
      <c r="V30" s="344"/>
      <c r="W30" s="344"/>
      <c r="X30" s="344"/>
      <c r="Y30" s="343">
        <f t="shared" si="27"/>
        <v>0.1013363434439063</v>
      </c>
      <c r="Z30" s="343">
        <f t="shared" si="28"/>
        <v>0.12450237547352017</v>
      </c>
      <c r="AA30" s="345">
        <f t="shared" si="29"/>
        <v>1.8392746021868689E-2</v>
      </c>
      <c r="AB30" s="345">
        <f t="shared" si="30"/>
        <v>5.3554525169131617E-2</v>
      </c>
      <c r="AC30" s="345">
        <f t="shared" si="31"/>
        <v>8.0341202142432122E-2</v>
      </c>
      <c r="AD30" s="345">
        <f t="shared" si="32"/>
        <v>7.9894836777915756E-2</v>
      </c>
      <c r="AE30" s="345">
        <f t="shared" si="33"/>
        <v>5.2453320996167951E-2</v>
      </c>
      <c r="AF30" s="345">
        <f t="shared" si="34"/>
        <v>3.6157586887029858E-2</v>
      </c>
      <c r="AG30" s="345">
        <f t="shared" si="35"/>
        <v>2.65638389031706E-2</v>
      </c>
      <c r="AH30" s="345">
        <f t="shared" si="36"/>
        <v>0.1168594035301278</v>
      </c>
      <c r="AI30" s="346">
        <f t="shared" si="37"/>
        <v>4.5285647933116513E-2</v>
      </c>
      <c r="AJ30" s="346">
        <f t="shared" si="38"/>
        <v>2.957900178048356E-2</v>
      </c>
      <c r="AK30" s="346">
        <f t="shared" si="39"/>
        <v>3.2077271643214944E-2</v>
      </c>
      <c r="AL30" s="346">
        <f t="shared" si="40"/>
        <v>-4.1053587647593148E-2</v>
      </c>
      <c r="AM30" s="346">
        <f t="shared" si="62"/>
        <v>2.6605198844701139E-2</v>
      </c>
      <c r="AN30" s="346">
        <f t="shared" si="41"/>
        <v>3.5993025008167701E-2</v>
      </c>
      <c r="AO30" s="346">
        <f t="shared" si="41"/>
        <v>2.9125750603368861E-2</v>
      </c>
      <c r="AP30" s="346">
        <f t="shared" si="63"/>
        <v>2.8248463917327493E-2</v>
      </c>
      <c r="AQ30" s="362"/>
      <c r="AR30" s="362"/>
      <c r="AS30" s="362"/>
      <c r="AT30" s="362"/>
      <c r="AU30" s="200"/>
      <c r="AV30" s="347"/>
      <c r="AW30" s="348">
        <f t="shared" ref="AW30:BJ30" si="65">AW12/AV12-1</f>
        <v>-0.11081095032434574</v>
      </c>
      <c r="AX30" s="348">
        <f t="shared" si="65"/>
        <v>0.1574588308144822</v>
      </c>
      <c r="AY30" s="348">
        <f t="shared" si="65"/>
        <v>-8.8240211321764184E-2</v>
      </c>
      <c r="AZ30" s="348">
        <f t="shared" si="65"/>
        <v>0.12171776441249826</v>
      </c>
      <c r="BA30" s="348">
        <f t="shared" si="65"/>
        <v>-3.8905417334161529E-2</v>
      </c>
      <c r="BB30" s="348">
        <f t="shared" si="65"/>
        <v>0.10249345171275981</v>
      </c>
      <c r="BC30" s="348">
        <f t="shared" si="65"/>
        <v>-3.5328602283245858E-2</v>
      </c>
      <c r="BD30" s="348">
        <f t="shared" si="65"/>
        <v>0.147769070845994</v>
      </c>
      <c r="BE30" s="348">
        <f t="shared" si="65"/>
        <v>-0.12409084575728024</v>
      </c>
      <c r="BF30" s="348">
        <f t="shared" si="65"/>
        <v>1.4698396538559422E-2</v>
      </c>
      <c r="BG30" s="348">
        <f t="shared" si="65"/>
        <v>-9.2148993541104951E-2</v>
      </c>
      <c r="BH30" s="348">
        <f t="shared" si="65"/>
        <v>0.14553617682610942</v>
      </c>
      <c r="BI30" s="348">
        <f t="shared" si="65"/>
        <v>-6.1623805360426887E-2</v>
      </c>
      <c r="BJ30" s="348">
        <f t="shared" si="65"/>
        <v>0.1127710843373495</v>
      </c>
      <c r="BK30" s="348">
        <f>BK12/BJ12-1</f>
        <v>-3.8920167460661181E-2</v>
      </c>
      <c r="BL30" s="348">
        <f>BL12/BK12-1</f>
        <v>7.9400366509448039E-2</v>
      </c>
      <c r="BM30" s="348">
        <f t="shared" si="25"/>
        <v>-4.205846126115298E-3</v>
      </c>
      <c r="BN30" s="348">
        <f t="shared" si="25"/>
        <v>3.1288921967615124E-2</v>
      </c>
      <c r="BO30" s="348">
        <f t="shared" si="25"/>
        <v>2.8706599873383087E-2</v>
      </c>
      <c r="BP30" s="200"/>
      <c r="BQ30" s="200"/>
      <c r="BR30" s="349"/>
      <c r="BS30" s="346">
        <f t="shared" si="43"/>
        <v>4.2559398989806985E-2</v>
      </c>
      <c r="BT30" s="346">
        <f t="shared" si="43"/>
        <v>4.9129864451246119E-2</v>
      </c>
      <c r="BU30" s="346">
        <f t="shared" si="43"/>
        <v>6.1533075486796429E-2</v>
      </c>
      <c r="BV30" s="346">
        <f t="shared" si="43"/>
        <v>5.7196702002355604E-2</v>
      </c>
      <c r="BW30" s="346">
        <f t="shared" si="43"/>
        <v>-9.608271313338379E-2</v>
      </c>
      <c r="BX30" s="346">
        <f t="shared" si="43"/>
        <v>5.6615556541602885E-2</v>
      </c>
      <c r="BY30" s="346">
        <f t="shared" si="43"/>
        <v>5.6428282576912236E-2</v>
      </c>
      <c r="BZ30" s="346">
        <f t="shared" si="43"/>
        <v>1.7004799623097089E-2</v>
      </c>
      <c r="CA30" s="346">
        <f t="shared" si="43"/>
        <v>3.0049779699457879E-2</v>
      </c>
    </row>
    <row r="31" spans="1:79">
      <c r="B31" s="73"/>
      <c r="C31" s="108"/>
      <c r="D31" s="108"/>
      <c r="E31" s="108"/>
      <c r="F31" s="108"/>
      <c r="G31" s="93"/>
      <c r="H31" s="93"/>
      <c r="I31" s="93"/>
      <c r="J31" s="93"/>
      <c r="K31" s="82"/>
      <c r="L31" s="82"/>
      <c r="M31" s="82"/>
      <c r="N31" s="82"/>
      <c r="O31" s="93"/>
      <c r="P31" s="93"/>
      <c r="Q31" s="93"/>
      <c r="R31" s="93"/>
      <c r="S31" s="32"/>
      <c r="T31" s="32"/>
      <c r="U31" s="32"/>
      <c r="V31" s="32"/>
      <c r="W31" s="32"/>
      <c r="X31" s="32"/>
      <c r="Y31" s="32"/>
      <c r="Z31" s="32"/>
      <c r="AA31" s="32"/>
      <c r="AB31" s="32"/>
      <c r="AC31" s="32"/>
      <c r="AD31" s="32"/>
      <c r="AE31" s="32"/>
      <c r="AF31" s="32"/>
      <c r="AG31" s="32"/>
      <c r="AH31" s="32"/>
      <c r="AI31" s="199"/>
      <c r="AJ31" s="199"/>
      <c r="AK31" s="199"/>
      <c r="AL31" s="199"/>
      <c r="AM31" s="199"/>
      <c r="AN31" s="200"/>
      <c r="AO31" s="200"/>
      <c r="AP31" s="200"/>
      <c r="AQ31" s="200"/>
      <c r="AR31" s="200"/>
      <c r="AS31" s="200"/>
      <c r="AT31" s="200"/>
      <c r="AU31" s="200"/>
      <c r="AV31" s="60"/>
      <c r="AW31" s="60"/>
      <c r="AX31" s="60"/>
      <c r="AY31" s="60"/>
      <c r="AZ31" s="60"/>
      <c r="BA31" s="60"/>
      <c r="BB31" s="60"/>
      <c r="BC31" s="60"/>
      <c r="BD31" s="60"/>
      <c r="BE31" s="60"/>
      <c r="BF31" s="60"/>
      <c r="BG31" s="60"/>
      <c r="BH31" s="60"/>
      <c r="BI31" s="60"/>
      <c r="BJ31" s="60"/>
      <c r="BK31" s="60"/>
      <c r="BL31" s="60"/>
      <c r="BM31" s="60"/>
      <c r="BN31" s="293"/>
      <c r="BO31" s="293"/>
      <c r="BP31" s="200"/>
      <c r="BQ31" s="200"/>
      <c r="BR31" s="199"/>
      <c r="BS31" s="199"/>
      <c r="BT31" s="199"/>
      <c r="BU31" s="199"/>
      <c r="BV31" s="199"/>
      <c r="BW31" s="199"/>
      <c r="BX31" s="199"/>
      <c r="BY31" s="199"/>
      <c r="BZ31" s="199"/>
      <c r="CA31" s="200"/>
    </row>
    <row r="32" spans="1:79">
      <c r="B32" s="72" t="s">
        <v>266</v>
      </c>
      <c r="C32" s="108"/>
      <c r="D32" s="108"/>
      <c r="E32" s="108"/>
      <c r="F32" s="108"/>
      <c r="G32" s="93"/>
      <c r="H32" s="93"/>
      <c r="I32" s="93"/>
      <c r="J32" s="93"/>
      <c r="K32" s="82"/>
      <c r="L32" s="82"/>
      <c r="M32" s="82"/>
      <c r="N32" s="82"/>
      <c r="O32" s="93"/>
      <c r="P32" s="93"/>
      <c r="Q32" s="93"/>
      <c r="R32" s="93"/>
      <c r="S32" s="32"/>
      <c r="T32" s="32"/>
      <c r="U32" s="32"/>
      <c r="V32" s="32"/>
      <c r="W32" s="32"/>
      <c r="X32" s="92"/>
      <c r="Y32" s="92"/>
      <c r="Z32" s="92"/>
      <c r="AA32" s="92"/>
      <c r="AB32" s="92"/>
      <c r="AC32" s="92"/>
      <c r="AD32" s="92"/>
      <c r="AE32" s="92"/>
      <c r="AF32" s="92"/>
      <c r="AG32" s="92"/>
      <c r="AH32" s="92"/>
      <c r="AI32" s="104"/>
      <c r="AJ32" s="104"/>
      <c r="AK32" s="104"/>
      <c r="AL32" s="104"/>
      <c r="AM32" s="104"/>
      <c r="AN32" s="184"/>
      <c r="AO32" s="184"/>
      <c r="AP32" s="184"/>
      <c r="AQ32" s="184"/>
      <c r="AR32" s="184"/>
      <c r="AS32" s="184"/>
      <c r="AT32" s="184"/>
      <c r="AU32" s="184"/>
      <c r="AV32" s="60"/>
      <c r="AW32" s="60"/>
      <c r="AX32" s="60"/>
      <c r="AY32" s="60"/>
      <c r="AZ32" s="60"/>
      <c r="BA32" s="60"/>
      <c r="BB32" s="60"/>
      <c r="BC32" s="60"/>
      <c r="BD32" s="60"/>
      <c r="BE32" s="60"/>
      <c r="BF32" s="60"/>
      <c r="BG32" s="60"/>
      <c r="BH32" s="60"/>
      <c r="BI32" s="60"/>
      <c r="BJ32" s="60"/>
      <c r="BK32" s="60"/>
      <c r="BL32" s="60"/>
      <c r="BM32" s="60"/>
      <c r="BN32" s="293"/>
      <c r="BO32" s="293"/>
      <c r="BP32" s="200"/>
      <c r="BQ32" s="200"/>
      <c r="BR32" s="199"/>
      <c r="BS32" s="199"/>
      <c r="BT32" s="199"/>
      <c r="BU32" s="199"/>
      <c r="BV32" s="199"/>
      <c r="BW32" s="199"/>
      <c r="BX32" s="199"/>
      <c r="BY32" s="199"/>
      <c r="BZ32" s="199"/>
      <c r="CA32" s="200"/>
    </row>
    <row r="33" spans="1:79" ht="15">
      <c r="A33" s="24" t="s">
        <v>361</v>
      </c>
      <c r="B33" s="16" t="s">
        <v>1</v>
      </c>
      <c r="C33" s="108">
        <v>6.9999999999999993E-3</v>
      </c>
      <c r="D33" s="108">
        <v>3.1E-2</v>
      </c>
      <c r="E33" s="108">
        <v>4.4999999999999998E-2</v>
      </c>
      <c r="F33" s="108">
        <v>6.4000000000000001E-2</v>
      </c>
      <c r="G33" s="108">
        <v>4.9000000000000002E-2</v>
      </c>
      <c r="H33" s="108">
        <v>0.05</v>
      </c>
      <c r="I33" s="108">
        <v>0.04</v>
      </c>
      <c r="J33" s="108">
        <v>3.1E-2</v>
      </c>
      <c r="K33" s="108">
        <v>1.7999999999999999E-2</v>
      </c>
      <c r="L33" s="108">
        <v>2.7E-2</v>
      </c>
      <c r="M33" s="108">
        <v>4.2000000000000003E-2</v>
      </c>
      <c r="N33" s="108">
        <v>3.5999999999999997E-2</v>
      </c>
      <c r="O33" s="108">
        <v>6.6000000000000003E-2</v>
      </c>
      <c r="P33" s="108">
        <v>3.7999999999999999E-2</v>
      </c>
      <c r="Q33" s="108">
        <v>0.10299999999999999</v>
      </c>
      <c r="R33" s="108">
        <v>8.8999999999999996E-2</v>
      </c>
      <c r="S33" s="100">
        <v>0.115</v>
      </c>
      <c r="T33" s="100">
        <v>7.0999999999999994E-2</v>
      </c>
      <c r="U33" s="100">
        <v>-2.1000000000000001E-2</v>
      </c>
      <c r="V33" s="100">
        <v>1E-3</v>
      </c>
      <c r="W33" s="100">
        <v>2.7E-2</v>
      </c>
      <c r="X33" s="106">
        <v>1.9E-2</v>
      </c>
      <c r="Y33" s="100">
        <v>4.3999999999999997E-2</v>
      </c>
      <c r="Z33" s="100">
        <v>5.1999999999999998E-2</v>
      </c>
      <c r="AA33" s="109">
        <v>-8.9999999999999993E-3</v>
      </c>
      <c r="AB33" s="109">
        <v>5.0999999999999997E-2</v>
      </c>
      <c r="AC33" s="109">
        <v>6.8000000000000005E-2</v>
      </c>
      <c r="AD33" s="109">
        <v>6.4000000000000001E-2</v>
      </c>
      <c r="AE33" s="100">
        <v>5.5E-2</v>
      </c>
      <c r="AF33" s="100">
        <v>3.7999999999999999E-2</v>
      </c>
      <c r="AG33" s="100">
        <v>1.0999999999999999E-2</v>
      </c>
      <c r="AH33" s="35">
        <v>1.2999999999999999E-2</v>
      </c>
      <c r="AI33" s="100">
        <v>2.3E-2</v>
      </c>
      <c r="AJ33" s="100">
        <v>1.0999999999999999E-2</v>
      </c>
      <c r="AK33" s="100">
        <v>0.03</v>
      </c>
      <c r="AL33" s="35">
        <v>2.9000000000000001E-2</v>
      </c>
      <c r="AM33" s="35">
        <v>1.6E-2</v>
      </c>
      <c r="AN33" s="180">
        <v>4.2999999999999997E-2</v>
      </c>
      <c r="AO33" s="180">
        <v>0.03</v>
      </c>
      <c r="AP33" s="180">
        <v>0.03</v>
      </c>
      <c r="AQ33" s="180"/>
      <c r="AR33" s="180"/>
      <c r="AS33" s="180"/>
      <c r="AT33" s="180"/>
      <c r="AU33" s="184"/>
      <c r="AV33" s="95">
        <f>AVERAGE(C33:D33)</f>
        <v>1.9E-2</v>
      </c>
      <c r="AW33" s="95">
        <f>AVERAGE(E33:F33)</f>
        <v>5.45E-2</v>
      </c>
      <c r="AX33" s="95">
        <f>AVERAGE(G33:H33)</f>
        <v>4.9500000000000002E-2</v>
      </c>
      <c r="AY33" s="95">
        <f>AVERAGE(I33:J33)</f>
        <v>3.5500000000000004E-2</v>
      </c>
      <c r="AZ33" s="95">
        <f>AVERAGE(K33:L33)</f>
        <v>2.2499999999999999E-2</v>
      </c>
      <c r="BA33" s="95">
        <f>AVERAGE(M33:N33)</f>
        <v>3.9E-2</v>
      </c>
      <c r="BB33" s="95">
        <f>AVERAGE(O33:P33)</f>
        <v>5.2000000000000005E-2</v>
      </c>
      <c r="BC33" s="95">
        <f>AVERAGE(Q33:R33)</f>
        <v>9.6000000000000002E-2</v>
      </c>
      <c r="BD33" s="95">
        <f>AVERAGE(S33:T33)</f>
        <v>9.2999999999999999E-2</v>
      </c>
      <c r="BE33" s="95">
        <f>AVERAGE(U33:V33)</f>
        <v>-0.01</v>
      </c>
      <c r="BF33" s="95">
        <f>AVERAGE(W33:X33)</f>
        <v>2.3E-2</v>
      </c>
      <c r="BG33" s="95">
        <f>AVERAGE(Y33:Z33)</f>
        <v>4.8000000000000001E-2</v>
      </c>
      <c r="BH33" s="95">
        <f>AVERAGE(AA33:AB33)</f>
        <v>2.0999999999999998E-2</v>
      </c>
      <c r="BI33" s="95">
        <f>AVERAGE(AC33:AD33)</f>
        <v>6.6000000000000003E-2</v>
      </c>
      <c r="BJ33" s="95">
        <f>AVERAGE(AE33:AF33)</f>
        <v>4.65E-2</v>
      </c>
      <c r="BK33" s="95">
        <f>AVERAGE(AG33:AH33)</f>
        <v>1.2E-2</v>
      </c>
      <c r="BL33" s="95">
        <f>AVERAGE(AI33:AJ33)</f>
        <v>1.7000000000000001E-2</v>
      </c>
      <c r="BM33" s="95">
        <f>AVERAGE(AK33:AL33)</f>
        <v>2.9499999999999998E-2</v>
      </c>
      <c r="BN33" s="158">
        <f>AVERAGE(AM33:AN33)</f>
        <v>2.9499999999999998E-2</v>
      </c>
      <c r="BO33" s="158">
        <f>AVERAGE(AO33:AP33)</f>
        <v>0.03</v>
      </c>
      <c r="BP33" s="200"/>
      <c r="BQ33" s="200"/>
      <c r="BR33" s="199"/>
      <c r="BS33" s="199"/>
      <c r="BT33" s="199"/>
      <c r="BU33" s="199"/>
      <c r="BV33" s="199"/>
      <c r="BW33" s="199"/>
      <c r="BX33" s="199"/>
      <c r="BY33" s="199"/>
      <c r="BZ33" s="199"/>
      <c r="CA33" s="277">
        <f>AVERAGE(AM33:AP33)</f>
        <v>2.9749999999999999E-2</v>
      </c>
    </row>
    <row r="34" spans="1:79">
      <c r="A34" s="24" t="s">
        <v>363</v>
      </c>
      <c r="B34" s="16" t="s">
        <v>308</v>
      </c>
      <c r="C34" s="108">
        <v>-6.9999999999999993E-3</v>
      </c>
      <c r="D34" s="108">
        <v>5.0000000000000001E-3</v>
      </c>
      <c r="E34" s="108">
        <v>2.1000000000000001E-2</v>
      </c>
      <c r="F34" s="108">
        <v>0.03</v>
      </c>
      <c r="G34" s="108">
        <v>2.7E-2</v>
      </c>
      <c r="H34" s="108">
        <v>3.3000000000000002E-2</v>
      </c>
      <c r="I34" s="108">
        <v>3.7999999999999999E-2</v>
      </c>
      <c r="J34" s="108">
        <v>3.6999999999999998E-2</v>
      </c>
      <c r="K34" s="108">
        <v>0.04</v>
      </c>
      <c r="L34" s="108">
        <v>2.4E-2</v>
      </c>
      <c r="M34" s="108">
        <v>3.7999999999999999E-2</v>
      </c>
      <c r="N34" s="108">
        <v>3.5000000000000003E-2</v>
      </c>
      <c r="O34" s="108">
        <v>4.8000000000000001E-2</v>
      </c>
      <c r="P34" s="108">
        <v>4.4999999999999998E-2</v>
      </c>
      <c r="Q34" s="108">
        <v>0.13400000000000001</v>
      </c>
      <c r="R34" s="108">
        <v>0.13900000000000001</v>
      </c>
      <c r="S34" s="35">
        <v>5.8000000000000003E-2</v>
      </c>
      <c r="T34" s="35">
        <v>8.0000000000000002E-3</v>
      </c>
      <c r="U34" s="35">
        <v>-7.4999999999999997E-2</v>
      </c>
      <c r="V34" s="35">
        <v>-4.2000000000000003E-2</v>
      </c>
      <c r="W34" s="35">
        <v>0.09</v>
      </c>
      <c r="X34" s="35">
        <v>0.06</v>
      </c>
      <c r="Y34" s="35">
        <v>3.1E-2</v>
      </c>
      <c r="Z34" s="35">
        <v>1.4E-2</v>
      </c>
      <c r="AA34" s="35">
        <v>-3.3000000000000002E-2</v>
      </c>
      <c r="AB34" s="100">
        <v>0.04</v>
      </c>
      <c r="AC34" s="100">
        <v>6.8000000000000005E-2</v>
      </c>
      <c r="AD34" s="100">
        <v>7.1999999999999995E-2</v>
      </c>
      <c r="AE34" s="35">
        <v>2.5999999999999999E-2</v>
      </c>
      <c r="AF34" s="100">
        <v>2.5000000000000001E-2</v>
      </c>
      <c r="AG34" s="100">
        <v>1.4999999999999999E-2</v>
      </c>
      <c r="AH34" s="35">
        <v>1.0999999999999999E-2</v>
      </c>
      <c r="AI34" s="100">
        <v>3.4000000000000002E-2</v>
      </c>
      <c r="AJ34" s="100">
        <v>3.2000000000000001E-2</v>
      </c>
      <c r="AK34" s="100">
        <v>3.7999999999999999E-2</v>
      </c>
      <c r="AL34" s="35">
        <v>4.9000000000000002E-2</v>
      </c>
      <c r="AM34" s="35">
        <v>3.6999999999999998E-2</v>
      </c>
      <c r="AN34" s="180">
        <v>0.04</v>
      </c>
      <c r="AO34" s="180">
        <v>3.5000000000000003E-2</v>
      </c>
      <c r="AP34" s="180">
        <v>2.5000000000000001E-2</v>
      </c>
      <c r="AQ34" s="180"/>
      <c r="AR34" s="180"/>
      <c r="AS34" s="180"/>
      <c r="AT34" s="180"/>
      <c r="AU34" s="184"/>
      <c r="AV34" s="95">
        <f t="shared" ref="AV34:AV35" si="66">AVERAGE(C34:D34)</f>
        <v>-9.9999999999999959E-4</v>
      </c>
      <c r="AW34" s="95">
        <f t="shared" ref="AW34:AW35" si="67">AVERAGE(E34:F34)</f>
        <v>2.5500000000000002E-2</v>
      </c>
      <c r="AX34" s="95">
        <f t="shared" ref="AX34:AX35" si="68">AVERAGE(G34:H34)</f>
        <v>0.03</v>
      </c>
      <c r="AY34" s="95">
        <f t="shared" ref="AY34:AY35" si="69">AVERAGE(I34:J34)</f>
        <v>3.7499999999999999E-2</v>
      </c>
      <c r="AZ34" s="95">
        <f t="shared" ref="AZ34:AZ35" si="70">AVERAGE(K34:L34)</f>
        <v>3.2000000000000001E-2</v>
      </c>
      <c r="BA34" s="95">
        <f t="shared" ref="BA34:BA35" si="71">AVERAGE(M34:N34)</f>
        <v>3.6500000000000005E-2</v>
      </c>
      <c r="BB34" s="95">
        <f t="shared" ref="BB34:BB35" si="72">AVERAGE(O34:P34)</f>
        <v>4.65E-2</v>
      </c>
      <c r="BC34" s="95">
        <f t="shared" ref="BC34:BC35" si="73">AVERAGE(Q34:R34)</f>
        <v>0.13650000000000001</v>
      </c>
      <c r="BD34" s="95">
        <f t="shared" ref="BD34:BD35" si="74">AVERAGE(S34:T34)</f>
        <v>3.3000000000000002E-2</v>
      </c>
      <c r="BE34" s="95">
        <f t="shared" ref="BE34:BE35" si="75">AVERAGE(U34:V34)</f>
        <v>-5.8499999999999996E-2</v>
      </c>
      <c r="BF34" s="95">
        <f t="shared" ref="BF34:BF35" si="76">AVERAGE(W34:X34)</f>
        <v>7.4999999999999997E-2</v>
      </c>
      <c r="BG34" s="95">
        <f t="shared" ref="BG34:BG35" si="77">AVERAGE(Y34:Z34)</f>
        <v>2.2499999999999999E-2</v>
      </c>
      <c r="BH34" s="95">
        <f t="shared" ref="BH34:BH35" si="78">AVERAGE(AA34:AB34)</f>
        <v>3.4999999999999996E-3</v>
      </c>
      <c r="BI34" s="95">
        <f t="shared" ref="BI34:BI35" si="79">AVERAGE(AC34:AD34)</f>
        <v>7.0000000000000007E-2</v>
      </c>
      <c r="BJ34" s="95">
        <f t="shared" ref="BJ34:BJ35" si="80">AVERAGE(AE34:AF34)</f>
        <v>2.5500000000000002E-2</v>
      </c>
      <c r="BK34" s="95">
        <f t="shared" ref="BK34:BK35" si="81">AVERAGE(AG34:AH34)</f>
        <v>1.2999999999999999E-2</v>
      </c>
      <c r="BL34" s="95">
        <f t="shared" ref="BL34:BL35" si="82">AVERAGE(AI34:AJ34)</f>
        <v>3.3000000000000002E-2</v>
      </c>
      <c r="BM34" s="95">
        <f t="shared" ref="BM34:BM35" si="83">AVERAGE(AK34:AL34)</f>
        <v>4.3499999999999997E-2</v>
      </c>
      <c r="BN34" s="158">
        <f t="shared" ref="BN34:BN35" si="84">AVERAGE(AM34:AN34)</f>
        <v>3.85E-2</v>
      </c>
      <c r="BO34" s="158">
        <f t="shared" ref="BO34:BO35" si="85">AVERAGE(AO34:AP34)</f>
        <v>3.0000000000000002E-2</v>
      </c>
      <c r="BP34" s="200"/>
      <c r="BQ34" s="200"/>
      <c r="BR34" s="199"/>
      <c r="BS34" s="199"/>
      <c r="BT34" s="199"/>
      <c r="BU34" s="199"/>
      <c r="BV34" s="199"/>
      <c r="BW34" s="199"/>
      <c r="BX34" s="199"/>
      <c r="BY34" s="199"/>
      <c r="BZ34" s="199"/>
      <c r="CA34" s="277">
        <f t="shared" ref="CA34:CA35" si="86">AVERAGE(AM34:AP34)</f>
        <v>3.4250000000000003E-2</v>
      </c>
    </row>
    <row r="35" spans="1:79">
      <c r="A35" s="24" t="s">
        <v>365</v>
      </c>
      <c r="B35" s="16" t="s">
        <v>194</v>
      </c>
      <c r="C35" s="108">
        <v>-5.7000000000000002E-2</v>
      </c>
      <c r="D35" s="108">
        <v>-6.7000000000000004E-2</v>
      </c>
      <c r="E35" s="108">
        <v>-5.7000000000000002E-2</v>
      </c>
      <c r="F35" s="108">
        <v>-3.9E-2</v>
      </c>
      <c r="G35" s="108">
        <v>2.9000000000000001E-2</v>
      </c>
      <c r="H35" s="108">
        <v>1E-3</v>
      </c>
      <c r="I35" s="108">
        <v>-1.2E-2</v>
      </c>
      <c r="J35" s="108">
        <v>-2.3E-2</v>
      </c>
      <c r="K35" s="108">
        <v>2.1999999999999999E-2</v>
      </c>
      <c r="L35" s="108">
        <v>0.05</v>
      </c>
      <c r="M35" s="108">
        <v>7.3999999999999996E-2</v>
      </c>
      <c r="N35" s="108">
        <v>7.1999999999999995E-2</v>
      </c>
      <c r="O35" s="108">
        <v>4.3999999999999997E-2</v>
      </c>
      <c r="P35" s="108">
        <v>3.2000000000000001E-2</v>
      </c>
      <c r="Q35" s="108">
        <v>9.9000000000000005E-2</v>
      </c>
      <c r="R35" s="108">
        <v>0.30499999999999999</v>
      </c>
      <c r="S35" s="35">
        <v>0.223</v>
      </c>
      <c r="T35" s="35">
        <v>0.21</v>
      </c>
      <c r="U35" s="35">
        <v>0.2</v>
      </c>
      <c r="V35" s="35">
        <v>-9.4E-2</v>
      </c>
      <c r="W35" s="35">
        <v>-0.16800000000000001</v>
      </c>
      <c r="X35" s="35">
        <v>-1.7999999999999999E-2</v>
      </c>
      <c r="Y35" s="35">
        <v>-3.4000000000000002E-2</v>
      </c>
      <c r="Z35" s="35">
        <v>0.11899999999999999</v>
      </c>
      <c r="AA35" s="35">
        <v>0.29899999999999999</v>
      </c>
      <c r="AB35" s="35">
        <v>5.6000000000000001E-2</v>
      </c>
      <c r="AC35" s="35">
        <v>5.5E-2</v>
      </c>
      <c r="AD35" s="35">
        <v>-5.8999999999999997E-2</v>
      </c>
      <c r="AE35" s="35">
        <v>-5.6000000000000001E-2</v>
      </c>
      <c r="AF35" s="35">
        <v>-3.1E-2</v>
      </c>
      <c r="AG35" s="35">
        <v>-5.0999999999999997E-2</v>
      </c>
      <c r="AH35" s="35">
        <v>-2.1000000000000001E-2</v>
      </c>
      <c r="AI35" s="35">
        <v>-7.0000000000000001E-3</v>
      </c>
      <c r="AJ35" s="35">
        <v>-3.0000000000000001E-3</v>
      </c>
      <c r="AK35" s="35">
        <v>1.0999999999999999E-2</v>
      </c>
      <c r="AL35" s="35">
        <v>2.4E-2</v>
      </c>
      <c r="AM35" s="35">
        <v>6.0000000000000001E-3</v>
      </c>
      <c r="AN35" s="180">
        <v>0.01</v>
      </c>
      <c r="AO35" s="180">
        <v>0.01</v>
      </c>
      <c r="AP35" s="180">
        <v>0.01</v>
      </c>
      <c r="AQ35" s="180"/>
      <c r="AR35" s="180"/>
      <c r="AS35" s="180"/>
      <c r="AT35" s="180"/>
      <c r="AU35" s="184"/>
      <c r="AV35" s="95">
        <f t="shared" si="66"/>
        <v>-6.2E-2</v>
      </c>
      <c r="AW35" s="95">
        <f t="shared" si="67"/>
        <v>-4.8000000000000001E-2</v>
      </c>
      <c r="AX35" s="95">
        <f t="shared" si="68"/>
        <v>1.5000000000000001E-2</v>
      </c>
      <c r="AY35" s="95">
        <f t="shared" si="69"/>
        <v>-1.7500000000000002E-2</v>
      </c>
      <c r="AZ35" s="95">
        <f t="shared" si="70"/>
        <v>3.6000000000000004E-2</v>
      </c>
      <c r="BA35" s="95">
        <f t="shared" si="71"/>
        <v>7.2999999999999995E-2</v>
      </c>
      <c r="BB35" s="95">
        <f t="shared" si="72"/>
        <v>3.7999999999999999E-2</v>
      </c>
      <c r="BC35" s="95">
        <f t="shared" si="73"/>
        <v>0.20200000000000001</v>
      </c>
      <c r="BD35" s="95">
        <f t="shared" si="74"/>
        <v>0.2165</v>
      </c>
      <c r="BE35" s="95">
        <f t="shared" si="75"/>
        <v>5.3000000000000005E-2</v>
      </c>
      <c r="BF35" s="95">
        <f t="shared" si="76"/>
        <v>-9.2999999999999999E-2</v>
      </c>
      <c r="BG35" s="95">
        <f t="shared" si="77"/>
        <v>4.2499999999999996E-2</v>
      </c>
      <c r="BH35" s="95">
        <f t="shared" si="78"/>
        <v>0.17749999999999999</v>
      </c>
      <c r="BI35" s="95">
        <f t="shared" si="79"/>
        <v>-1.9999999999999983E-3</v>
      </c>
      <c r="BJ35" s="95">
        <f t="shared" si="80"/>
        <v>-4.3499999999999997E-2</v>
      </c>
      <c r="BK35" s="95">
        <f t="shared" si="81"/>
        <v>-3.5999999999999997E-2</v>
      </c>
      <c r="BL35" s="95">
        <f t="shared" si="82"/>
        <v>-5.0000000000000001E-3</v>
      </c>
      <c r="BM35" s="95">
        <f t="shared" si="83"/>
        <v>1.7500000000000002E-2</v>
      </c>
      <c r="BN35" s="158">
        <f t="shared" si="84"/>
        <v>8.0000000000000002E-3</v>
      </c>
      <c r="BO35" s="158">
        <f t="shared" si="85"/>
        <v>0.01</v>
      </c>
      <c r="BP35" s="200"/>
      <c r="BQ35" s="200"/>
      <c r="BR35" s="199"/>
      <c r="BS35" s="199"/>
      <c r="BT35" s="199"/>
      <c r="BU35" s="199"/>
      <c r="BV35" s="199"/>
      <c r="BW35" s="199"/>
      <c r="BX35" s="199"/>
      <c r="BY35" s="199"/>
      <c r="BZ35" s="199"/>
      <c r="CA35" s="277">
        <f t="shared" si="86"/>
        <v>9.0000000000000011E-3</v>
      </c>
    </row>
    <row r="36" spans="1:79">
      <c r="B36" s="16"/>
      <c r="C36" s="32"/>
      <c r="D36" s="32"/>
      <c r="E36" s="32"/>
      <c r="F36" s="32"/>
      <c r="G36" s="32"/>
      <c r="H36" s="32"/>
      <c r="I36" s="32"/>
      <c r="J36" s="32"/>
      <c r="K36" s="32"/>
      <c r="L36" s="32"/>
      <c r="M36" s="32"/>
      <c r="N36" s="32"/>
      <c r="O36" s="32"/>
      <c r="P36" s="32"/>
      <c r="Q36" s="32"/>
      <c r="R36" s="32"/>
      <c r="S36" s="100"/>
      <c r="T36" s="100"/>
      <c r="U36" s="100"/>
      <c r="V36" s="100"/>
      <c r="W36" s="99"/>
      <c r="X36" s="99"/>
      <c r="Y36" s="99"/>
      <c r="Z36" s="99"/>
      <c r="AA36" s="99"/>
      <c r="AB36" s="99"/>
      <c r="AC36" s="99"/>
      <c r="AD36" s="99"/>
      <c r="AE36" s="100"/>
      <c r="AF36" s="100"/>
      <c r="AG36" s="100"/>
      <c r="AH36" s="35"/>
      <c r="AI36" s="100"/>
      <c r="AJ36" s="100"/>
      <c r="AK36" s="100"/>
      <c r="AL36" s="35"/>
      <c r="AM36" s="35"/>
      <c r="AN36" s="181"/>
      <c r="AO36" s="181"/>
      <c r="AP36" s="181"/>
      <c r="AQ36" s="181"/>
      <c r="AR36" s="181"/>
      <c r="AS36" s="181"/>
      <c r="AT36" s="181"/>
      <c r="AU36" s="184"/>
      <c r="AV36" s="299"/>
      <c r="AW36" s="299"/>
      <c r="AX36" s="299"/>
      <c r="AY36" s="299"/>
      <c r="AZ36" s="299"/>
      <c r="BA36" s="299"/>
      <c r="BB36" s="299"/>
      <c r="BC36" s="299"/>
      <c r="BD36" s="299"/>
      <c r="BE36" s="299"/>
      <c r="BF36" s="299"/>
      <c r="BG36" s="299"/>
      <c r="BH36" s="299"/>
      <c r="BI36" s="299"/>
      <c r="BJ36" s="299"/>
      <c r="BK36" s="299"/>
      <c r="BL36" s="299"/>
      <c r="BM36" s="299"/>
      <c r="BN36" s="277"/>
      <c r="BO36" s="277"/>
      <c r="BP36" s="200"/>
      <c r="BQ36" s="200"/>
      <c r="BR36" s="199"/>
      <c r="BS36" s="199"/>
      <c r="BT36" s="199"/>
      <c r="BU36" s="199"/>
      <c r="BV36" s="199"/>
      <c r="BW36" s="199"/>
      <c r="BX36" s="199"/>
      <c r="BY36" s="199"/>
      <c r="BZ36" s="199"/>
      <c r="CA36" s="200"/>
    </row>
    <row r="37" spans="1:79">
      <c r="B37" s="23" t="s">
        <v>332</v>
      </c>
      <c r="C37" s="32"/>
      <c r="D37" s="32"/>
      <c r="E37" s="32"/>
      <c r="F37" s="32"/>
      <c r="G37" s="32"/>
      <c r="H37" s="32"/>
      <c r="I37" s="32"/>
      <c r="J37" s="32"/>
      <c r="K37" s="32"/>
      <c r="L37" s="32"/>
      <c r="M37" s="32"/>
      <c r="N37" s="32"/>
      <c r="O37" s="32"/>
      <c r="P37" s="32"/>
      <c r="Q37" s="32"/>
      <c r="R37" s="32"/>
      <c r="S37" s="32"/>
      <c r="T37" s="32"/>
      <c r="U37" s="32"/>
      <c r="V37" s="32"/>
      <c r="W37" s="32"/>
      <c r="X37" s="92"/>
      <c r="Y37" s="92"/>
      <c r="Z37" s="92"/>
      <c r="AA37" s="92"/>
      <c r="AB37" s="92"/>
      <c r="AC37" s="92"/>
      <c r="AD37" s="92"/>
      <c r="AE37" s="92"/>
      <c r="AF37" s="92"/>
      <c r="AG37" s="92"/>
      <c r="AH37" s="92"/>
      <c r="AI37" s="104"/>
      <c r="AJ37" s="104"/>
      <c r="AK37" s="104"/>
      <c r="AL37" s="104"/>
      <c r="AM37" s="104"/>
      <c r="AN37" s="184"/>
      <c r="AO37" s="184"/>
      <c r="AP37" s="184"/>
      <c r="AQ37" s="184"/>
      <c r="AR37" s="184"/>
      <c r="AS37" s="184"/>
      <c r="AT37" s="184"/>
      <c r="AU37" s="184"/>
      <c r="AV37" s="199"/>
      <c r="AW37" s="199"/>
      <c r="AX37" s="199"/>
      <c r="AY37" s="199"/>
      <c r="AZ37" s="199"/>
      <c r="BA37" s="199"/>
      <c r="BB37" s="199"/>
      <c r="BC37" s="199"/>
      <c r="BD37" s="199"/>
      <c r="BE37" s="199"/>
      <c r="BF37" s="199"/>
      <c r="BG37" s="199"/>
      <c r="BH37" s="199"/>
      <c r="BI37" s="199"/>
      <c r="BJ37" s="199"/>
      <c r="BK37" s="199"/>
      <c r="BL37" s="199"/>
      <c r="BM37" s="199"/>
      <c r="BN37" s="200"/>
      <c r="BO37" s="200"/>
      <c r="BP37" s="200"/>
      <c r="BQ37" s="200"/>
      <c r="BR37" s="199"/>
      <c r="BS37" s="199"/>
      <c r="BT37" s="199"/>
      <c r="BU37" s="199"/>
      <c r="BV37" s="199"/>
      <c r="BW37" s="199"/>
      <c r="BX37" s="199"/>
      <c r="BY37" s="199"/>
      <c r="BZ37" s="199"/>
      <c r="CA37" s="200"/>
    </row>
    <row r="38" spans="1:79">
      <c r="B38" s="16" t="s">
        <v>1</v>
      </c>
      <c r="C38" s="102"/>
      <c r="D38" s="102"/>
      <c r="E38" s="102"/>
      <c r="F38" s="102"/>
      <c r="G38" s="102">
        <f t="shared" ref="G38:AH38" si="87">G24-G33</f>
        <v>-2.0536839817431735E-3</v>
      </c>
      <c r="H38" s="102">
        <f t="shared" si="87"/>
        <v>-1.1669505962521323E-2</v>
      </c>
      <c r="I38" s="102">
        <f t="shared" si="87"/>
        <v>-8.1974989219490632E-3</v>
      </c>
      <c r="J38" s="102">
        <f t="shared" si="87"/>
        <v>2.567619970916063E-3</v>
      </c>
      <c r="K38" s="102">
        <f t="shared" si="87"/>
        <v>6.4965746315133362E-3</v>
      </c>
      <c r="L38" s="102">
        <f t="shared" si="87"/>
        <v>6.8662838392121936E-4</v>
      </c>
      <c r="M38" s="102">
        <f t="shared" si="87"/>
        <v>4.5991014523037235E-3</v>
      </c>
      <c r="N38" s="102">
        <f t="shared" si="87"/>
        <v>9.6489154648845138E-2</v>
      </c>
      <c r="O38" s="102">
        <f t="shared" si="87"/>
        <v>1.4344478216818557E-2</v>
      </c>
      <c r="P38" s="102">
        <f t="shared" si="87"/>
        <v>1.3386948712831782E-2</v>
      </c>
      <c r="Q38" s="102">
        <f t="shared" si="87"/>
        <v>1.2204152940002086E-2</v>
      </c>
      <c r="R38" s="102">
        <f t="shared" si="87"/>
        <v>-7.6472823273630725E-2</v>
      </c>
      <c r="S38" s="102">
        <f t="shared" si="87"/>
        <v>-7.6193378974023368E-3</v>
      </c>
      <c r="T38" s="102">
        <f t="shared" si="87"/>
        <v>-9.9769384075163864E-3</v>
      </c>
      <c r="U38" s="102">
        <f t="shared" si="87"/>
        <v>-1.4180377763852853E-2</v>
      </c>
      <c r="V38" s="102">
        <f t="shared" si="87"/>
        <v>-2.9592604763100328E-2</v>
      </c>
      <c r="W38" s="102">
        <f t="shared" si="87"/>
        <v>1.221070460704601E-2</v>
      </c>
      <c r="X38" s="102">
        <f t="shared" si="87"/>
        <v>2.2860465116279056E-2</v>
      </c>
      <c r="Y38" s="102">
        <f t="shared" si="87"/>
        <v>1.6679161254407091E-2</v>
      </c>
      <c r="Z38" s="102">
        <f t="shared" si="87"/>
        <v>4.1537010176094395E-2</v>
      </c>
      <c r="AA38" s="102">
        <f t="shared" si="87"/>
        <v>3.5399722923966561E-3</v>
      </c>
      <c r="AB38" s="102">
        <f t="shared" si="87"/>
        <v>9.7829670329669313E-3</v>
      </c>
      <c r="AC38" s="102">
        <f t="shared" si="87"/>
        <v>7.9272218334499045E-3</v>
      </c>
      <c r="AD38" s="102">
        <f t="shared" si="87"/>
        <v>1.2812012705746556E-2</v>
      </c>
      <c r="AE38" s="102">
        <f t="shared" si="87"/>
        <v>1.8582431989511532E-2</v>
      </c>
      <c r="AF38" s="102">
        <f t="shared" si="87"/>
        <v>1.414049854321843E-3</v>
      </c>
      <c r="AG38" s="102">
        <f t="shared" si="87"/>
        <v>1.3146341463414656E-2</v>
      </c>
      <c r="AH38" s="102">
        <f t="shared" si="87"/>
        <v>8.479208009296503E-2</v>
      </c>
      <c r="AI38" s="299">
        <f>AI24-AI33</f>
        <v>1.5391085330483854E-2</v>
      </c>
      <c r="AJ38" s="299">
        <f t="shared" ref="AJ38:AM38" si="88">AJ24-AJ33</f>
        <v>6.5971346258663181E-3</v>
      </c>
      <c r="AK38" s="299">
        <f t="shared" si="88"/>
        <v>6.7547828848138203E-3</v>
      </c>
      <c r="AL38" s="299">
        <f t="shared" si="88"/>
        <v>-7.1911814998778606E-2</v>
      </c>
      <c r="AM38" s="299">
        <f t="shared" si="88"/>
        <v>4.7276736493935406E-3</v>
      </c>
      <c r="AN38" s="277">
        <f t="shared" ref="AN38" si="89">AN24-AN33</f>
        <v>7.6397917556531442E-3</v>
      </c>
      <c r="AO38" s="160">
        <v>5.0000000000000001E-3</v>
      </c>
      <c r="AP38" s="277">
        <f>AP24-AP33</f>
        <v>9.2941991858297712E-3</v>
      </c>
      <c r="AQ38" s="277"/>
      <c r="AR38" s="277"/>
      <c r="AS38" s="277"/>
      <c r="AT38" s="277"/>
      <c r="AU38" s="184"/>
      <c r="AV38" s="299">
        <f t="shared" ref="AV38:BK38" si="90">AV24-AV33</f>
        <v>-1.9E-2</v>
      </c>
      <c r="AW38" s="299">
        <f t="shared" si="90"/>
        <v>-0.13942673385846949</v>
      </c>
      <c r="AX38" s="299">
        <f t="shared" si="90"/>
        <v>8.5554954039501405E-2</v>
      </c>
      <c r="AY38" s="299">
        <f t="shared" si="90"/>
        <v>-0.10151152500514507</v>
      </c>
      <c r="AZ38" s="299">
        <f t="shared" si="90"/>
        <v>7.5279981270313517E-2</v>
      </c>
      <c r="BA38" s="299">
        <f t="shared" si="90"/>
        <v>-5.008992372541151E-2</v>
      </c>
      <c r="BB38" s="299">
        <f t="shared" si="90"/>
        <v>2.3759882275333585E-2</v>
      </c>
      <c r="BC38" s="299">
        <f t="shared" si="90"/>
        <v>-0.1077452830188679</v>
      </c>
      <c r="BD38" s="299">
        <f t="shared" si="90"/>
        <v>4.2268626795858022E-3</v>
      </c>
      <c r="BE38" s="299">
        <f t="shared" si="90"/>
        <v>-8.7007134156951507E-2</v>
      </c>
      <c r="BF38" s="299">
        <f t="shared" si="90"/>
        <v>0.12258242605260619</v>
      </c>
      <c r="BG38" s="299">
        <f t="shared" si="90"/>
        <v>-0.12453490328006729</v>
      </c>
      <c r="BH38" s="299">
        <f t="shared" si="90"/>
        <v>8.9428051001821413E-2</v>
      </c>
      <c r="BI38" s="299">
        <f t="shared" si="90"/>
        <v>-9.5649374615542293E-2</v>
      </c>
      <c r="BJ38" s="299">
        <f t="shared" si="90"/>
        <v>4.9983813709745681E-2</v>
      </c>
      <c r="BK38" s="299">
        <f t="shared" si="90"/>
        <v>-5.312545769897857E-2</v>
      </c>
      <c r="BL38" s="299">
        <f t="shared" ref="BL38:BM38" si="91">BL24-BL33</f>
        <v>5.5192298416271504E-2</v>
      </c>
      <c r="BM38" s="299">
        <f t="shared" si="91"/>
        <v>-3.2072554063831499E-2</v>
      </c>
      <c r="BN38" s="277">
        <f t="shared" ref="BN38:BO38" si="92">BN24-BN33</f>
        <v>5.8831985624439864E-3</v>
      </c>
      <c r="BO38" s="277">
        <f t="shared" si="92"/>
        <v>7.034094351182435E-3</v>
      </c>
      <c r="BP38" s="200"/>
      <c r="BQ38" s="200"/>
      <c r="BR38" s="199"/>
      <c r="BS38" s="199"/>
      <c r="BT38" s="199"/>
      <c r="BU38" s="199"/>
      <c r="BV38" s="199"/>
      <c r="BW38" s="199"/>
      <c r="BX38" s="199"/>
      <c r="BY38" s="199"/>
      <c r="BZ38" s="299">
        <f t="shared" ref="BZ38:CA38" si="93">BZ24-BZ33</f>
        <v>1.308462703893909E-2</v>
      </c>
      <c r="CA38" s="277">
        <f t="shared" si="93"/>
        <v>6.4288272157566051E-3</v>
      </c>
    </row>
    <row r="39" spans="1:79">
      <c r="B39" s="16" t="s">
        <v>194</v>
      </c>
      <c r="C39" s="102"/>
      <c r="D39" s="102"/>
      <c r="E39" s="102"/>
      <c r="F39" s="102"/>
      <c r="G39" s="102">
        <f t="shared" ref="G39:AN39" si="94">G129-G35</f>
        <v>-2.9000000000000001E-2</v>
      </c>
      <c r="H39" s="102">
        <f t="shared" si="94"/>
        <v>-1E-3</v>
      </c>
      <c r="I39" s="102">
        <f t="shared" si="94"/>
        <v>1.2E-2</v>
      </c>
      <c r="J39" s="102">
        <f t="shared" si="94"/>
        <v>2.3E-2</v>
      </c>
      <c r="K39" s="102">
        <f t="shared" si="94"/>
        <v>-2.1999999999999999E-2</v>
      </c>
      <c r="L39" s="102">
        <f t="shared" si="94"/>
        <v>-0.05</v>
      </c>
      <c r="M39" s="102">
        <f t="shared" si="94"/>
        <v>-7.3999999999999996E-2</v>
      </c>
      <c r="N39" s="102">
        <f t="shared" si="94"/>
        <v>-7.1999999999999995E-2</v>
      </c>
      <c r="O39" s="102">
        <f t="shared" si="94"/>
        <v>-4.3999999999999997E-2</v>
      </c>
      <c r="P39" s="102">
        <f t="shared" si="94"/>
        <v>-3.2000000000000001E-2</v>
      </c>
      <c r="Q39" s="102">
        <f t="shared" si="94"/>
        <v>-9.9000000000000005E-2</v>
      </c>
      <c r="R39" s="102">
        <f t="shared" si="94"/>
        <v>-0.30499999999999999</v>
      </c>
      <c r="S39" s="102">
        <f t="shared" si="94"/>
        <v>-0.223</v>
      </c>
      <c r="T39" s="102">
        <f t="shared" si="94"/>
        <v>-0.21</v>
      </c>
      <c r="U39" s="102">
        <f t="shared" si="94"/>
        <v>-0.2</v>
      </c>
      <c r="V39" s="102">
        <f t="shared" si="94"/>
        <v>9.4E-2</v>
      </c>
      <c r="W39" s="102">
        <f t="shared" si="94"/>
        <v>0.16800000000000001</v>
      </c>
      <c r="X39" s="102">
        <f t="shared" si="94"/>
        <v>1.7999999999999999E-2</v>
      </c>
      <c r="Y39" s="102">
        <f t="shared" si="94"/>
        <v>3.4000000000000002E-2</v>
      </c>
      <c r="Z39" s="102">
        <f t="shared" si="94"/>
        <v>-0.11899999999999999</v>
      </c>
      <c r="AA39" s="102">
        <f t="shared" si="94"/>
        <v>-0.29899999999999999</v>
      </c>
      <c r="AB39" s="102">
        <f t="shared" si="94"/>
        <v>-5.6000000000000001E-2</v>
      </c>
      <c r="AC39" s="102">
        <f t="shared" si="94"/>
        <v>-5.5E-2</v>
      </c>
      <c r="AD39" s="102">
        <f t="shared" si="94"/>
        <v>5.8999999999999997E-2</v>
      </c>
      <c r="AE39" s="102">
        <f t="shared" si="94"/>
        <v>8.6215538847118217E-4</v>
      </c>
      <c r="AF39" s="102">
        <f t="shared" si="94"/>
        <v>-1.0522832561213336E-4</v>
      </c>
      <c r="AG39" s="102">
        <f t="shared" si="94"/>
        <v>7.978967495219931E-3</v>
      </c>
      <c r="AH39" s="102">
        <f t="shared" si="94"/>
        <v>7.2406401551891361E-2</v>
      </c>
      <c r="AI39" s="299">
        <f t="shared" si="94"/>
        <v>2.5791335101680241E-3</v>
      </c>
      <c r="AJ39" s="299">
        <f t="shared" si="94"/>
        <v>2.3169398907103541E-3</v>
      </c>
      <c r="AK39" s="299">
        <f t="shared" si="94"/>
        <v>-2.5985014985015032E-2</v>
      </c>
      <c r="AL39" s="299">
        <f t="shared" si="94"/>
        <v>-3.3225092250922496E-2</v>
      </c>
      <c r="AM39" s="299">
        <f t="shared" si="94"/>
        <v>4.6571936056838455E-3</v>
      </c>
      <c r="AN39" s="277">
        <f t="shared" si="94"/>
        <v>-7.4900888585098715E-3</v>
      </c>
      <c r="AO39" s="160">
        <v>0</v>
      </c>
      <c r="AP39" s="277">
        <f>AP129-AP35</f>
        <v>4.8789571694519453E-4</v>
      </c>
      <c r="AQ39" s="277"/>
      <c r="AR39" s="277"/>
      <c r="AS39" s="277"/>
      <c r="AT39" s="277"/>
      <c r="AU39" s="184"/>
      <c r="AV39" s="299">
        <f t="shared" ref="AV39:BO39" si="95">AV129-AV35</f>
        <v>6.2E-2</v>
      </c>
      <c r="AW39" s="299">
        <f t="shared" si="95"/>
        <v>4.8000000000000001E-2</v>
      </c>
      <c r="AX39" s="299">
        <f t="shared" si="95"/>
        <v>-1.5000000000000001E-2</v>
      </c>
      <c r="AY39" s="299">
        <f t="shared" si="95"/>
        <v>1.7500000000000002E-2</v>
      </c>
      <c r="AZ39" s="299">
        <f t="shared" si="95"/>
        <v>-3.6000000000000004E-2</v>
      </c>
      <c r="BA39" s="299">
        <f t="shared" si="95"/>
        <v>-7.2999999999999995E-2</v>
      </c>
      <c r="BB39" s="299">
        <f t="shared" si="95"/>
        <v>-3.7999999999999999E-2</v>
      </c>
      <c r="BC39" s="299">
        <f t="shared" si="95"/>
        <v>-0.20200000000000001</v>
      </c>
      <c r="BD39" s="299">
        <f t="shared" si="95"/>
        <v>-0.2165</v>
      </c>
      <c r="BE39" s="299">
        <f t="shared" si="95"/>
        <v>-5.3000000000000005E-2</v>
      </c>
      <c r="BF39" s="299">
        <f t="shared" si="95"/>
        <v>9.2999999999999999E-2</v>
      </c>
      <c r="BG39" s="299">
        <f t="shared" si="95"/>
        <v>-4.2499999999999996E-2</v>
      </c>
      <c r="BH39" s="299">
        <f t="shared" si="95"/>
        <v>-0.17749999999999999</v>
      </c>
      <c r="BI39" s="299">
        <f t="shared" si="95"/>
        <v>1.9999999999999983E-3</v>
      </c>
      <c r="BJ39" s="299">
        <f t="shared" si="95"/>
        <v>4.3499999999999997E-2</v>
      </c>
      <c r="BK39" s="299">
        <f t="shared" si="95"/>
        <v>3.5999999999999997E-2</v>
      </c>
      <c r="BL39" s="299">
        <f t="shared" si="95"/>
        <v>5.0000000000000001E-3</v>
      </c>
      <c r="BM39" s="299">
        <f t="shared" si="95"/>
        <v>-1.7500000000000002E-2</v>
      </c>
      <c r="BN39" s="277">
        <f t="shared" si="95"/>
        <v>0</v>
      </c>
      <c r="BO39" s="277">
        <f t="shared" si="95"/>
        <v>2.5436893203845991E-4</v>
      </c>
      <c r="BP39" s="200"/>
      <c r="BQ39" s="200"/>
      <c r="BR39" s="199"/>
      <c r="BS39" s="199"/>
      <c r="BT39" s="199"/>
      <c r="BU39" s="199"/>
      <c r="BV39" s="199"/>
      <c r="BW39" s="199"/>
      <c r="BX39" s="199"/>
      <c r="BY39" s="199"/>
      <c r="BZ39" s="299">
        <f>BZ129-BZ35</f>
        <v>8.999999999999897E-3</v>
      </c>
      <c r="CA39" s="277">
        <f>CA129-CA35</f>
        <v>1.1000000000000017E-2</v>
      </c>
    </row>
    <row r="40" spans="1:79">
      <c r="B40" s="73"/>
      <c r="C40" s="32"/>
      <c r="D40" s="32"/>
      <c r="E40" s="32"/>
      <c r="F40" s="32"/>
      <c r="G40" s="32"/>
      <c r="H40" s="32"/>
      <c r="I40" s="32"/>
      <c r="J40" s="32"/>
      <c r="K40" s="32"/>
      <c r="L40" s="32"/>
      <c r="M40" s="32"/>
      <c r="N40" s="32"/>
      <c r="O40" s="32"/>
      <c r="P40" s="32"/>
      <c r="Q40" s="32"/>
      <c r="R40" s="32"/>
      <c r="S40" s="32"/>
      <c r="T40" s="32"/>
      <c r="U40" s="32"/>
      <c r="V40" s="32"/>
      <c r="W40" s="32"/>
      <c r="X40" s="32"/>
      <c r="Y40" s="32"/>
      <c r="Z40" s="32"/>
      <c r="AA40" s="32"/>
      <c r="AB40" s="32"/>
      <c r="AC40" s="32"/>
      <c r="AD40" s="32"/>
      <c r="AE40" s="32"/>
      <c r="AF40" s="32"/>
      <c r="AG40" s="32"/>
      <c r="AH40" s="32"/>
      <c r="AI40" s="199"/>
      <c r="AJ40" s="199"/>
      <c r="AK40" s="199"/>
      <c r="AL40" s="199"/>
      <c r="AM40" s="199"/>
      <c r="AN40" s="200"/>
      <c r="AO40" s="200"/>
      <c r="AP40" s="200"/>
      <c r="AQ40" s="200"/>
      <c r="AR40" s="200"/>
      <c r="AS40" s="200"/>
      <c r="AT40" s="200"/>
      <c r="AU40" s="184"/>
      <c r="AV40" s="199"/>
      <c r="AW40" s="199"/>
      <c r="AX40" s="199"/>
      <c r="AY40" s="199"/>
      <c r="AZ40" s="199"/>
      <c r="BA40" s="199"/>
      <c r="BB40" s="199"/>
      <c r="BC40" s="199"/>
      <c r="BD40" s="199"/>
      <c r="BE40" s="199"/>
      <c r="BF40" s="199"/>
      <c r="BG40" s="199"/>
      <c r="BH40" s="199"/>
      <c r="BI40" s="199"/>
      <c r="BJ40" s="199"/>
      <c r="BK40" s="199"/>
      <c r="BL40" s="199"/>
      <c r="BM40" s="199"/>
      <c r="BN40" s="200"/>
      <c r="BO40" s="200"/>
      <c r="BP40" s="200"/>
      <c r="BQ40" s="200"/>
      <c r="BR40" s="199"/>
      <c r="BS40" s="199"/>
      <c r="BT40" s="199"/>
      <c r="BU40" s="199"/>
      <c r="BV40" s="199"/>
      <c r="BW40" s="199"/>
      <c r="BX40" s="199"/>
      <c r="BY40" s="199"/>
      <c r="BZ40" s="199"/>
      <c r="CA40" s="200"/>
    </row>
    <row r="41" spans="1:79" ht="9" customHeight="1">
      <c r="B41" s="73"/>
      <c r="C41" s="32"/>
      <c r="D41" s="32"/>
      <c r="E41" s="32"/>
      <c r="F41" s="32"/>
      <c r="G41" s="32"/>
      <c r="H41" s="32"/>
      <c r="I41" s="32"/>
      <c r="J41" s="32"/>
      <c r="K41" s="32"/>
      <c r="L41" s="32"/>
      <c r="M41" s="32"/>
      <c r="N41" s="32"/>
      <c r="O41" s="32"/>
      <c r="P41" s="32"/>
      <c r="Q41" s="32"/>
      <c r="R41" s="32"/>
      <c r="S41" s="32"/>
      <c r="T41" s="32"/>
      <c r="U41" s="32"/>
      <c r="V41" s="32"/>
      <c r="W41" s="32"/>
      <c r="X41" s="32"/>
      <c r="Y41" s="32"/>
      <c r="Z41" s="32"/>
      <c r="AA41" s="32"/>
      <c r="AB41" s="32"/>
      <c r="AC41" s="32"/>
      <c r="AD41" s="32"/>
      <c r="AE41" s="32"/>
      <c r="AF41" s="32"/>
      <c r="AG41" s="32"/>
      <c r="AH41" s="32"/>
      <c r="AI41" s="199"/>
      <c r="AJ41" s="199"/>
      <c r="AK41" s="199"/>
      <c r="AL41" s="199"/>
      <c r="AM41" s="199"/>
      <c r="AN41" s="200"/>
      <c r="AO41" s="200"/>
      <c r="AP41" s="200"/>
      <c r="AQ41" s="200"/>
      <c r="AR41" s="200"/>
      <c r="AS41" s="200"/>
      <c r="AT41" s="200"/>
      <c r="AU41" s="184"/>
      <c r="AV41" s="199"/>
      <c r="AW41" s="199"/>
      <c r="AX41" s="199"/>
      <c r="AY41" s="199"/>
      <c r="AZ41" s="199"/>
      <c r="BA41" s="199"/>
      <c r="BB41" s="199"/>
      <c r="BC41" s="199"/>
      <c r="BD41" s="199"/>
      <c r="BE41" s="199"/>
      <c r="BF41" s="199"/>
      <c r="BG41" s="199"/>
      <c r="BH41" s="199"/>
      <c r="BI41" s="199"/>
      <c r="BJ41" s="199"/>
      <c r="BK41" s="199"/>
      <c r="BL41" s="199"/>
      <c r="BM41" s="199"/>
      <c r="BN41" s="200"/>
      <c r="BO41" s="200"/>
      <c r="BP41" s="200"/>
      <c r="BQ41" s="200"/>
      <c r="BR41" s="199"/>
      <c r="BS41" s="199"/>
      <c r="BT41" s="199"/>
      <c r="BU41" s="199"/>
      <c r="BV41" s="199"/>
      <c r="BW41" s="199"/>
      <c r="BX41" s="199"/>
      <c r="BY41" s="199"/>
      <c r="BZ41" s="199"/>
      <c r="CA41" s="200"/>
    </row>
    <row r="42" spans="1:79">
      <c r="B42" s="2" t="s">
        <v>309</v>
      </c>
      <c r="C42" s="97"/>
      <c r="D42" s="97"/>
      <c r="E42" s="97"/>
      <c r="F42" s="97"/>
      <c r="G42" s="97"/>
      <c r="H42" s="97"/>
      <c r="I42" s="97"/>
      <c r="J42" s="97"/>
      <c r="K42" s="97"/>
      <c r="L42" s="97"/>
      <c r="M42" s="97"/>
      <c r="N42" s="97"/>
      <c r="O42" s="97"/>
      <c r="P42" s="97"/>
      <c r="Q42" s="97"/>
      <c r="R42" s="97"/>
      <c r="S42" s="97"/>
      <c r="T42" s="97"/>
      <c r="U42" s="97"/>
      <c r="V42" s="97"/>
      <c r="W42" s="97"/>
      <c r="X42" s="97"/>
      <c r="Y42" s="97"/>
      <c r="Z42" s="97"/>
      <c r="AA42" s="97"/>
      <c r="AB42" s="97"/>
      <c r="AC42" s="97"/>
      <c r="AD42" s="97"/>
      <c r="AE42" s="97"/>
      <c r="AF42" s="97"/>
      <c r="AG42" s="97"/>
      <c r="AH42" s="97"/>
      <c r="AI42" s="251"/>
      <c r="AJ42" s="251"/>
      <c r="AK42" s="251"/>
      <c r="AL42" s="251"/>
      <c r="AM42" s="251"/>
      <c r="AN42" s="251"/>
      <c r="AO42" s="251"/>
      <c r="AP42" s="251"/>
      <c r="AQ42" s="251"/>
      <c r="AR42" s="251"/>
      <c r="AS42" s="251"/>
      <c r="AT42" s="251"/>
      <c r="AU42" s="350"/>
      <c r="AV42" s="167"/>
      <c r="AW42" s="167"/>
      <c r="AX42" s="167"/>
      <c r="AY42" s="167"/>
      <c r="AZ42" s="167"/>
      <c r="BA42" s="167"/>
      <c r="BB42" s="167"/>
      <c r="BC42" s="167"/>
      <c r="BD42" s="167"/>
      <c r="BE42" s="167"/>
      <c r="BF42" s="167"/>
      <c r="BG42" s="167"/>
      <c r="BH42" s="167"/>
      <c r="BI42" s="167"/>
      <c r="BJ42" s="167"/>
      <c r="BK42" s="167"/>
      <c r="BL42" s="167"/>
      <c r="BM42" s="167"/>
      <c r="BN42" s="167"/>
      <c r="BO42" s="167"/>
      <c r="BP42" s="200"/>
      <c r="BQ42" s="200"/>
      <c r="BR42" s="167"/>
      <c r="BS42" s="167"/>
      <c r="BT42" s="167"/>
      <c r="BU42" s="167"/>
      <c r="BV42" s="167"/>
      <c r="BW42" s="167"/>
      <c r="BX42" s="167"/>
      <c r="BY42" s="167"/>
      <c r="BZ42" s="167"/>
      <c r="CA42" s="167"/>
    </row>
    <row r="43" spans="1:79" hidden="1" outlineLevel="1">
      <c r="B43" s="72" t="s">
        <v>329</v>
      </c>
      <c r="C43" s="32"/>
      <c r="D43" s="32"/>
      <c r="E43" s="32"/>
      <c r="F43" s="32"/>
      <c r="G43" s="32"/>
      <c r="H43" s="32"/>
      <c r="I43" s="32"/>
      <c r="J43" s="32"/>
      <c r="K43" s="32"/>
      <c r="L43" s="32"/>
      <c r="M43" s="32"/>
      <c r="N43" s="32"/>
      <c r="O43" s="32"/>
      <c r="P43" s="32"/>
      <c r="Q43" s="32"/>
      <c r="R43" s="32"/>
      <c r="S43" s="32"/>
      <c r="T43" s="32"/>
      <c r="U43" s="32"/>
      <c r="V43" s="32"/>
      <c r="W43" s="32"/>
      <c r="X43" s="92"/>
      <c r="Y43" s="32"/>
      <c r="Z43" s="32"/>
      <c r="AA43" s="32"/>
      <c r="AB43" s="32"/>
      <c r="AC43" s="32"/>
      <c r="AD43" s="32"/>
      <c r="AE43" s="32"/>
      <c r="AF43" s="32"/>
      <c r="AG43" s="32"/>
      <c r="AH43" s="32"/>
      <c r="AI43" s="199"/>
      <c r="AJ43" s="199"/>
      <c r="AK43" s="199"/>
      <c r="AL43" s="199"/>
      <c r="AM43" s="199"/>
      <c r="AN43" s="200"/>
      <c r="AO43" s="200"/>
      <c r="AP43" s="200"/>
      <c r="AQ43" s="200"/>
      <c r="AR43" s="200"/>
      <c r="AS43" s="200"/>
      <c r="AT43" s="200"/>
      <c r="AU43" s="200"/>
      <c r="AV43" s="199"/>
      <c r="AW43" s="199"/>
      <c r="AX43" s="199"/>
      <c r="AY43" s="199"/>
      <c r="AZ43" s="199"/>
      <c r="BA43" s="199"/>
      <c r="BB43" s="199"/>
      <c r="BC43" s="199"/>
      <c r="BD43" s="199"/>
      <c r="BE43" s="199"/>
      <c r="BF43" s="199"/>
      <c r="BG43" s="199"/>
      <c r="BH43" s="199"/>
      <c r="BI43" s="199"/>
      <c r="BJ43" s="199"/>
      <c r="BK43" s="199"/>
      <c r="BL43" s="199"/>
      <c r="BM43" s="199"/>
      <c r="BN43" s="200"/>
      <c r="BO43" s="200"/>
      <c r="BP43" s="200"/>
      <c r="BQ43" s="200"/>
      <c r="BR43" s="200"/>
      <c r="BS43" s="200"/>
      <c r="BT43" s="200"/>
      <c r="BU43" s="200"/>
      <c r="BV43" s="200"/>
      <c r="BW43" s="200"/>
      <c r="BX43" s="200"/>
      <c r="BY43" s="200"/>
      <c r="BZ43" s="199"/>
      <c r="CA43" s="200"/>
    </row>
    <row r="44" spans="1:79" hidden="1" outlineLevel="1">
      <c r="B44" s="73" t="s">
        <v>328</v>
      </c>
      <c r="C44" s="32"/>
      <c r="D44" s="32"/>
      <c r="E44" s="32"/>
      <c r="F44" s="32"/>
      <c r="G44" s="32"/>
      <c r="H44" s="32"/>
      <c r="I44" s="32"/>
      <c r="J44" s="32"/>
      <c r="K44" s="32"/>
      <c r="L44" s="32"/>
      <c r="M44" s="32"/>
      <c r="N44" s="32"/>
      <c r="O44" s="32"/>
      <c r="P44" s="32"/>
      <c r="Q44" s="32"/>
      <c r="R44" s="32"/>
      <c r="S44" s="34">
        <f t="shared" ref="S44:AM44" si="96">S15</f>
        <v>0.129</v>
      </c>
      <c r="T44" s="34">
        <f t="shared" si="96"/>
        <v>8.3000000000000004E-2</v>
      </c>
      <c r="U44" s="34">
        <f t="shared" si="96"/>
        <v>-7.0000000000000001E-3</v>
      </c>
      <c r="V44" s="34">
        <f t="shared" si="96"/>
        <v>1.2E-2</v>
      </c>
      <c r="W44" s="34">
        <f t="shared" si="96"/>
        <v>3.9E-2</v>
      </c>
      <c r="X44" s="34">
        <f t="shared" si="96"/>
        <v>2.9000000000000001E-2</v>
      </c>
      <c r="Y44" s="34">
        <f t="shared" si="96"/>
        <v>5.3999999999999999E-2</v>
      </c>
      <c r="Z44" s="34">
        <f t="shared" si="96"/>
        <v>0.06</v>
      </c>
      <c r="AA44" s="34">
        <f t="shared" si="96"/>
        <v>-4.0000000000000001E-3</v>
      </c>
      <c r="AB44" s="34">
        <f t="shared" si="96"/>
        <v>5.8999999999999997E-2</v>
      </c>
      <c r="AC44" s="34">
        <f t="shared" si="96"/>
        <v>7.8E-2</v>
      </c>
      <c r="AD44" s="34">
        <f t="shared" si="96"/>
        <v>7.4999999999999997E-2</v>
      </c>
      <c r="AE44" s="34">
        <f t="shared" si="96"/>
        <v>6.4000000000000001E-2</v>
      </c>
      <c r="AF44" s="34">
        <f t="shared" si="96"/>
        <v>4.4999999999999998E-2</v>
      </c>
      <c r="AG44" s="34">
        <f t="shared" si="96"/>
        <v>1.4999999999999999E-2</v>
      </c>
      <c r="AH44" s="34">
        <f t="shared" si="96"/>
        <v>2.1999999999999999E-2</v>
      </c>
      <c r="AI44" s="34">
        <f t="shared" si="96"/>
        <v>3.7999999999999999E-2</v>
      </c>
      <c r="AJ44" s="34">
        <f t="shared" si="96"/>
        <v>1.7000000000000001E-2</v>
      </c>
      <c r="AK44" s="34">
        <f t="shared" si="96"/>
        <v>3.5999999999999997E-2</v>
      </c>
      <c r="AL44" s="34">
        <f t="shared" si="96"/>
        <v>3.4000000000000002E-2</v>
      </c>
      <c r="AM44" s="34">
        <f t="shared" si="96"/>
        <v>2.1000000000000001E-2</v>
      </c>
      <c r="AN44" s="182"/>
      <c r="AO44" s="182"/>
      <c r="AP44" s="182"/>
      <c r="AQ44" s="182"/>
      <c r="AR44" s="182"/>
      <c r="AS44" s="182"/>
      <c r="AT44" s="182"/>
      <c r="AU44" s="182"/>
      <c r="AV44" s="95"/>
      <c r="AW44" s="95"/>
      <c r="AX44" s="95"/>
      <c r="AY44" s="95"/>
      <c r="AZ44" s="95"/>
      <c r="BA44" s="95"/>
      <c r="BB44" s="95"/>
      <c r="BC44" s="95"/>
      <c r="BD44" s="95">
        <f>AVERAGE(S44:T44)</f>
        <v>0.10600000000000001</v>
      </c>
      <c r="BE44" s="95">
        <f>AVERAGE(U44:V44)</f>
        <v>2.5000000000000001E-3</v>
      </c>
      <c r="BF44" s="95">
        <f>AVERAGE(W44:X44)</f>
        <v>3.4000000000000002E-2</v>
      </c>
      <c r="BG44" s="95">
        <f>AVERAGE(Y44:Z44)</f>
        <v>5.6999999999999995E-2</v>
      </c>
      <c r="BH44" s="95">
        <f>AVERAGE(AA44:AB44)</f>
        <v>2.7499999999999997E-2</v>
      </c>
      <c r="BI44" s="95">
        <f>AVERAGE(AC44:AD44)</f>
        <v>7.6499999999999999E-2</v>
      </c>
      <c r="BJ44" s="95">
        <f>AVERAGE(AE44:AF44)</f>
        <v>5.45E-2</v>
      </c>
      <c r="BK44" s="95">
        <f>AVERAGE(AG44:AH44)</f>
        <v>1.8499999999999999E-2</v>
      </c>
      <c r="BL44" s="95">
        <f>AVERAGE(AI44:AJ44)</f>
        <v>2.75E-2</v>
      </c>
      <c r="BM44" s="95">
        <f>AVERAGE(AK44:AL44)</f>
        <v>3.5000000000000003E-2</v>
      </c>
      <c r="BN44" s="158"/>
      <c r="BO44" s="158"/>
      <c r="BP44" s="158"/>
      <c r="BQ44" s="158"/>
      <c r="BR44" s="158"/>
      <c r="BS44" s="158"/>
      <c r="BT44" s="158"/>
      <c r="BU44" s="158"/>
      <c r="BV44" s="158"/>
      <c r="BW44" s="158"/>
      <c r="BX44" s="158"/>
      <c r="BY44" s="158"/>
      <c r="BZ44" s="299">
        <f>AVERAGE(BL44:BM44)</f>
        <v>3.125E-2</v>
      </c>
      <c r="CA44" s="277"/>
    </row>
    <row r="45" spans="1:79" hidden="1" outlineLevel="1">
      <c r="B45" s="73" t="s">
        <v>504</v>
      </c>
      <c r="C45" s="32"/>
      <c r="D45" s="32"/>
      <c r="E45" s="32"/>
      <c r="F45" s="32"/>
      <c r="G45" s="32"/>
      <c r="H45" s="32"/>
      <c r="I45" s="32"/>
      <c r="J45" s="32"/>
      <c r="K45" s="32"/>
      <c r="L45" s="32"/>
      <c r="M45" s="32"/>
      <c r="N45" s="32"/>
      <c r="O45" s="32"/>
      <c r="P45" s="32"/>
      <c r="Q45" s="32"/>
      <c r="R45" s="32"/>
      <c r="S45" s="34"/>
      <c r="T45" s="34"/>
      <c r="U45" s="34"/>
      <c r="V45" s="34"/>
      <c r="W45" s="34"/>
      <c r="X45" s="34"/>
      <c r="Y45" s="35">
        <v>3.6999999999999998E-2</v>
      </c>
      <c r="Z45" s="191">
        <f>(BG45-0.5*Y45)/0.5</f>
        <v>0.10100000000000001</v>
      </c>
      <c r="AA45" s="35">
        <v>4.0000000000000001E-3</v>
      </c>
      <c r="AB45" s="191">
        <f>(BH45-0.5*AA45)/0.5</f>
        <v>6.7999999999999991E-2</v>
      </c>
      <c r="AC45" s="35">
        <v>0.09</v>
      </c>
      <c r="AD45" s="191">
        <f>(BI45-0.5*AC45)/0.5</f>
        <v>9.1999999999999998E-2</v>
      </c>
      <c r="AE45" s="35">
        <v>7.5999999999999998E-2</v>
      </c>
      <c r="AF45" s="191">
        <f>(BJ45-0.5*AE45)/0.5</f>
        <v>5.6000000000000008E-2</v>
      </c>
      <c r="AG45" s="35">
        <v>2.5000000000000001E-2</v>
      </c>
      <c r="AH45" s="191">
        <f>(BK45-0.5*AG45)/0.5</f>
        <v>2.8999999999999998E-2</v>
      </c>
      <c r="AI45" s="35">
        <v>4.9000000000000002E-2</v>
      </c>
      <c r="AJ45" s="300">
        <f>(BL45-0.5*AI45)/0.5</f>
        <v>2.6999999999999996E-2</v>
      </c>
      <c r="AK45" s="35">
        <v>4.8000000000000001E-2</v>
      </c>
      <c r="AL45" s="300">
        <f>(BM45-0.5*AK45)/0.5</f>
        <v>5.2000000000000005E-2</v>
      </c>
      <c r="AM45" s="35">
        <v>3.7999999999999999E-2</v>
      </c>
      <c r="AN45" s="182"/>
      <c r="AO45" s="182"/>
      <c r="AP45" s="182"/>
      <c r="AQ45" s="182"/>
      <c r="AR45" s="182"/>
      <c r="AS45" s="182"/>
      <c r="AT45" s="182"/>
      <c r="AU45" s="182"/>
      <c r="AV45" s="95"/>
      <c r="AW45" s="95"/>
      <c r="AX45" s="95"/>
      <c r="AY45" s="95"/>
      <c r="AZ45" s="95"/>
      <c r="BA45" s="95"/>
      <c r="BB45" s="95"/>
      <c r="BC45" s="95"/>
      <c r="BD45" s="95"/>
      <c r="BE45" s="95"/>
      <c r="BF45" s="106">
        <v>5.1999999999999998E-2</v>
      </c>
      <c r="BG45" s="106">
        <v>6.9000000000000006E-2</v>
      </c>
      <c r="BH45" s="106">
        <v>3.5999999999999997E-2</v>
      </c>
      <c r="BI45" s="106">
        <v>9.0999999999999998E-2</v>
      </c>
      <c r="BJ45" s="106">
        <v>6.6000000000000003E-2</v>
      </c>
      <c r="BK45" s="106">
        <v>2.7E-2</v>
      </c>
      <c r="BL45" s="106">
        <v>3.7999999999999999E-2</v>
      </c>
      <c r="BM45" s="106">
        <v>0.05</v>
      </c>
      <c r="BN45" s="158"/>
      <c r="BO45" s="158"/>
      <c r="BP45" s="158"/>
      <c r="BQ45" s="158"/>
      <c r="BR45" s="158"/>
      <c r="BS45" s="158"/>
      <c r="BT45" s="158"/>
      <c r="BU45" s="158"/>
      <c r="BV45" s="158"/>
      <c r="BW45" s="158"/>
      <c r="BX45" s="158"/>
      <c r="BY45" s="158"/>
      <c r="BZ45" s="299"/>
      <c r="CA45" s="277"/>
    </row>
    <row r="46" spans="1:79" hidden="1" outlineLevel="1">
      <c r="B46" s="73" t="s">
        <v>505</v>
      </c>
      <c r="C46" s="32"/>
      <c r="D46" s="32"/>
      <c r="E46" s="32"/>
      <c r="F46" s="32"/>
      <c r="G46" s="32"/>
      <c r="H46" s="32"/>
      <c r="I46" s="32"/>
      <c r="J46" s="32"/>
      <c r="K46" s="32"/>
      <c r="L46" s="32"/>
      <c r="M46" s="32"/>
      <c r="N46" s="32"/>
      <c r="O46" s="32"/>
      <c r="P46" s="32"/>
      <c r="Q46" s="32"/>
      <c r="R46" s="32"/>
      <c r="S46" s="34"/>
      <c r="T46" s="34"/>
      <c r="U46" s="34"/>
      <c r="V46" s="34"/>
      <c r="W46" s="34"/>
      <c r="X46" s="34"/>
      <c r="Y46" s="34">
        <f t="shared" ref="Y46:AL46" si="97">Y44-Y45</f>
        <v>1.7000000000000001E-2</v>
      </c>
      <c r="Z46" s="34">
        <f t="shared" si="97"/>
        <v>-4.1000000000000009E-2</v>
      </c>
      <c r="AA46" s="34">
        <f t="shared" si="97"/>
        <v>-8.0000000000000002E-3</v>
      </c>
      <c r="AB46" s="34">
        <f t="shared" si="97"/>
        <v>-8.9999999999999941E-3</v>
      </c>
      <c r="AC46" s="34">
        <f t="shared" si="97"/>
        <v>-1.1999999999999997E-2</v>
      </c>
      <c r="AD46" s="34">
        <f t="shared" si="97"/>
        <v>-1.7000000000000001E-2</v>
      </c>
      <c r="AE46" s="34">
        <f t="shared" si="97"/>
        <v>-1.1999999999999997E-2</v>
      </c>
      <c r="AF46" s="34">
        <f t="shared" si="97"/>
        <v>-1.100000000000001E-2</v>
      </c>
      <c r="AG46" s="34">
        <f t="shared" si="97"/>
        <v>-1.0000000000000002E-2</v>
      </c>
      <c r="AH46" s="34">
        <f t="shared" si="97"/>
        <v>-6.9999999999999993E-3</v>
      </c>
      <c r="AI46" s="34">
        <f t="shared" si="97"/>
        <v>-1.1000000000000003E-2</v>
      </c>
      <c r="AJ46" s="34">
        <f t="shared" si="97"/>
        <v>-9.999999999999995E-3</v>
      </c>
      <c r="AK46" s="34">
        <f t="shared" si="97"/>
        <v>-1.2000000000000004E-2</v>
      </c>
      <c r="AL46" s="34">
        <f t="shared" si="97"/>
        <v>-1.8000000000000002E-2</v>
      </c>
      <c r="AM46" s="34">
        <f>AM44-AM45</f>
        <v>-1.6999999999999998E-2</v>
      </c>
      <c r="AN46" s="182"/>
      <c r="AO46" s="182"/>
      <c r="AP46" s="182"/>
      <c r="AQ46" s="182"/>
      <c r="AR46" s="182"/>
      <c r="AS46" s="182"/>
      <c r="AT46" s="182"/>
      <c r="AU46" s="182"/>
      <c r="AV46" s="95"/>
      <c r="AW46" s="95"/>
      <c r="AX46" s="95"/>
      <c r="AY46" s="95"/>
      <c r="AZ46" s="95"/>
      <c r="BA46" s="95"/>
      <c r="BB46" s="95"/>
      <c r="BC46" s="95"/>
      <c r="BD46" s="95"/>
      <c r="BE46" s="95"/>
      <c r="BF46" s="95"/>
      <c r="BG46" s="95"/>
      <c r="BH46" s="95"/>
      <c r="BI46" s="95"/>
      <c r="BJ46" s="95"/>
      <c r="BK46" s="95"/>
      <c r="BL46" s="95"/>
      <c r="BM46" s="95"/>
      <c r="BN46" s="158"/>
      <c r="BO46" s="158"/>
      <c r="BP46" s="158"/>
      <c r="BQ46" s="158"/>
      <c r="BR46" s="158"/>
      <c r="BS46" s="158"/>
      <c r="BT46" s="158"/>
      <c r="BU46" s="158"/>
      <c r="BV46" s="158"/>
      <c r="BW46" s="158"/>
      <c r="BX46" s="158"/>
      <c r="BY46" s="158"/>
      <c r="BZ46" s="299"/>
      <c r="CA46" s="277"/>
    </row>
    <row r="47" spans="1:79" hidden="1" outlineLevel="1">
      <c r="B47" s="73" t="s">
        <v>563</v>
      </c>
      <c r="C47" s="32"/>
      <c r="D47" s="32"/>
      <c r="E47" s="32"/>
      <c r="F47" s="32"/>
      <c r="G47" s="32"/>
      <c r="H47" s="32"/>
      <c r="I47" s="32"/>
      <c r="J47" s="32"/>
      <c r="K47" s="32"/>
      <c r="L47" s="32"/>
      <c r="M47" s="32"/>
      <c r="N47" s="32"/>
      <c r="O47" s="32"/>
      <c r="P47" s="32"/>
      <c r="Q47" s="32"/>
      <c r="R47" s="32"/>
      <c r="S47" s="34"/>
      <c r="T47" s="34"/>
      <c r="U47" s="34"/>
      <c r="V47" s="34"/>
      <c r="W47" s="34"/>
      <c r="X47" s="34"/>
      <c r="Y47" s="34">
        <f t="shared" ref="Y47:AL47" si="98">Y45-Y73</f>
        <v>1.3897383559101872E-2</v>
      </c>
      <c r="Z47" s="34">
        <f t="shared" si="98"/>
        <v>5.7001687337221357E-2</v>
      </c>
      <c r="AA47" s="34">
        <f t="shared" si="98"/>
        <v>1.6223942628962595E-2</v>
      </c>
      <c r="AB47" s="34">
        <f t="shared" si="98"/>
        <v>7.1090659340659335E-2</v>
      </c>
      <c r="AC47" s="34">
        <f t="shared" si="98"/>
        <v>7.5479356193142055E-2</v>
      </c>
      <c r="AD47" s="34">
        <f t="shared" si="98"/>
        <v>7.5251516026566559E-2</v>
      </c>
      <c r="AE47" s="34">
        <f t="shared" si="98"/>
        <v>4.9779088823336606E-2</v>
      </c>
      <c r="AF47" s="34">
        <f t="shared" si="98"/>
        <v>2.1603755260602146E-2</v>
      </c>
      <c r="AG47" s="34">
        <f t="shared" si="98"/>
        <v>2.8861788617886193E-3</v>
      </c>
      <c r="AH47" s="34">
        <f t="shared" si="98"/>
        <v>1.845204254938768E-2</v>
      </c>
      <c r="AI47" s="34">
        <f t="shared" si="98"/>
        <v>1.8165012975118303E-2</v>
      </c>
      <c r="AJ47" s="34">
        <f t="shared" si="98"/>
        <v>9.1692750914895253E-3</v>
      </c>
      <c r="AK47" s="34">
        <f t="shared" si="98"/>
        <v>2.7757085020242916E-2</v>
      </c>
      <c r="AL47" s="34">
        <f t="shared" si="98"/>
        <v>3.5226121651331328E-2</v>
      </c>
      <c r="AM47" s="34">
        <f>AM45-AM73</f>
        <v>1.9330393237780227E-2</v>
      </c>
      <c r="AN47" s="182"/>
      <c r="AO47" s="182"/>
      <c r="AP47" s="182"/>
      <c r="AQ47" s="182"/>
      <c r="AR47" s="182"/>
      <c r="AS47" s="182"/>
      <c r="AT47" s="182"/>
      <c r="AU47" s="182"/>
      <c r="AV47" s="95"/>
      <c r="AW47" s="95"/>
      <c r="AX47" s="95"/>
      <c r="AY47" s="95"/>
      <c r="AZ47" s="95"/>
      <c r="BA47" s="95"/>
      <c r="BB47" s="95"/>
      <c r="BC47" s="95"/>
      <c r="BD47" s="95"/>
      <c r="BE47" s="95"/>
      <c r="BF47" s="95"/>
      <c r="BG47" s="95"/>
      <c r="BH47" s="95"/>
      <c r="BI47" s="95"/>
      <c r="BJ47" s="95"/>
      <c r="BK47" s="95"/>
      <c r="BL47" s="95"/>
      <c r="BM47" s="95"/>
      <c r="BN47" s="158"/>
      <c r="BO47" s="158"/>
      <c r="BP47" s="158"/>
      <c r="BQ47" s="158"/>
      <c r="BR47" s="158"/>
      <c r="BS47" s="158"/>
      <c r="BT47" s="158"/>
      <c r="BU47" s="158"/>
      <c r="BV47" s="158"/>
      <c r="BW47" s="158"/>
      <c r="BX47" s="158"/>
      <c r="BY47" s="158"/>
      <c r="BZ47" s="299"/>
      <c r="CA47" s="277"/>
    </row>
    <row r="48" spans="1:79" hidden="1" outlineLevel="1">
      <c r="B48" s="73" t="s">
        <v>327</v>
      </c>
      <c r="C48" s="32"/>
      <c r="D48" s="32"/>
      <c r="E48" s="32"/>
      <c r="F48" s="32"/>
      <c r="G48" s="32"/>
      <c r="H48" s="32"/>
      <c r="I48" s="32"/>
      <c r="J48" s="32"/>
      <c r="K48" s="32"/>
      <c r="L48" s="32"/>
      <c r="M48" s="32"/>
      <c r="N48" s="32"/>
      <c r="O48" s="32"/>
      <c r="P48" s="32"/>
      <c r="Q48" s="32"/>
      <c r="R48" s="32"/>
      <c r="S48" s="34">
        <f t="shared" ref="S48:AM48" si="99">S33</f>
        <v>0.115</v>
      </c>
      <c r="T48" s="34">
        <f t="shared" si="99"/>
        <v>7.0999999999999994E-2</v>
      </c>
      <c r="U48" s="34">
        <f t="shared" si="99"/>
        <v>-2.1000000000000001E-2</v>
      </c>
      <c r="V48" s="34">
        <f t="shared" si="99"/>
        <v>1E-3</v>
      </c>
      <c r="W48" s="34">
        <f t="shared" si="99"/>
        <v>2.7E-2</v>
      </c>
      <c r="X48" s="34">
        <f t="shared" si="99"/>
        <v>1.9E-2</v>
      </c>
      <c r="Y48" s="34">
        <f t="shared" si="99"/>
        <v>4.3999999999999997E-2</v>
      </c>
      <c r="Z48" s="34">
        <f t="shared" si="99"/>
        <v>5.1999999999999998E-2</v>
      </c>
      <c r="AA48" s="34">
        <f t="shared" si="99"/>
        <v>-8.9999999999999993E-3</v>
      </c>
      <c r="AB48" s="34">
        <f t="shared" si="99"/>
        <v>5.0999999999999997E-2</v>
      </c>
      <c r="AC48" s="34">
        <f t="shared" si="99"/>
        <v>6.8000000000000005E-2</v>
      </c>
      <c r="AD48" s="34">
        <f t="shared" si="99"/>
        <v>6.4000000000000001E-2</v>
      </c>
      <c r="AE48" s="34">
        <f t="shared" si="99"/>
        <v>5.5E-2</v>
      </c>
      <c r="AF48" s="34">
        <f t="shared" si="99"/>
        <v>3.7999999999999999E-2</v>
      </c>
      <c r="AG48" s="34">
        <f t="shared" si="99"/>
        <v>1.0999999999999999E-2</v>
      </c>
      <c r="AH48" s="34">
        <f t="shared" si="99"/>
        <v>1.2999999999999999E-2</v>
      </c>
      <c r="AI48" s="34">
        <f t="shared" si="99"/>
        <v>2.3E-2</v>
      </c>
      <c r="AJ48" s="34">
        <f t="shared" si="99"/>
        <v>1.0999999999999999E-2</v>
      </c>
      <c r="AK48" s="34">
        <f t="shared" si="99"/>
        <v>0.03</v>
      </c>
      <c r="AL48" s="34">
        <f t="shared" si="99"/>
        <v>2.9000000000000001E-2</v>
      </c>
      <c r="AM48" s="34">
        <f t="shared" si="99"/>
        <v>1.6E-2</v>
      </c>
      <c r="AN48" s="182"/>
      <c r="AO48" s="182"/>
      <c r="AP48" s="182"/>
      <c r="AQ48" s="182"/>
      <c r="AR48" s="182"/>
      <c r="AS48" s="182"/>
      <c r="AT48" s="182"/>
      <c r="AU48" s="182"/>
      <c r="AV48" s="95"/>
      <c r="AW48" s="95"/>
      <c r="AX48" s="95"/>
      <c r="AY48" s="95"/>
      <c r="AZ48" s="95"/>
      <c r="BA48" s="95"/>
      <c r="BB48" s="95"/>
      <c r="BC48" s="95"/>
      <c r="BD48" s="95">
        <f t="shared" ref="BD48:BD49" si="100">AVERAGE(S48:T48)</f>
        <v>9.2999999999999999E-2</v>
      </c>
      <c r="BE48" s="95">
        <f t="shared" ref="BE48:BE49" si="101">AVERAGE(U48:V48)</f>
        <v>-0.01</v>
      </c>
      <c r="BF48" s="95">
        <f t="shared" ref="BF48:BF49" si="102">AVERAGE(W48:X48)</f>
        <v>2.3E-2</v>
      </c>
      <c r="BG48" s="95">
        <f t="shared" ref="BG48:BG49" si="103">AVERAGE(Y48:Z48)</f>
        <v>4.8000000000000001E-2</v>
      </c>
      <c r="BH48" s="95">
        <f t="shared" ref="BH48:BH49" si="104">AVERAGE(AA48:AB48)</f>
        <v>2.0999999999999998E-2</v>
      </c>
      <c r="BI48" s="95">
        <f t="shared" ref="BI48:BI49" si="105">AVERAGE(AC48:AD48)</f>
        <v>6.6000000000000003E-2</v>
      </c>
      <c r="BJ48" s="95">
        <f t="shared" ref="BJ48:BJ49" si="106">AVERAGE(AE48:AF48)</f>
        <v>4.65E-2</v>
      </c>
      <c r="BK48" s="95">
        <f t="shared" ref="BK48:BK49" si="107">AVERAGE(AG48:AH48)</f>
        <v>1.2E-2</v>
      </c>
      <c r="BL48" s="95">
        <f t="shared" ref="BL48:BL49" si="108">AVERAGE(AI48:AJ48)</f>
        <v>1.7000000000000001E-2</v>
      </c>
      <c r="BM48" s="95">
        <f t="shared" ref="BM48:BM49" si="109">AVERAGE(AK48:AL48)</f>
        <v>2.9499999999999998E-2</v>
      </c>
      <c r="BN48" s="158"/>
      <c r="BO48" s="158"/>
      <c r="BP48" s="158"/>
      <c r="BQ48" s="158"/>
      <c r="BR48" s="158"/>
      <c r="BS48" s="158"/>
      <c r="BT48" s="158"/>
      <c r="BU48" s="158"/>
      <c r="BV48" s="158"/>
      <c r="BW48" s="158"/>
      <c r="BX48" s="158"/>
      <c r="BY48" s="158"/>
      <c r="BZ48" s="299">
        <f>AVERAGE(BL48:BM48)</f>
        <v>2.325E-2</v>
      </c>
      <c r="CA48" s="277"/>
    </row>
    <row r="49" spans="2:79" hidden="1" outlineLevel="1">
      <c r="B49" s="73" t="s">
        <v>326</v>
      </c>
      <c r="C49" s="32"/>
      <c r="D49" s="32"/>
      <c r="E49" s="32"/>
      <c r="F49" s="32"/>
      <c r="G49" s="32"/>
      <c r="H49" s="32"/>
      <c r="I49" s="32"/>
      <c r="J49" s="32"/>
      <c r="K49" s="32"/>
      <c r="L49" s="32"/>
      <c r="M49" s="32"/>
      <c r="N49" s="32"/>
      <c r="O49" s="32"/>
      <c r="P49" s="32"/>
      <c r="Q49" s="32"/>
      <c r="R49" s="32"/>
      <c r="S49" s="102">
        <f t="shared" ref="S49:AL49" si="110">S44-S48</f>
        <v>1.3999999999999999E-2</v>
      </c>
      <c r="T49" s="102">
        <f t="shared" si="110"/>
        <v>1.2000000000000011E-2</v>
      </c>
      <c r="U49" s="102">
        <f t="shared" si="110"/>
        <v>1.4000000000000002E-2</v>
      </c>
      <c r="V49" s="102">
        <f t="shared" si="110"/>
        <v>1.0999999999999999E-2</v>
      </c>
      <c r="W49" s="102">
        <f t="shared" si="110"/>
        <v>1.2E-2</v>
      </c>
      <c r="X49" s="121">
        <f t="shared" si="110"/>
        <v>1.0000000000000002E-2</v>
      </c>
      <c r="Y49" s="102">
        <f t="shared" si="110"/>
        <v>1.0000000000000002E-2</v>
      </c>
      <c r="Z49" s="102">
        <f t="shared" si="110"/>
        <v>8.0000000000000002E-3</v>
      </c>
      <c r="AA49" s="102">
        <f t="shared" si="110"/>
        <v>4.9999999999999992E-3</v>
      </c>
      <c r="AB49" s="102">
        <f t="shared" si="110"/>
        <v>8.0000000000000002E-3</v>
      </c>
      <c r="AC49" s="102">
        <f t="shared" si="110"/>
        <v>9.999999999999995E-3</v>
      </c>
      <c r="AD49" s="102">
        <f t="shared" si="110"/>
        <v>1.0999999999999996E-2</v>
      </c>
      <c r="AE49" s="102">
        <f t="shared" si="110"/>
        <v>9.0000000000000011E-3</v>
      </c>
      <c r="AF49" s="102">
        <f t="shared" si="110"/>
        <v>6.9999999999999993E-3</v>
      </c>
      <c r="AG49" s="102">
        <f t="shared" si="110"/>
        <v>4.0000000000000001E-3</v>
      </c>
      <c r="AH49" s="102">
        <f t="shared" si="110"/>
        <v>8.9999999999999993E-3</v>
      </c>
      <c r="AI49" s="299">
        <f t="shared" si="110"/>
        <v>1.4999999999999999E-2</v>
      </c>
      <c r="AJ49" s="299">
        <f t="shared" si="110"/>
        <v>6.0000000000000019E-3</v>
      </c>
      <c r="AK49" s="299">
        <f t="shared" si="110"/>
        <v>5.9999999999999984E-3</v>
      </c>
      <c r="AL49" s="299">
        <f t="shared" si="110"/>
        <v>5.000000000000001E-3</v>
      </c>
      <c r="AM49" s="299">
        <f t="shared" ref="AM49" si="111">AM44-AM48</f>
        <v>5.000000000000001E-3</v>
      </c>
      <c r="AN49" s="277"/>
      <c r="AO49" s="277"/>
      <c r="AP49" s="277"/>
      <c r="AQ49" s="277"/>
      <c r="AR49" s="277"/>
      <c r="AS49" s="277"/>
      <c r="AT49" s="277"/>
      <c r="AU49" s="277"/>
      <c r="AV49" s="95"/>
      <c r="AW49" s="95"/>
      <c r="AX49" s="95"/>
      <c r="AY49" s="95"/>
      <c r="AZ49" s="95"/>
      <c r="BA49" s="95"/>
      <c r="BB49" s="95"/>
      <c r="BC49" s="95"/>
      <c r="BD49" s="95">
        <f t="shared" si="100"/>
        <v>1.3000000000000005E-2</v>
      </c>
      <c r="BE49" s="95">
        <f t="shared" si="101"/>
        <v>1.2500000000000001E-2</v>
      </c>
      <c r="BF49" s="95">
        <f t="shared" si="102"/>
        <v>1.1000000000000001E-2</v>
      </c>
      <c r="BG49" s="95">
        <f t="shared" si="103"/>
        <v>9.0000000000000011E-3</v>
      </c>
      <c r="BH49" s="95">
        <f t="shared" si="104"/>
        <v>6.4999999999999997E-3</v>
      </c>
      <c r="BI49" s="95">
        <f t="shared" si="105"/>
        <v>1.0499999999999995E-2</v>
      </c>
      <c r="BJ49" s="95">
        <f t="shared" si="106"/>
        <v>8.0000000000000002E-3</v>
      </c>
      <c r="BK49" s="95">
        <f t="shared" si="107"/>
        <v>6.4999999999999997E-3</v>
      </c>
      <c r="BL49" s="95">
        <f t="shared" si="108"/>
        <v>1.0500000000000001E-2</v>
      </c>
      <c r="BM49" s="95">
        <f t="shared" si="109"/>
        <v>5.4999999999999997E-3</v>
      </c>
      <c r="BN49" s="158"/>
      <c r="BO49" s="158"/>
      <c r="BP49" s="158"/>
      <c r="BQ49" s="158"/>
      <c r="BR49" s="158"/>
      <c r="BS49" s="158"/>
      <c r="BT49" s="158"/>
      <c r="BU49" s="158"/>
      <c r="BV49" s="158"/>
      <c r="BW49" s="158"/>
      <c r="BX49" s="158"/>
      <c r="BY49" s="158"/>
      <c r="BZ49" s="299">
        <f>AVERAGE(BL49:BM49)</f>
        <v>8.0000000000000002E-3</v>
      </c>
      <c r="CA49" s="277"/>
    </row>
    <row r="50" spans="2:79" hidden="1" outlineLevel="1">
      <c r="B50" s="73"/>
      <c r="C50" s="32"/>
      <c r="D50" s="32"/>
      <c r="E50" s="32"/>
      <c r="F50" s="32"/>
      <c r="G50" s="32"/>
      <c r="H50" s="32"/>
      <c r="I50" s="32"/>
      <c r="J50" s="32"/>
      <c r="K50" s="32"/>
      <c r="L50" s="32"/>
      <c r="M50" s="32"/>
      <c r="N50" s="32"/>
      <c r="O50" s="32"/>
      <c r="P50" s="32"/>
      <c r="Q50" s="32"/>
      <c r="R50" s="32"/>
      <c r="S50" s="32"/>
      <c r="T50" s="32"/>
      <c r="U50" s="32"/>
      <c r="V50" s="32"/>
      <c r="W50" s="32"/>
      <c r="X50" s="92"/>
      <c r="Y50" s="32"/>
      <c r="Z50" s="32"/>
      <c r="AA50" s="32"/>
      <c r="AB50" s="32"/>
      <c r="AC50" s="32"/>
      <c r="AD50" s="32"/>
      <c r="AE50" s="32"/>
      <c r="AF50" s="32"/>
      <c r="AG50" s="32"/>
      <c r="AH50" s="32"/>
      <c r="AI50" s="199"/>
      <c r="AJ50" s="199"/>
      <c r="AK50" s="199"/>
      <c r="AL50" s="199"/>
      <c r="AM50" s="199"/>
      <c r="AN50" s="200"/>
      <c r="AO50" s="200"/>
      <c r="AP50" s="200"/>
      <c r="AQ50" s="200"/>
      <c r="AR50" s="200"/>
      <c r="AS50" s="200"/>
      <c r="AT50" s="200"/>
      <c r="AU50" s="200"/>
      <c r="AV50" s="199"/>
      <c r="AW50" s="199"/>
      <c r="AX50" s="199"/>
      <c r="AY50" s="199"/>
      <c r="AZ50" s="199"/>
      <c r="BA50" s="199"/>
      <c r="BB50" s="199"/>
      <c r="BC50" s="199"/>
      <c r="BD50" s="199"/>
      <c r="BE50" s="199"/>
      <c r="BF50" s="199"/>
      <c r="BG50" s="199"/>
      <c r="BH50" s="199"/>
      <c r="BI50" s="199"/>
      <c r="BJ50" s="199"/>
      <c r="BK50" s="199"/>
      <c r="BL50" s="199"/>
      <c r="BM50" s="199"/>
      <c r="BN50" s="200"/>
      <c r="BO50" s="200"/>
      <c r="BP50" s="200"/>
      <c r="BQ50" s="200"/>
      <c r="BR50" s="200"/>
      <c r="BS50" s="200"/>
      <c r="BT50" s="200"/>
      <c r="BU50" s="200"/>
      <c r="BV50" s="200"/>
      <c r="BW50" s="200"/>
      <c r="BX50" s="200"/>
      <c r="BY50" s="200"/>
      <c r="BZ50" s="299"/>
      <c r="CA50" s="277"/>
    </row>
    <row r="51" spans="2:79" hidden="1" outlineLevel="1">
      <c r="B51" s="72" t="s">
        <v>325</v>
      </c>
      <c r="C51" s="32"/>
      <c r="D51" s="32"/>
      <c r="E51" s="32"/>
      <c r="F51" s="32"/>
      <c r="G51" s="32"/>
      <c r="H51" s="32"/>
      <c r="I51" s="32"/>
      <c r="J51" s="32"/>
      <c r="K51" s="32"/>
      <c r="L51" s="32"/>
      <c r="M51" s="32"/>
      <c r="N51" s="32"/>
      <c r="O51" s="32"/>
      <c r="P51" s="32"/>
      <c r="Q51" s="32"/>
      <c r="R51" s="32"/>
      <c r="S51" s="32"/>
      <c r="T51" s="32"/>
      <c r="U51" s="32"/>
      <c r="V51" s="32"/>
      <c r="W51" s="32"/>
      <c r="X51" s="92"/>
      <c r="Y51" s="32"/>
      <c r="Z51" s="32"/>
      <c r="AA51" s="32"/>
      <c r="AB51" s="32"/>
      <c r="AC51" s="32"/>
      <c r="AD51" s="32"/>
      <c r="AE51" s="32"/>
      <c r="AF51" s="32"/>
      <c r="AG51" s="32"/>
      <c r="AH51" s="32"/>
      <c r="AI51" s="199"/>
      <c r="AJ51" s="199"/>
      <c r="AK51" s="199"/>
      <c r="AL51" s="199"/>
      <c r="AM51" s="199"/>
      <c r="AN51" s="200"/>
      <c r="AO51" s="200"/>
      <c r="AP51" s="200"/>
      <c r="AQ51" s="200"/>
      <c r="AR51" s="200"/>
      <c r="AS51" s="200"/>
      <c r="AT51" s="200"/>
      <c r="AU51" s="200"/>
      <c r="AV51" s="199"/>
      <c r="AW51" s="199"/>
      <c r="AX51" s="199"/>
      <c r="AY51" s="199"/>
      <c r="AZ51" s="199"/>
      <c r="BA51" s="199"/>
      <c r="BB51" s="199"/>
      <c r="BC51" s="199"/>
      <c r="BD51" s="199"/>
      <c r="BE51" s="199"/>
      <c r="BF51" s="199"/>
      <c r="BG51" s="199"/>
      <c r="BH51" s="199"/>
      <c r="BI51" s="199"/>
      <c r="BJ51" s="199"/>
      <c r="BK51" s="199"/>
      <c r="BL51" s="199"/>
      <c r="BM51" s="199"/>
      <c r="BN51" s="200"/>
      <c r="BO51" s="200"/>
      <c r="BP51" s="200"/>
      <c r="BQ51" s="200"/>
      <c r="BR51" s="200"/>
      <c r="BS51" s="200"/>
      <c r="BT51" s="200"/>
      <c r="BU51" s="200"/>
      <c r="BV51" s="200"/>
      <c r="BW51" s="200"/>
      <c r="BX51" s="200"/>
      <c r="BY51" s="200"/>
      <c r="BZ51" s="199"/>
      <c r="CA51" s="200"/>
    </row>
    <row r="52" spans="2:79" hidden="1" outlineLevel="1">
      <c r="B52" s="73" t="s">
        <v>324</v>
      </c>
      <c r="C52" s="108">
        <v>2.5000000000000001E-2</v>
      </c>
      <c r="D52" s="108">
        <v>2.7E-2</v>
      </c>
      <c r="E52" s="108">
        <v>4.1000000000000002E-2</v>
      </c>
      <c r="F52" s="108">
        <v>5.1999999999999998E-2</v>
      </c>
      <c r="G52" s="108">
        <v>4.5999999999999999E-2</v>
      </c>
      <c r="H52" s="108">
        <v>4.3999999999999997E-2</v>
      </c>
      <c r="I52" s="108">
        <v>4.1000000000000002E-2</v>
      </c>
      <c r="J52" s="108">
        <v>3.5999999999999997E-2</v>
      </c>
      <c r="K52" s="108">
        <v>2.1000000000000001E-2</v>
      </c>
      <c r="L52" s="108">
        <v>1.4999999999999999E-2</v>
      </c>
      <c r="M52" s="108">
        <v>1.9E-2</v>
      </c>
      <c r="N52" s="108">
        <v>1.4E-2</v>
      </c>
      <c r="O52" s="108">
        <v>2.8000000000000001E-2</v>
      </c>
      <c r="P52" s="108">
        <v>7.0000000000000001E-3</v>
      </c>
      <c r="Q52" s="108">
        <v>5.0000000000000001E-3</v>
      </c>
      <c r="R52" s="108">
        <v>-0.11</v>
      </c>
      <c r="S52" s="100">
        <v>-9.2999999999999999E-2</v>
      </c>
      <c r="T52" s="100">
        <v>-0.09</v>
      </c>
      <c r="U52" s="100">
        <v>-0.12</v>
      </c>
      <c r="V52" s="100">
        <v>2.5999999999999999E-2</v>
      </c>
      <c r="W52" s="100">
        <v>-6.8000000000000005E-2</v>
      </c>
      <c r="X52" s="101">
        <v>-6.5000000000000002E-2</v>
      </c>
      <c r="Y52" s="100">
        <v>-4.8000000000000001E-2</v>
      </c>
      <c r="Z52" s="101">
        <v>-2.9000000000000001E-2</v>
      </c>
      <c r="AA52" s="100">
        <v>5.1999999999999998E-2</v>
      </c>
      <c r="AB52" s="101">
        <v>6.8000000000000005E-2</v>
      </c>
      <c r="AC52" s="100">
        <v>0.08</v>
      </c>
      <c r="AD52" s="101">
        <v>4.4999999999999998E-2</v>
      </c>
      <c r="AE52" s="100">
        <v>0.04</v>
      </c>
      <c r="AF52" s="106">
        <v>2.1999999999999999E-2</v>
      </c>
      <c r="AG52" s="100">
        <v>3.0000000000000001E-3</v>
      </c>
      <c r="AH52" s="35">
        <v>3.0000000000000001E-3</v>
      </c>
      <c r="AI52" s="100">
        <v>1.2E-2</v>
      </c>
      <c r="AJ52" s="106">
        <v>-6.0000000000000001E-3</v>
      </c>
      <c r="AK52" s="100">
        <v>1.2999999999999999E-2</v>
      </c>
      <c r="AL52" s="35">
        <v>8.9999999999999993E-3</v>
      </c>
      <c r="AM52" s="35">
        <v>1E-3</v>
      </c>
      <c r="AN52" s="181"/>
      <c r="AO52" s="181"/>
      <c r="AP52" s="181"/>
      <c r="AQ52" s="181"/>
      <c r="AR52" s="181"/>
      <c r="AS52" s="181"/>
      <c r="AT52" s="181"/>
      <c r="AU52" s="181"/>
      <c r="AV52" s="95">
        <f>AVERAGE(C52:D52)</f>
        <v>2.6000000000000002E-2</v>
      </c>
      <c r="AW52" s="95">
        <f>AVERAGE(E52:F52)</f>
        <v>4.65E-2</v>
      </c>
      <c r="AX52" s="95">
        <f>AVERAGE(G52:H52)</f>
        <v>4.4999999999999998E-2</v>
      </c>
      <c r="AY52" s="95">
        <f>AVERAGE(I52:J52)</f>
        <v>3.85E-2</v>
      </c>
      <c r="AZ52" s="95">
        <f>AVERAGE(K52:L52)</f>
        <v>1.8000000000000002E-2</v>
      </c>
      <c r="BA52" s="95">
        <f>AVERAGE(M52:N52)</f>
        <v>1.6500000000000001E-2</v>
      </c>
      <c r="BB52" s="95">
        <f>AVERAGE(O52:P52)</f>
        <v>1.7500000000000002E-2</v>
      </c>
      <c r="BC52" s="95">
        <f>AVERAGE(Q52:R52)</f>
        <v>-5.2499999999999998E-2</v>
      </c>
      <c r="BD52" s="95">
        <f>AVERAGE(S52:T52)</f>
        <v>-9.1499999999999998E-2</v>
      </c>
      <c r="BE52" s="95">
        <f>AVERAGE(U52:V52)</f>
        <v>-4.7E-2</v>
      </c>
      <c r="BF52" s="95">
        <f>AVERAGE(W52:X52)</f>
        <v>-6.6500000000000004E-2</v>
      </c>
      <c r="BG52" s="95">
        <f>AVERAGE(Y52:Z52)</f>
        <v>-3.85E-2</v>
      </c>
      <c r="BH52" s="95">
        <f>AVERAGE(AA52:AB52)</f>
        <v>0.06</v>
      </c>
      <c r="BI52" s="95">
        <f>AVERAGE(AC52:AD52)</f>
        <v>6.25E-2</v>
      </c>
      <c r="BJ52" s="95">
        <f>AVERAGE(AE52:AF52)</f>
        <v>3.1E-2</v>
      </c>
      <c r="BK52" s="95">
        <f>AVERAGE(AG52:AH52)</f>
        <v>3.0000000000000001E-3</v>
      </c>
      <c r="BL52" s="95">
        <f>AVERAGE(AI52:AJ52)</f>
        <v>3.0000000000000001E-3</v>
      </c>
      <c r="BM52" s="95">
        <f>AVERAGE(AK52:AL52)</f>
        <v>1.0999999999999999E-2</v>
      </c>
      <c r="BN52" s="158"/>
      <c r="BO52" s="158"/>
      <c r="BP52" s="158"/>
      <c r="BQ52" s="158"/>
      <c r="BR52" s="158"/>
      <c r="BS52" s="158"/>
      <c r="BT52" s="158"/>
      <c r="BU52" s="158"/>
      <c r="BV52" s="158"/>
      <c r="BW52" s="158"/>
      <c r="BX52" s="158"/>
      <c r="BY52" s="158"/>
      <c r="BZ52" s="299">
        <f>AVERAGE(BL52:BM52)</f>
        <v>6.9999999999999993E-3</v>
      </c>
      <c r="CA52" s="277"/>
    </row>
    <row r="53" spans="2:79" hidden="1" outlineLevel="1">
      <c r="B53" s="73" t="s">
        <v>323</v>
      </c>
      <c r="C53" s="108">
        <v>-0.02</v>
      </c>
      <c r="D53" s="108">
        <v>8.0000000000000002E-3</v>
      </c>
      <c r="E53" s="108">
        <v>6.0000000000000001E-3</v>
      </c>
      <c r="F53" s="108">
        <v>4.0000000000000001E-3</v>
      </c>
      <c r="G53" s="108">
        <v>1.4E-2</v>
      </c>
      <c r="H53" s="108">
        <v>6.0000000000000001E-3</v>
      </c>
      <c r="I53" s="108">
        <v>0</v>
      </c>
      <c r="J53" s="108">
        <v>0.01</v>
      </c>
      <c r="K53" s="108">
        <v>8.0000000000000002E-3</v>
      </c>
      <c r="L53" s="108">
        <v>2.5999999999999999E-2</v>
      </c>
      <c r="M53" s="108">
        <v>2.5999999999999999E-2</v>
      </c>
      <c r="N53" s="108">
        <v>1.2E-2</v>
      </c>
      <c r="O53" s="108">
        <v>1.9E-2</v>
      </c>
      <c r="P53" s="108">
        <v>8.9999999999999993E-3</v>
      </c>
      <c r="Q53" s="108">
        <v>6.2E-2</v>
      </c>
      <c r="R53" s="108">
        <v>0.154</v>
      </c>
      <c r="S53" s="100">
        <v>0.158</v>
      </c>
      <c r="T53" s="100">
        <v>0.13</v>
      </c>
      <c r="U53" s="100">
        <v>8.5999999999999993E-2</v>
      </c>
      <c r="V53" s="100">
        <v>-2.1000000000000001E-2</v>
      </c>
      <c r="W53" s="100">
        <v>0.1</v>
      </c>
      <c r="X53" s="101">
        <v>7.3999999999999996E-2</v>
      </c>
      <c r="Y53" s="100">
        <v>4.2999999999999997E-2</v>
      </c>
      <c r="Z53" s="101">
        <v>1.7999999999999999E-2</v>
      </c>
      <c r="AA53" s="100">
        <v>-0.128</v>
      </c>
      <c r="AB53" s="101">
        <v>-9.0999999999999998E-2</v>
      </c>
      <c r="AC53" s="100">
        <v>-7.5999999999999998E-2</v>
      </c>
      <c r="AD53" s="101">
        <v>-4.3999999999999997E-2</v>
      </c>
      <c r="AE53" s="100">
        <v>-2.4E-2</v>
      </c>
      <c r="AF53" s="106">
        <v>-0.01</v>
      </c>
      <c r="AG53" s="100">
        <v>-8.0000000000000002E-3</v>
      </c>
      <c r="AH53" s="35">
        <v>0</v>
      </c>
      <c r="AI53" s="100">
        <v>1E-3</v>
      </c>
      <c r="AJ53" s="106">
        <v>-5.0000000000000001E-3</v>
      </c>
      <c r="AK53" s="100">
        <v>3.0000000000000001E-3</v>
      </c>
      <c r="AL53" s="35">
        <v>-2E-3</v>
      </c>
      <c r="AM53" s="35">
        <v>5.0000000000000001E-3</v>
      </c>
      <c r="AN53" s="181"/>
      <c r="AO53" s="181"/>
      <c r="AP53" s="181"/>
      <c r="AQ53" s="181"/>
      <c r="AR53" s="181"/>
      <c r="AS53" s="181"/>
      <c r="AT53" s="181"/>
      <c r="AU53" s="181"/>
      <c r="AV53" s="95">
        <f t="shared" ref="AV53:AV54" si="112">AVERAGE(C53:D53)</f>
        <v>-6.0000000000000001E-3</v>
      </c>
      <c r="AW53" s="95">
        <f t="shared" ref="AW53:AW54" si="113">AVERAGE(E53:F53)</f>
        <v>5.0000000000000001E-3</v>
      </c>
      <c r="AX53" s="95">
        <f t="shared" ref="AX53:AX54" si="114">AVERAGE(G53:H53)</f>
        <v>0.01</v>
      </c>
      <c r="AY53" s="95">
        <f t="shared" ref="AY53:AY54" si="115">AVERAGE(I53:J53)</f>
        <v>5.0000000000000001E-3</v>
      </c>
      <c r="AZ53" s="95">
        <f t="shared" ref="AZ53:AZ54" si="116">AVERAGE(K53:L53)</f>
        <v>1.7000000000000001E-2</v>
      </c>
      <c r="BA53" s="95">
        <f t="shared" ref="BA53:BA54" si="117">AVERAGE(M53:N53)</f>
        <v>1.9E-2</v>
      </c>
      <c r="BB53" s="95">
        <f t="shared" ref="BB53:BB54" si="118">AVERAGE(O53:P53)</f>
        <v>1.3999999999999999E-2</v>
      </c>
      <c r="BC53" s="95">
        <f t="shared" ref="BC53:BC54" si="119">AVERAGE(Q53:R53)</f>
        <v>0.108</v>
      </c>
      <c r="BD53" s="95">
        <f t="shared" ref="BD53:BD54" si="120">AVERAGE(S53:T53)</f>
        <v>0.14400000000000002</v>
      </c>
      <c r="BE53" s="95">
        <f t="shared" ref="BE53:BE54" si="121">AVERAGE(U53:V53)</f>
        <v>3.2499999999999994E-2</v>
      </c>
      <c r="BF53" s="95">
        <f t="shared" ref="BF53:BF54" si="122">AVERAGE(W53:X53)</f>
        <v>8.6999999999999994E-2</v>
      </c>
      <c r="BG53" s="95">
        <f t="shared" ref="BG53:BG54" si="123">AVERAGE(Y53:Z53)</f>
        <v>3.0499999999999999E-2</v>
      </c>
      <c r="BH53" s="95">
        <f t="shared" ref="BH53:BH54" si="124">AVERAGE(AA53:AB53)</f>
        <v>-0.1095</v>
      </c>
      <c r="BI53" s="95">
        <f t="shared" ref="BI53:BI54" si="125">AVERAGE(AC53:AD53)</f>
        <v>-0.06</v>
      </c>
      <c r="BJ53" s="95">
        <f t="shared" ref="BJ53:BJ54" si="126">AVERAGE(AE53:AF53)</f>
        <v>-1.7000000000000001E-2</v>
      </c>
      <c r="BK53" s="95">
        <f t="shared" ref="BK53:BK54" si="127">AVERAGE(AG53:AH53)</f>
        <v>-4.0000000000000001E-3</v>
      </c>
      <c r="BL53" s="95">
        <f t="shared" ref="BL53:BL54" si="128">AVERAGE(AI53:AJ53)</f>
        <v>-2E-3</v>
      </c>
      <c r="BM53" s="95">
        <f t="shared" ref="BM53:BM54" si="129">AVERAGE(AK53:AL53)</f>
        <v>5.0000000000000001E-4</v>
      </c>
      <c r="BN53" s="158"/>
      <c r="BO53" s="158"/>
      <c r="BP53" s="158"/>
      <c r="BQ53" s="158"/>
      <c r="BR53" s="158"/>
      <c r="BS53" s="158"/>
      <c r="BT53" s="158"/>
      <c r="BU53" s="158"/>
      <c r="BV53" s="158"/>
      <c r="BW53" s="158"/>
      <c r="BX53" s="158"/>
      <c r="BY53" s="158"/>
      <c r="BZ53" s="299">
        <f>AVERAGE(BL53:BM53)</f>
        <v>-7.5000000000000002E-4</v>
      </c>
      <c r="CA53" s="277"/>
    </row>
    <row r="54" spans="2:79" hidden="1" outlineLevel="1">
      <c r="B54" s="73" t="s">
        <v>322</v>
      </c>
      <c r="C54" s="108">
        <v>5.0000000000000001E-3</v>
      </c>
      <c r="D54" s="108">
        <v>3.5000000000000003E-2</v>
      </c>
      <c r="E54" s="108">
        <v>4.7E-2</v>
      </c>
      <c r="F54" s="108">
        <v>5.6000000000000001E-2</v>
      </c>
      <c r="G54" s="108">
        <v>0.06</v>
      </c>
      <c r="H54" s="108">
        <v>0.05</v>
      </c>
      <c r="I54" s="108">
        <v>4.1000000000000002E-2</v>
      </c>
      <c r="J54" s="108">
        <v>4.5999999999999999E-2</v>
      </c>
      <c r="K54" s="108">
        <v>2.9000000000000001E-2</v>
      </c>
      <c r="L54" s="108">
        <v>4.1000000000000002E-2</v>
      </c>
      <c r="M54" s="108">
        <v>4.4999999999999998E-2</v>
      </c>
      <c r="N54" s="108">
        <v>2.5999999999999999E-2</v>
      </c>
      <c r="O54" s="108">
        <v>4.7E-2</v>
      </c>
      <c r="P54" s="108">
        <v>1.6E-2</v>
      </c>
      <c r="Q54" s="108">
        <v>6.7000000000000004E-2</v>
      </c>
      <c r="R54" s="108">
        <v>2.7E-2</v>
      </c>
      <c r="S54" s="100">
        <v>5.0305999999999962E-2</v>
      </c>
      <c r="T54" s="100">
        <v>2.9000000000000001E-2</v>
      </c>
      <c r="U54" s="100">
        <v>-4.3999999999999997E-2</v>
      </c>
      <c r="V54" s="100">
        <v>4.0000000000000001E-3</v>
      </c>
      <c r="W54" s="100">
        <v>2.5000000000000001E-2</v>
      </c>
      <c r="X54" s="101">
        <v>4.0000000000000001E-3</v>
      </c>
      <c r="Y54" s="100">
        <v>-7.0000000000000001E-3</v>
      </c>
      <c r="Z54" s="101">
        <v>-1.0999999999999999E-2</v>
      </c>
      <c r="AA54" s="100">
        <v>-8.3000000000000004E-2</v>
      </c>
      <c r="AB54" s="101">
        <v>-2.9000000000000001E-2</v>
      </c>
      <c r="AC54" s="100">
        <v>-1E-3</v>
      </c>
      <c r="AD54" s="101">
        <v>-1E-3</v>
      </c>
      <c r="AE54" s="100">
        <v>1.6E-2</v>
      </c>
      <c r="AF54" s="106">
        <v>1.2E-2</v>
      </c>
      <c r="AG54" s="100">
        <v>-5.0000000000000001E-3</v>
      </c>
      <c r="AH54" s="35">
        <v>4.0000000000000001E-3</v>
      </c>
      <c r="AI54" s="100">
        <v>1.2E-2</v>
      </c>
      <c r="AJ54" s="106">
        <v>-1.0999999999999999E-2</v>
      </c>
      <c r="AK54" s="100">
        <v>1.6E-2</v>
      </c>
      <c r="AL54" s="35">
        <v>7.0000000000000001E-3</v>
      </c>
      <c r="AM54" s="35">
        <v>5.0000000000000001E-3</v>
      </c>
      <c r="AN54" s="181"/>
      <c r="AO54" s="181"/>
      <c r="AP54" s="181"/>
      <c r="AQ54" s="181"/>
      <c r="AR54" s="181"/>
      <c r="AS54" s="181"/>
      <c r="AT54" s="181"/>
      <c r="AU54" s="181"/>
      <c r="AV54" s="95">
        <f t="shared" si="112"/>
        <v>0.02</v>
      </c>
      <c r="AW54" s="95">
        <f t="shared" si="113"/>
        <v>5.1500000000000004E-2</v>
      </c>
      <c r="AX54" s="95">
        <f t="shared" si="114"/>
        <v>5.5E-2</v>
      </c>
      <c r="AY54" s="95">
        <f t="shared" si="115"/>
        <v>4.3499999999999997E-2</v>
      </c>
      <c r="AZ54" s="95">
        <f t="shared" si="116"/>
        <v>3.5000000000000003E-2</v>
      </c>
      <c r="BA54" s="95">
        <f t="shared" si="117"/>
        <v>3.5499999999999997E-2</v>
      </c>
      <c r="BB54" s="95">
        <f t="shared" si="118"/>
        <v>3.15E-2</v>
      </c>
      <c r="BC54" s="95">
        <f t="shared" si="119"/>
        <v>4.7E-2</v>
      </c>
      <c r="BD54" s="95">
        <f t="shared" si="120"/>
        <v>3.965299999999998E-2</v>
      </c>
      <c r="BE54" s="95">
        <f t="shared" si="121"/>
        <v>-1.9999999999999997E-2</v>
      </c>
      <c r="BF54" s="95">
        <f t="shared" si="122"/>
        <v>1.4500000000000001E-2</v>
      </c>
      <c r="BG54" s="95">
        <f t="shared" si="123"/>
        <v>-8.9999999999999993E-3</v>
      </c>
      <c r="BH54" s="95">
        <f t="shared" si="124"/>
        <v>-5.6000000000000001E-2</v>
      </c>
      <c r="BI54" s="95">
        <f t="shared" si="125"/>
        <v>-1E-3</v>
      </c>
      <c r="BJ54" s="95">
        <f t="shared" si="126"/>
        <v>1.4E-2</v>
      </c>
      <c r="BK54" s="95">
        <f t="shared" si="127"/>
        <v>-5.0000000000000001E-4</v>
      </c>
      <c r="BL54" s="95">
        <f t="shared" si="128"/>
        <v>5.0000000000000044E-4</v>
      </c>
      <c r="BM54" s="95">
        <f t="shared" si="129"/>
        <v>1.15E-2</v>
      </c>
      <c r="BN54" s="158"/>
      <c r="BO54" s="158"/>
      <c r="BP54" s="158"/>
      <c r="BQ54" s="158"/>
      <c r="BR54" s="158"/>
      <c r="BS54" s="158"/>
      <c r="BT54" s="158"/>
      <c r="BU54" s="158"/>
      <c r="BV54" s="158"/>
      <c r="BW54" s="158"/>
      <c r="BX54" s="158"/>
      <c r="BY54" s="158"/>
      <c r="BZ54" s="299">
        <f>AVERAGE(BL54:BM54)</f>
        <v>6.0000000000000001E-3</v>
      </c>
      <c r="CA54" s="277"/>
    </row>
    <row r="55" spans="2:79" hidden="1" outlineLevel="1">
      <c r="B55" s="73"/>
      <c r="C55" s="92"/>
      <c r="D55" s="92"/>
      <c r="E55" s="92"/>
      <c r="F55" s="92"/>
      <c r="G55" s="92"/>
      <c r="H55" s="92"/>
      <c r="I55" s="92"/>
      <c r="J55" s="92"/>
      <c r="K55" s="92"/>
      <c r="L55" s="92"/>
      <c r="M55" s="92"/>
      <c r="N55" s="92"/>
      <c r="O55" s="92"/>
      <c r="P55" s="92"/>
      <c r="Q55" s="92"/>
      <c r="R55" s="92"/>
      <c r="S55" s="32"/>
      <c r="T55" s="32"/>
      <c r="U55" s="32"/>
      <c r="V55" s="32"/>
      <c r="W55" s="32"/>
      <c r="X55" s="92"/>
      <c r="Y55" s="32"/>
      <c r="Z55" s="32"/>
      <c r="AA55" s="32"/>
      <c r="AB55" s="32"/>
      <c r="AC55" s="32"/>
      <c r="AD55" s="32"/>
      <c r="AE55" s="32"/>
      <c r="AF55" s="32"/>
      <c r="AG55" s="32"/>
      <c r="AH55" s="32"/>
      <c r="AI55" s="199"/>
      <c r="AJ55" s="199"/>
      <c r="AK55" s="199"/>
      <c r="AL55" s="199"/>
      <c r="AM55" s="199"/>
      <c r="AN55" s="200"/>
      <c r="AO55" s="200"/>
      <c r="AP55" s="200"/>
      <c r="AQ55" s="200"/>
      <c r="AR55" s="200"/>
      <c r="AS55" s="200"/>
      <c r="AT55" s="200"/>
      <c r="AU55" s="200"/>
      <c r="AV55" s="199"/>
      <c r="AW55" s="199"/>
      <c r="AX55" s="199"/>
      <c r="AY55" s="199"/>
      <c r="AZ55" s="199"/>
      <c r="BA55" s="199"/>
      <c r="BB55" s="199"/>
      <c r="BC55" s="199"/>
      <c r="BD55" s="199"/>
      <c r="BE55" s="199"/>
      <c r="BF55" s="199"/>
      <c r="BG55" s="199"/>
      <c r="BH55" s="199"/>
      <c r="BI55" s="199"/>
      <c r="BJ55" s="199"/>
      <c r="BK55" s="199"/>
      <c r="BL55" s="199"/>
      <c r="BM55" s="199"/>
      <c r="BN55" s="200"/>
      <c r="BO55" s="200"/>
      <c r="BP55" s="200"/>
      <c r="BQ55" s="200"/>
      <c r="BR55" s="200"/>
      <c r="BS55" s="200"/>
      <c r="BT55" s="200"/>
      <c r="BU55" s="200"/>
      <c r="BV55" s="200"/>
      <c r="BW55" s="200"/>
      <c r="BX55" s="200"/>
      <c r="BY55" s="200"/>
      <c r="BZ55" s="199"/>
      <c r="CA55" s="200"/>
    </row>
    <row r="56" spans="2:79" hidden="1" outlineLevel="1">
      <c r="B56" s="72" t="s">
        <v>321</v>
      </c>
      <c r="C56" s="92"/>
      <c r="D56" s="92"/>
      <c r="E56" s="92"/>
      <c r="F56" s="92"/>
      <c r="G56" s="92"/>
      <c r="H56" s="92"/>
      <c r="I56" s="92"/>
      <c r="J56" s="92"/>
      <c r="K56" s="92"/>
      <c r="L56" s="92"/>
      <c r="M56" s="92"/>
      <c r="N56" s="92"/>
      <c r="O56" s="92"/>
      <c r="P56" s="92"/>
      <c r="Q56" s="92"/>
      <c r="R56" s="92"/>
      <c r="S56" s="32"/>
      <c r="T56" s="32"/>
      <c r="U56" s="32"/>
      <c r="V56" s="32"/>
      <c r="W56" s="32"/>
      <c r="X56" s="92"/>
      <c r="Y56" s="32"/>
      <c r="Z56" s="32"/>
      <c r="AA56" s="32"/>
      <c r="AB56" s="32"/>
      <c r="AC56" s="32"/>
      <c r="AD56" s="32"/>
      <c r="AE56" s="32"/>
      <c r="AF56" s="32"/>
      <c r="AG56" s="32"/>
      <c r="AH56" s="32"/>
      <c r="AI56" s="199"/>
      <c r="AJ56" s="199"/>
      <c r="AK56" s="199"/>
      <c r="AL56" s="199"/>
      <c r="AM56" s="199"/>
      <c r="AN56" s="200"/>
      <c r="AO56" s="200"/>
      <c r="AP56" s="200"/>
      <c r="AQ56" s="200"/>
      <c r="AR56" s="200"/>
      <c r="AS56" s="200"/>
      <c r="AT56" s="200"/>
      <c r="AU56" s="200"/>
      <c r="AV56" s="199"/>
      <c r="AW56" s="199"/>
      <c r="AX56" s="199"/>
      <c r="AY56" s="199"/>
      <c r="AZ56" s="199"/>
      <c r="BA56" s="199"/>
      <c r="BB56" s="199"/>
      <c r="BC56" s="199"/>
      <c r="BD56" s="199"/>
      <c r="BE56" s="199"/>
      <c r="BF56" s="199"/>
      <c r="BG56" s="199"/>
      <c r="BH56" s="199"/>
      <c r="BI56" s="199"/>
      <c r="BJ56" s="199"/>
      <c r="BK56" s="199"/>
      <c r="BL56" s="199"/>
      <c r="BM56" s="199"/>
      <c r="BN56" s="200"/>
      <c r="BO56" s="200"/>
      <c r="BP56" s="200"/>
      <c r="BQ56" s="200"/>
      <c r="BR56" s="200"/>
      <c r="BS56" s="200"/>
      <c r="BT56" s="200"/>
      <c r="BU56" s="200"/>
      <c r="BV56" s="200"/>
      <c r="BW56" s="200"/>
      <c r="BX56" s="200"/>
      <c r="BY56" s="200"/>
      <c r="BZ56" s="199"/>
      <c r="CA56" s="200"/>
    </row>
    <row r="57" spans="2:79" hidden="1" outlineLevel="1">
      <c r="B57" s="73" t="s">
        <v>320</v>
      </c>
      <c r="C57" s="108">
        <v>-2.1000000000000001E-2</v>
      </c>
      <c r="D57" s="108">
        <v>-2.5999999999999999E-2</v>
      </c>
      <c r="E57" s="108">
        <v>-2.5000000000000001E-2</v>
      </c>
      <c r="F57" s="108">
        <v>-1.2E-2</v>
      </c>
      <c r="G57" s="108">
        <v>-2.4E-2</v>
      </c>
      <c r="H57" s="108">
        <v>-1.6E-2</v>
      </c>
      <c r="I57" s="108">
        <v>-1.2999999999999999E-2</v>
      </c>
      <c r="J57" s="108">
        <v>-2.3E-2</v>
      </c>
      <c r="K57" s="108">
        <v>-0.01</v>
      </c>
      <c r="L57" s="108">
        <v>-0.01</v>
      </c>
      <c r="M57" s="108">
        <v>0</v>
      </c>
      <c r="N57" s="108">
        <v>5.0000000000000001E-3</v>
      </c>
      <c r="O57" s="108">
        <v>3.0000000000000001E-3</v>
      </c>
      <c r="P57" s="108">
        <v>7.0000000000000001E-3</v>
      </c>
      <c r="Q57" s="108">
        <v>2.1000000000000001E-2</v>
      </c>
      <c r="R57" s="108">
        <v>2.4E-2</v>
      </c>
      <c r="S57" s="100">
        <v>1.2E-2</v>
      </c>
      <c r="T57" s="100">
        <v>3.0000000000000001E-3</v>
      </c>
      <c r="U57" s="100">
        <v>-1.7999999999999999E-2</v>
      </c>
      <c r="V57" s="100">
        <v>-1.2E-2</v>
      </c>
      <c r="W57" s="100">
        <v>-8.9999999999999993E-3</v>
      </c>
      <c r="X57" s="106">
        <v>-6.0000000000000001E-3</v>
      </c>
      <c r="Y57" s="100">
        <v>2.7E-2</v>
      </c>
      <c r="Z57" s="106">
        <v>3.5999999999999997E-2</v>
      </c>
      <c r="AA57" s="100">
        <v>7.2999999999999995E-2</v>
      </c>
      <c r="AB57" s="106">
        <v>7.6999999999999999E-2</v>
      </c>
      <c r="AC57" s="100">
        <v>5.8000000000000003E-2</v>
      </c>
      <c r="AD57" s="106">
        <v>5.1999999999999998E-2</v>
      </c>
      <c r="AE57" s="100">
        <v>0.02</v>
      </c>
      <c r="AF57" s="100">
        <v>1.2999999999999999E-2</v>
      </c>
      <c r="AG57" s="100">
        <v>-2E-3</v>
      </c>
      <c r="AH57" s="35">
        <v>-6.0000000000000001E-3</v>
      </c>
      <c r="AI57" s="100">
        <v>-3.0000000000000001E-3</v>
      </c>
      <c r="AJ57" s="100">
        <v>-4.0000000000000001E-3</v>
      </c>
      <c r="AK57" s="100">
        <v>0</v>
      </c>
      <c r="AL57" s="35">
        <v>1E-3</v>
      </c>
      <c r="AM57" s="35">
        <v>1E-3</v>
      </c>
      <c r="AN57" s="181"/>
      <c r="AO57" s="181"/>
      <c r="AP57" s="181"/>
      <c r="AQ57" s="181"/>
      <c r="AR57" s="181"/>
      <c r="AS57" s="181"/>
      <c r="AT57" s="181"/>
      <c r="AU57" s="181"/>
      <c r="AV57" s="95">
        <f>AVERAGE(C57:D57)</f>
        <v>-2.35E-2</v>
      </c>
      <c r="AW57" s="95">
        <f>AVERAGE(E57:F57)</f>
        <v>-1.8500000000000003E-2</v>
      </c>
      <c r="AX57" s="95">
        <f>AVERAGE(G57:H57)</f>
        <v>-0.02</v>
      </c>
      <c r="AY57" s="95">
        <f>AVERAGE(I57:J57)</f>
        <v>-1.7999999999999999E-2</v>
      </c>
      <c r="AZ57" s="95">
        <f>AVERAGE(K57:L57)</f>
        <v>-0.01</v>
      </c>
      <c r="BA57" s="95">
        <f>AVERAGE(M57:N57)</f>
        <v>2.5000000000000001E-3</v>
      </c>
      <c r="BB57" s="95">
        <f>AVERAGE(O57:P57)</f>
        <v>5.0000000000000001E-3</v>
      </c>
      <c r="BC57" s="95">
        <f>AVERAGE(Q57:R57)</f>
        <v>2.2499999999999999E-2</v>
      </c>
      <c r="BD57" s="95">
        <f>AVERAGE(S57:T57)</f>
        <v>7.4999999999999997E-3</v>
      </c>
      <c r="BE57" s="95">
        <f>AVERAGE(U57:V57)</f>
        <v>-1.4999999999999999E-2</v>
      </c>
      <c r="BF57" s="95">
        <f>AVERAGE(W57:X57)</f>
        <v>-7.4999999999999997E-3</v>
      </c>
      <c r="BG57" s="95">
        <f>AVERAGE(Y57:Z57)</f>
        <v>3.15E-2</v>
      </c>
      <c r="BH57" s="95">
        <f>AVERAGE(AA57:AB57)</f>
        <v>7.4999999999999997E-2</v>
      </c>
      <c r="BI57" s="95">
        <f>AVERAGE(AC57:AD57)</f>
        <v>5.5E-2</v>
      </c>
      <c r="BJ57" s="95">
        <f>AVERAGE(AE57:AF57)</f>
        <v>1.6500000000000001E-2</v>
      </c>
      <c r="BK57" s="95">
        <f>AVERAGE(AG57:AH57)</f>
        <v>-4.0000000000000001E-3</v>
      </c>
      <c r="BL57" s="95">
        <f>AVERAGE(AI57:AJ57)</f>
        <v>-3.5000000000000001E-3</v>
      </c>
      <c r="BM57" s="95">
        <f>AVERAGE(AK57:AL57)</f>
        <v>5.0000000000000001E-4</v>
      </c>
      <c r="BN57" s="158"/>
      <c r="BO57" s="158"/>
      <c r="BP57" s="158"/>
      <c r="BQ57" s="158"/>
      <c r="BR57" s="158"/>
      <c r="BS57" s="158"/>
      <c r="BT57" s="158"/>
      <c r="BU57" s="158"/>
      <c r="BV57" s="158"/>
      <c r="BW57" s="158"/>
      <c r="BX57" s="158"/>
      <c r="BY57" s="158"/>
      <c r="BZ57" s="299">
        <f>AVERAGE(BL57:BM57)</f>
        <v>-1.5E-3</v>
      </c>
      <c r="CA57" s="277"/>
    </row>
    <row r="58" spans="2:79" hidden="1" outlineLevel="1">
      <c r="B58" s="73" t="s">
        <v>319</v>
      </c>
      <c r="C58" s="108">
        <v>-3.3000000000000002E-2</v>
      </c>
      <c r="D58" s="108">
        <v>-0.04</v>
      </c>
      <c r="E58" s="108">
        <v>-0.04</v>
      </c>
      <c r="F58" s="108">
        <v>-2.5999999999999999E-2</v>
      </c>
      <c r="G58" s="108">
        <v>-0.04</v>
      </c>
      <c r="H58" s="108">
        <v>-3.2000000000000001E-2</v>
      </c>
      <c r="I58" s="108">
        <v>-2.8000000000000001E-2</v>
      </c>
      <c r="J58" s="108">
        <v>-0.04</v>
      </c>
      <c r="K58" s="108">
        <v>-2.5000000000000001E-2</v>
      </c>
      <c r="L58" s="108">
        <v>-2.5999999999999999E-2</v>
      </c>
      <c r="M58" s="108">
        <v>-1.4E-2</v>
      </c>
      <c r="N58" s="108">
        <v>-8.9999999999999993E-3</v>
      </c>
      <c r="O58" s="108">
        <v>-1.2E-2</v>
      </c>
      <c r="P58" s="108">
        <v>-6.0000000000000001E-3</v>
      </c>
      <c r="Q58" s="108">
        <v>6.0000000000000001E-3</v>
      </c>
      <c r="R58" s="108">
        <v>0.01</v>
      </c>
      <c r="S58" s="100">
        <v>-2E-3</v>
      </c>
      <c r="T58" s="100">
        <v>-1.4E-2</v>
      </c>
      <c r="U58" s="100">
        <v>-3.4000000000000002E-2</v>
      </c>
      <c r="V58" s="100">
        <v>-2.5999999999999999E-2</v>
      </c>
      <c r="W58" s="100">
        <v>-1.7999999999999999E-2</v>
      </c>
      <c r="X58" s="106">
        <v>-7.0000000000000001E-3</v>
      </c>
      <c r="Y58" s="100">
        <v>2.7E-2</v>
      </c>
      <c r="Z58" s="106">
        <v>3.5999999999999997E-2</v>
      </c>
      <c r="AA58" s="120"/>
      <c r="AB58" s="95"/>
      <c r="AC58" s="120"/>
      <c r="AD58" s="95"/>
      <c r="AE58" s="100">
        <v>1.7999999999999999E-2</v>
      </c>
      <c r="AF58" s="100">
        <v>8.9999999999999993E-3</v>
      </c>
      <c r="AG58" s="100">
        <v>-7.0000000000000001E-3</v>
      </c>
      <c r="AH58" s="35">
        <v>-1.2E-2</v>
      </c>
      <c r="AI58" s="100">
        <v>-8.0000000000000002E-3</v>
      </c>
      <c r="AJ58" s="100">
        <v>-8.0000000000000002E-3</v>
      </c>
      <c r="AK58" s="100">
        <v>-5.0000000000000001E-3</v>
      </c>
      <c r="AL58" s="35">
        <v>-2E-3</v>
      </c>
      <c r="AM58" s="35">
        <v>-3.0000000000000001E-3</v>
      </c>
      <c r="AN58" s="181"/>
      <c r="AO58" s="181"/>
      <c r="AP58" s="181"/>
      <c r="AQ58" s="181"/>
      <c r="AR58" s="181"/>
      <c r="AS58" s="181"/>
      <c r="AT58" s="181"/>
      <c r="AU58" s="181"/>
      <c r="AV58" s="95">
        <f>AVERAGE(C58:D58)</f>
        <v>-3.6500000000000005E-2</v>
      </c>
      <c r="AW58" s="95">
        <f>AVERAGE(E58:F58)</f>
        <v>-3.3000000000000002E-2</v>
      </c>
      <c r="AX58" s="95">
        <f>AVERAGE(G58:H58)</f>
        <v>-3.6000000000000004E-2</v>
      </c>
      <c r="AY58" s="95">
        <f>AVERAGE(I58:J58)</f>
        <v>-3.4000000000000002E-2</v>
      </c>
      <c r="AZ58" s="95">
        <f>AVERAGE(K58:L58)</f>
        <v>-2.5500000000000002E-2</v>
      </c>
      <c r="BA58" s="95">
        <f>AVERAGE(M58:N58)</f>
        <v>-1.15E-2</v>
      </c>
      <c r="BB58" s="95">
        <f>AVERAGE(O58:P58)</f>
        <v>-9.0000000000000011E-3</v>
      </c>
      <c r="BC58" s="95">
        <f>AVERAGE(Q58:R58)</f>
        <v>8.0000000000000002E-3</v>
      </c>
      <c r="BD58" s="95">
        <f>AVERAGE(S58:T58)</f>
        <v>-8.0000000000000002E-3</v>
      </c>
      <c r="BE58" s="95">
        <f>AVERAGE(U58:V58)</f>
        <v>-0.03</v>
      </c>
      <c r="BF58" s="95">
        <f>AVERAGE(W58:X58)</f>
        <v>-1.2499999999999999E-2</v>
      </c>
      <c r="BG58" s="95">
        <f>AVERAGE(Y58:Z58)</f>
        <v>3.15E-2</v>
      </c>
      <c r="BH58" s="95" t="e">
        <f>AVERAGE(AA58:AB58)</f>
        <v>#DIV/0!</v>
      </c>
      <c r="BI58" s="95" t="e">
        <f>AVERAGE(AC58:AD58)</f>
        <v>#DIV/0!</v>
      </c>
      <c r="BJ58" s="95">
        <f>AVERAGE(AE58:AF58)</f>
        <v>1.3499999999999998E-2</v>
      </c>
      <c r="BK58" s="95">
        <f>AVERAGE(AG58:AH58)</f>
        <v>-9.4999999999999998E-3</v>
      </c>
      <c r="BL58" s="95">
        <f>AVERAGE(AI58:AJ58)</f>
        <v>-8.0000000000000002E-3</v>
      </c>
      <c r="BM58" s="95">
        <f>AVERAGE(AK58:AL58)</f>
        <v>-3.5000000000000001E-3</v>
      </c>
      <c r="BN58" s="158"/>
      <c r="BO58" s="158"/>
      <c r="BP58" s="158"/>
      <c r="BQ58" s="158"/>
      <c r="BR58" s="158"/>
      <c r="BS58" s="158"/>
      <c r="BT58" s="158"/>
      <c r="BU58" s="158"/>
      <c r="BV58" s="158"/>
      <c r="BW58" s="158"/>
      <c r="BX58" s="158"/>
      <c r="BY58" s="158"/>
      <c r="BZ58" s="299">
        <f>AVERAGE(BL58:BM58)</f>
        <v>-5.7499999999999999E-3</v>
      </c>
      <c r="CA58" s="277"/>
    </row>
    <row r="59" spans="2:79" hidden="1" outlineLevel="1">
      <c r="B59" s="73"/>
      <c r="C59" s="92"/>
      <c r="D59" s="92"/>
      <c r="E59" s="92"/>
      <c r="F59" s="92"/>
      <c r="G59" s="92"/>
      <c r="H59" s="92"/>
      <c r="I59" s="92"/>
      <c r="J59" s="92"/>
      <c r="K59" s="92"/>
      <c r="L59" s="92"/>
      <c r="M59" s="92"/>
      <c r="N59" s="92"/>
      <c r="O59" s="32"/>
      <c r="P59" s="32"/>
      <c r="Q59" s="32"/>
      <c r="R59" s="32"/>
      <c r="S59" s="32"/>
      <c r="T59" s="32"/>
      <c r="U59" s="32"/>
      <c r="V59" s="32"/>
      <c r="W59" s="32"/>
      <c r="X59" s="92"/>
      <c r="Y59" s="32"/>
      <c r="Z59" s="32"/>
      <c r="AA59" s="32"/>
      <c r="AB59" s="32"/>
      <c r="AC59" s="32"/>
      <c r="AD59" s="32"/>
      <c r="AE59" s="32"/>
      <c r="AF59" s="32"/>
      <c r="AG59" s="32"/>
      <c r="AH59" s="32"/>
      <c r="AI59" s="199"/>
      <c r="AJ59" s="199"/>
      <c r="AK59" s="199"/>
      <c r="AL59" s="199"/>
      <c r="AM59" s="199"/>
      <c r="AN59" s="200"/>
      <c r="AO59" s="200"/>
      <c r="AP59" s="200"/>
      <c r="AQ59" s="200"/>
      <c r="AR59" s="200"/>
      <c r="AS59" s="200"/>
      <c r="AT59" s="200"/>
      <c r="AU59" s="200"/>
      <c r="AV59" s="95"/>
      <c r="AW59" s="95"/>
      <c r="AX59" s="95"/>
      <c r="AY59" s="95"/>
      <c r="AZ59" s="95"/>
      <c r="BA59" s="95"/>
      <c r="BB59" s="95"/>
      <c r="BC59" s="95"/>
      <c r="BD59" s="95"/>
      <c r="BE59" s="95"/>
      <c r="BF59" s="95"/>
      <c r="BG59" s="95"/>
      <c r="BH59" s="95"/>
      <c r="BI59" s="95"/>
      <c r="BJ59" s="95"/>
      <c r="BK59" s="95"/>
      <c r="BL59" s="95"/>
      <c r="BM59" s="95"/>
      <c r="BN59" s="158"/>
      <c r="BO59" s="158"/>
      <c r="BP59" s="158"/>
      <c r="BQ59" s="158"/>
      <c r="BR59" s="158"/>
      <c r="BS59" s="158"/>
      <c r="BT59" s="158"/>
      <c r="BU59" s="158"/>
      <c r="BV59" s="158"/>
      <c r="BW59" s="158"/>
      <c r="BX59" s="158"/>
      <c r="BY59" s="158"/>
      <c r="BZ59" s="299"/>
      <c r="CA59" s="277"/>
    </row>
    <row r="60" spans="2:79" hidden="1" outlineLevel="1">
      <c r="B60" s="72" t="s">
        <v>318</v>
      </c>
      <c r="C60" s="92"/>
      <c r="D60" s="92"/>
      <c r="E60" s="92"/>
      <c r="F60" s="92"/>
      <c r="G60" s="92"/>
      <c r="H60" s="92"/>
      <c r="I60" s="92"/>
      <c r="J60" s="92"/>
      <c r="K60" s="32"/>
      <c r="L60" s="32"/>
      <c r="M60" s="32"/>
      <c r="N60" s="32"/>
      <c r="O60" s="32"/>
      <c r="P60" s="32"/>
      <c r="Q60" s="32"/>
      <c r="R60" s="32"/>
      <c r="S60" s="32"/>
      <c r="T60" s="32"/>
      <c r="U60" s="32"/>
      <c r="V60" s="32"/>
      <c r="W60" s="32"/>
      <c r="X60" s="92"/>
      <c r="Y60" s="32"/>
      <c r="Z60" s="32"/>
      <c r="AA60" s="32"/>
      <c r="AB60" s="32"/>
      <c r="AC60" s="32"/>
      <c r="AD60" s="32"/>
      <c r="AE60" s="32"/>
      <c r="AF60" s="32"/>
      <c r="AG60" s="32"/>
      <c r="AH60" s="32"/>
      <c r="AI60" s="199"/>
      <c r="AJ60" s="199"/>
      <c r="AK60" s="199"/>
      <c r="AL60" s="199"/>
      <c r="AM60" s="199"/>
      <c r="AN60" s="200"/>
      <c r="AO60" s="200"/>
      <c r="AP60" s="200"/>
      <c r="AQ60" s="200"/>
      <c r="AR60" s="200"/>
      <c r="AS60" s="200"/>
      <c r="AT60" s="200"/>
      <c r="AU60" s="200"/>
      <c r="AV60" s="199"/>
      <c r="AW60" s="199"/>
      <c r="AX60" s="199"/>
      <c r="AY60" s="199"/>
      <c r="AZ60" s="199"/>
      <c r="BA60" s="199"/>
      <c r="BB60" s="199"/>
      <c r="BC60" s="199"/>
      <c r="BD60" s="199"/>
      <c r="BE60" s="199"/>
      <c r="BF60" s="199"/>
      <c r="BG60" s="199"/>
      <c r="BH60" s="199"/>
      <c r="BI60" s="199"/>
      <c r="BJ60" s="199"/>
      <c r="BK60" s="199"/>
      <c r="BL60" s="199"/>
      <c r="BM60" s="199"/>
      <c r="BN60" s="200"/>
      <c r="BO60" s="200"/>
      <c r="BP60" s="200"/>
      <c r="BQ60" s="200"/>
      <c r="BR60" s="200"/>
      <c r="BS60" s="200"/>
      <c r="BT60" s="200"/>
      <c r="BU60" s="200"/>
      <c r="BV60" s="200"/>
      <c r="BW60" s="200"/>
      <c r="BX60" s="200"/>
      <c r="BY60" s="200"/>
      <c r="BZ60" s="199"/>
      <c r="CA60" s="200"/>
    </row>
    <row r="61" spans="2:79" hidden="1" outlineLevel="1">
      <c r="B61" s="73" t="s">
        <v>317</v>
      </c>
      <c r="C61" s="92"/>
      <c r="D61" s="92"/>
      <c r="E61" s="92"/>
      <c r="F61" s="92"/>
      <c r="G61" s="92"/>
      <c r="H61" s="92"/>
      <c r="I61" s="92"/>
      <c r="J61" s="92"/>
      <c r="K61" s="32"/>
      <c r="L61" s="32"/>
      <c r="M61" s="32"/>
      <c r="N61" s="32"/>
      <c r="O61" s="118">
        <v>0.49</v>
      </c>
      <c r="P61" s="118">
        <v>0.51</v>
      </c>
      <c r="Q61" s="118">
        <v>0.44</v>
      </c>
      <c r="R61" s="118">
        <v>0.53</v>
      </c>
      <c r="S61" s="100">
        <v>0.5</v>
      </c>
      <c r="T61" s="100">
        <v>0.52</v>
      </c>
      <c r="U61" s="100">
        <v>0.5</v>
      </c>
      <c r="V61" s="100">
        <v>0.53</v>
      </c>
      <c r="W61" s="100">
        <v>0.51</v>
      </c>
      <c r="X61" s="105">
        <v>0.5</v>
      </c>
      <c r="Y61" s="100">
        <v>0.46</v>
      </c>
      <c r="Z61" s="105">
        <v>0.49</v>
      </c>
      <c r="AA61" s="100">
        <v>0.5</v>
      </c>
      <c r="AB61" s="105">
        <v>0.52</v>
      </c>
      <c r="AC61" s="100">
        <v>0.46</v>
      </c>
      <c r="AD61" s="105">
        <v>0.49</v>
      </c>
      <c r="AE61" s="100">
        <v>0.48</v>
      </c>
      <c r="AF61" s="105">
        <v>0.5</v>
      </c>
      <c r="AG61" s="100">
        <v>0.42</v>
      </c>
      <c r="AH61" s="100">
        <v>0.47</v>
      </c>
      <c r="AI61" s="100">
        <v>0.46</v>
      </c>
      <c r="AJ61" s="105">
        <v>0.42</v>
      </c>
      <c r="AK61" s="100">
        <v>0.43</v>
      </c>
      <c r="AL61" s="100">
        <v>0.47</v>
      </c>
      <c r="AM61" s="100">
        <v>0.5</v>
      </c>
      <c r="AN61" s="183"/>
      <c r="AO61" s="183"/>
      <c r="AP61" s="183"/>
      <c r="AQ61" s="183"/>
      <c r="AR61" s="183"/>
      <c r="AS61" s="183"/>
      <c r="AT61" s="183"/>
      <c r="AU61" s="183"/>
      <c r="AV61" s="95"/>
      <c r="AW61" s="95"/>
      <c r="AX61" s="95"/>
      <c r="AY61" s="95"/>
      <c r="AZ61" s="95"/>
      <c r="BA61" s="95"/>
      <c r="BB61" s="95">
        <f>AVERAGE(O61:P61)</f>
        <v>0.5</v>
      </c>
      <c r="BC61" s="95">
        <f>AVERAGE(Q61:R61)</f>
        <v>0.48499999999999999</v>
      </c>
      <c r="BD61" s="95">
        <f>AVERAGE(S61:T61)</f>
        <v>0.51</v>
      </c>
      <c r="BE61" s="95">
        <f>AVERAGE(U61:V61)</f>
        <v>0.51500000000000001</v>
      </c>
      <c r="BF61" s="95">
        <f>AVERAGE(W61:X61)</f>
        <v>0.505</v>
      </c>
      <c r="BG61" s="95">
        <f>AVERAGE(Y61:Z61)</f>
        <v>0.47499999999999998</v>
      </c>
      <c r="BH61" s="95">
        <f>AVERAGE(AA61:AB61)</f>
        <v>0.51</v>
      </c>
      <c r="BI61" s="95">
        <f>AVERAGE(AC61:AD61)</f>
        <v>0.47499999999999998</v>
      </c>
      <c r="BJ61" s="95">
        <f>AVERAGE(AE61:AF61)</f>
        <v>0.49</v>
      </c>
      <c r="BK61" s="95">
        <f>AVERAGE(AG61:AH61)</f>
        <v>0.44499999999999995</v>
      </c>
      <c r="BL61" s="95">
        <f>AVERAGE(AI61:AJ61)</f>
        <v>0.44</v>
      </c>
      <c r="BM61" s="95">
        <f>AVERAGE(AK61:AL61)</f>
        <v>0.44999999999999996</v>
      </c>
      <c r="BN61" s="158"/>
      <c r="BO61" s="158"/>
      <c r="BP61" s="158"/>
      <c r="BQ61" s="158"/>
      <c r="BR61" s="158"/>
      <c r="BS61" s="158"/>
      <c r="BT61" s="158"/>
      <c r="BU61" s="158"/>
      <c r="BV61" s="158"/>
      <c r="BW61" s="158"/>
      <c r="BX61" s="158"/>
      <c r="BY61" s="158"/>
      <c r="BZ61" s="299">
        <f>AVERAGE(BL61:BM61)</f>
        <v>0.44499999999999995</v>
      </c>
      <c r="CA61" s="277"/>
    </row>
    <row r="62" spans="2:79" hidden="1" outlineLevel="1">
      <c r="B62" s="73" t="s">
        <v>316</v>
      </c>
      <c r="C62" s="103">
        <v>0.79</v>
      </c>
      <c r="D62" s="103">
        <v>0.8</v>
      </c>
      <c r="E62" s="103">
        <v>0.8</v>
      </c>
      <c r="F62" s="103">
        <v>0.81</v>
      </c>
      <c r="G62" s="108">
        <v>0.82</v>
      </c>
      <c r="H62" s="108">
        <v>0.84</v>
      </c>
      <c r="I62" s="108">
        <v>0.84</v>
      </c>
      <c r="J62" s="108">
        <v>0.84</v>
      </c>
      <c r="K62" s="117">
        <v>0.82</v>
      </c>
      <c r="L62" s="117">
        <v>0.83</v>
      </c>
      <c r="M62" s="117">
        <v>0.8</v>
      </c>
      <c r="N62" s="117">
        <v>0.82</v>
      </c>
      <c r="O62" s="117">
        <v>0.8</v>
      </c>
      <c r="P62" s="117">
        <v>0.8</v>
      </c>
      <c r="Q62" s="117"/>
      <c r="R62" s="117">
        <v>0.82</v>
      </c>
      <c r="S62" s="116">
        <v>0.8</v>
      </c>
      <c r="T62" s="100">
        <v>0.81</v>
      </c>
      <c r="U62" s="100">
        <v>0.8</v>
      </c>
      <c r="V62" s="100">
        <v>0.81</v>
      </c>
      <c r="W62" s="100">
        <v>0.79</v>
      </c>
      <c r="X62" s="105">
        <v>0.78</v>
      </c>
      <c r="Y62" s="100">
        <v>0.75</v>
      </c>
      <c r="Z62" s="105">
        <v>0.75</v>
      </c>
      <c r="AA62" s="100">
        <v>0.78</v>
      </c>
      <c r="AB62" s="105">
        <v>0.78</v>
      </c>
      <c r="AC62" s="100">
        <v>0.76</v>
      </c>
      <c r="AD62" s="105">
        <v>0.78</v>
      </c>
      <c r="AE62" s="100">
        <v>0.78</v>
      </c>
      <c r="AF62" s="105">
        <v>0.78</v>
      </c>
      <c r="AG62" s="100">
        <v>0.75</v>
      </c>
      <c r="AH62" s="100">
        <v>0.78</v>
      </c>
      <c r="AI62" s="100">
        <v>0.77</v>
      </c>
      <c r="AJ62" s="105">
        <v>0.75</v>
      </c>
      <c r="AK62" s="100">
        <v>0.75</v>
      </c>
      <c r="AL62" s="100">
        <v>0.78</v>
      </c>
      <c r="AM62" s="100">
        <v>0.8</v>
      </c>
      <c r="AN62" s="183"/>
      <c r="AO62" s="183"/>
      <c r="AP62" s="183"/>
      <c r="AQ62" s="183"/>
      <c r="AR62" s="183"/>
      <c r="AS62" s="183"/>
      <c r="AT62" s="183"/>
      <c r="AU62" s="183"/>
      <c r="AV62" s="95">
        <f>AVERAGE(C62:D62)</f>
        <v>0.79500000000000004</v>
      </c>
      <c r="AW62" s="95">
        <f>AVERAGE(E62:F62)</f>
        <v>0.80500000000000005</v>
      </c>
      <c r="AX62" s="95">
        <f>AVERAGE(G62:H62)</f>
        <v>0.83</v>
      </c>
      <c r="AY62" s="95">
        <f>AVERAGE(I62:J62)</f>
        <v>0.84</v>
      </c>
      <c r="AZ62" s="95">
        <f>AVERAGE(K62:L62)</f>
        <v>0.82499999999999996</v>
      </c>
      <c r="BA62" s="95">
        <f>AVERAGE(M62:N62)</f>
        <v>0.81</v>
      </c>
      <c r="BB62" s="95">
        <f>AVERAGE(O62:P62)</f>
        <v>0.8</v>
      </c>
      <c r="BC62" s="95">
        <f>AVERAGE(Q62:R62)</f>
        <v>0.82</v>
      </c>
      <c r="BD62" s="95">
        <f>AVERAGE(S62:T62)</f>
        <v>0.80500000000000005</v>
      </c>
      <c r="BE62" s="95">
        <f>AVERAGE(U62:V62)</f>
        <v>0.80500000000000005</v>
      </c>
      <c r="BF62" s="95">
        <f>AVERAGE(W62:X62)</f>
        <v>0.78500000000000003</v>
      </c>
      <c r="BG62" s="95">
        <f>AVERAGE(Y62:Z62)</f>
        <v>0.75</v>
      </c>
      <c r="BH62" s="95">
        <f>AVERAGE(AA62:AB62)</f>
        <v>0.78</v>
      </c>
      <c r="BI62" s="95">
        <f>AVERAGE(AC62:AD62)</f>
        <v>0.77</v>
      </c>
      <c r="BJ62" s="95">
        <f>AVERAGE(AE62:AF62)</f>
        <v>0.78</v>
      </c>
      <c r="BK62" s="95">
        <f>AVERAGE(AG62:AH62)</f>
        <v>0.76500000000000001</v>
      </c>
      <c r="BL62" s="95">
        <f>AVERAGE(AI62:AJ62)</f>
        <v>0.76</v>
      </c>
      <c r="BM62" s="95">
        <f>AVERAGE(AK62:AL62)</f>
        <v>0.76500000000000001</v>
      </c>
      <c r="BN62" s="158"/>
      <c r="BO62" s="158"/>
      <c r="BP62" s="158"/>
      <c r="BQ62" s="158"/>
      <c r="BR62" s="158"/>
      <c r="BS62" s="158"/>
      <c r="BT62" s="158"/>
      <c r="BU62" s="158"/>
      <c r="BV62" s="158"/>
      <c r="BW62" s="158"/>
      <c r="BX62" s="158"/>
      <c r="BY62" s="158"/>
      <c r="BZ62" s="299">
        <f>AVERAGE(BL62:BM62)</f>
        <v>0.76249999999999996</v>
      </c>
      <c r="CA62" s="277"/>
    </row>
    <row r="63" spans="2:79" hidden="1" outlineLevel="1">
      <c r="B63" s="73"/>
      <c r="C63" s="32"/>
      <c r="D63" s="32"/>
      <c r="E63" s="32"/>
      <c r="F63" s="32"/>
      <c r="G63" s="32"/>
      <c r="H63" s="32"/>
      <c r="I63" s="32"/>
      <c r="J63" s="32"/>
      <c r="K63" s="32"/>
      <c r="L63" s="32"/>
      <c r="M63" s="32"/>
      <c r="N63" s="32"/>
      <c r="O63" s="32"/>
      <c r="P63" s="32"/>
      <c r="Q63" s="32"/>
      <c r="R63" s="32"/>
      <c r="S63" s="32"/>
      <c r="T63" s="32"/>
      <c r="U63" s="32"/>
      <c r="V63" s="32"/>
      <c r="W63" s="32"/>
      <c r="X63" s="92"/>
      <c r="Y63" s="32"/>
      <c r="Z63" s="32"/>
      <c r="AA63" s="32"/>
      <c r="AB63" s="32"/>
      <c r="AC63" s="32"/>
      <c r="AD63" s="32"/>
      <c r="AE63" s="32"/>
      <c r="AF63" s="32"/>
      <c r="AG63" s="32"/>
      <c r="AH63" s="32"/>
      <c r="AI63" s="199"/>
      <c r="AJ63" s="199"/>
      <c r="AK63" s="199"/>
      <c r="AL63" s="199"/>
      <c r="AM63" s="199"/>
      <c r="AN63" s="200"/>
      <c r="AO63" s="200"/>
      <c r="AP63" s="200"/>
      <c r="AQ63" s="200"/>
      <c r="AR63" s="200"/>
      <c r="AS63" s="200"/>
      <c r="AT63" s="200"/>
      <c r="AU63" s="200"/>
      <c r="AV63" s="95"/>
      <c r="AW63" s="95"/>
      <c r="AX63" s="95"/>
      <c r="AY63" s="95"/>
      <c r="AZ63" s="95"/>
      <c r="BA63" s="95"/>
      <c r="BB63" s="95"/>
      <c r="BC63" s="95"/>
      <c r="BD63" s="95"/>
      <c r="BE63" s="95"/>
      <c r="BF63" s="95"/>
      <c r="BG63" s="95"/>
      <c r="BH63" s="95"/>
      <c r="BI63" s="95"/>
      <c r="BJ63" s="95"/>
      <c r="BK63" s="95"/>
      <c r="BL63" s="95"/>
      <c r="BM63" s="95"/>
      <c r="BN63" s="158"/>
      <c r="BO63" s="158"/>
      <c r="BP63" s="158"/>
      <c r="BQ63" s="158"/>
      <c r="BR63" s="158"/>
      <c r="BS63" s="158"/>
      <c r="BT63" s="158"/>
      <c r="BU63" s="158"/>
      <c r="BV63" s="158"/>
      <c r="BW63" s="158"/>
      <c r="BX63" s="158"/>
      <c r="BY63" s="158"/>
      <c r="BZ63" s="199"/>
      <c r="CA63" s="200"/>
    </row>
    <row r="64" spans="2:79" hidden="1" outlineLevel="1">
      <c r="B64" s="72" t="s">
        <v>198</v>
      </c>
      <c r="C64" s="32"/>
      <c r="D64" s="32"/>
      <c r="E64" s="32"/>
      <c r="F64" s="32"/>
      <c r="G64" s="32"/>
      <c r="H64" s="32"/>
      <c r="I64" s="32"/>
      <c r="J64" s="32"/>
      <c r="K64" s="32"/>
      <c r="L64" s="32"/>
      <c r="M64" s="32"/>
      <c r="N64" s="32"/>
      <c r="O64" s="32"/>
      <c r="P64" s="32"/>
      <c r="Q64" s="32"/>
      <c r="R64" s="32"/>
      <c r="S64" s="32"/>
      <c r="T64" s="32"/>
      <c r="U64" s="32"/>
      <c r="V64" s="32"/>
      <c r="W64" s="32"/>
      <c r="X64" s="32"/>
      <c r="Y64" s="32"/>
      <c r="Z64" s="32"/>
      <c r="AA64" s="32"/>
      <c r="AB64" s="32"/>
      <c r="AC64" s="32"/>
      <c r="AD64" s="32"/>
      <c r="AE64" s="32"/>
      <c r="AF64" s="32"/>
      <c r="AG64" s="32"/>
      <c r="AH64" s="32"/>
      <c r="AI64" s="199"/>
      <c r="AJ64" s="199"/>
      <c r="AK64" s="199"/>
      <c r="AL64" s="199"/>
      <c r="AM64" s="199"/>
      <c r="AN64" s="200"/>
      <c r="AO64" s="200"/>
      <c r="AP64" s="200"/>
      <c r="AQ64" s="200"/>
      <c r="AR64" s="200"/>
      <c r="AS64" s="200"/>
      <c r="AT64" s="200"/>
      <c r="AU64" s="200"/>
      <c r="AV64" s="199"/>
      <c r="AW64" s="199"/>
      <c r="AX64" s="199"/>
      <c r="AY64" s="199"/>
      <c r="AZ64" s="199"/>
      <c r="BA64" s="199"/>
      <c r="BB64" s="199"/>
      <c r="BC64" s="199"/>
      <c r="BD64" s="199"/>
      <c r="BE64" s="199"/>
      <c r="BF64" s="199"/>
      <c r="BG64" s="199"/>
      <c r="BH64" s="199"/>
      <c r="BI64" s="199"/>
      <c r="BJ64" s="199"/>
      <c r="BK64" s="199"/>
      <c r="BL64" s="199"/>
      <c r="BM64" s="199"/>
      <c r="BN64" s="200"/>
      <c r="BO64" s="200"/>
      <c r="BP64" s="200"/>
      <c r="BQ64" s="200"/>
      <c r="BR64" s="200"/>
      <c r="BS64" s="200"/>
      <c r="BT64" s="200"/>
      <c r="BU64" s="200"/>
      <c r="BV64" s="200"/>
      <c r="BW64" s="200"/>
      <c r="BX64" s="200"/>
      <c r="BY64" s="200"/>
      <c r="BZ64" s="199"/>
      <c r="CA64" s="200"/>
    </row>
    <row r="65" spans="2:79" hidden="1" outlineLevel="1">
      <c r="B65" s="73" t="s">
        <v>199</v>
      </c>
      <c r="C65" s="32"/>
      <c r="D65" s="32"/>
      <c r="E65" s="32"/>
      <c r="F65" s="32"/>
      <c r="G65" s="32"/>
      <c r="H65" s="32"/>
      <c r="I65" s="32"/>
      <c r="J65" s="32"/>
      <c r="K65" s="32"/>
      <c r="L65" s="32"/>
      <c r="M65" s="32"/>
      <c r="N65" s="32"/>
      <c r="O65" s="32"/>
      <c r="P65" s="32"/>
      <c r="Q65" s="32"/>
      <c r="R65" s="32"/>
      <c r="S65" s="60"/>
      <c r="T65" s="104">
        <v>994</v>
      </c>
      <c r="U65" s="104">
        <v>996</v>
      </c>
      <c r="V65" s="104">
        <v>996</v>
      </c>
      <c r="W65" s="22">
        <v>1001</v>
      </c>
      <c r="X65" s="22">
        <v>1001</v>
      </c>
      <c r="Y65" s="22">
        <v>999</v>
      </c>
      <c r="Z65" s="22">
        <v>995</v>
      </c>
      <c r="AA65" s="22">
        <v>995</v>
      </c>
      <c r="AB65" s="22">
        <v>1003</v>
      </c>
      <c r="AC65" s="22">
        <v>1003</v>
      </c>
      <c r="AD65" s="22">
        <v>1002</v>
      </c>
      <c r="AE65" s="22">
        <v>998</v>
      </c>
      <c r="AF65" s="22">
        <v>1001</v>
      </c>
      <c r="AG65" s="22">
        <v>1002</v>
      </c>
      <c r="AH65" s="22">
        <v>1006</v>
      </c>
      <c r="AI65" s="22">
        <v>1006</v>
      </c>
      <c r="AJ65" s="22">
        <v>1007</v>
      </c>
      <c r="AK65" s="22">
        <v>1009</v>
      </c>
      <c r="AL65" s="21"/>
      <c r="AM65" s="21"/>
      <c r="AN65" s="148"/>
      <c r="AO65" s="148"/>
      <c r="AP65" s="148"/>
      <c r="AQ65" s="148"/>
      <c r="AR65" s="148"/>
      <c r="AS65" s="148"/>
      <c r="AT65" s="148"/>
      <c r="AU65" s="148"/>
      <c r="AV65" s="199"/>
      <c r="AW65" s="199"/>
      <c r="AX65" s="199"/>
      <c r="AY65" s="199"/>
      <c r="AZ65" s="199"/>
      <c r="BA65" s="199"/>
      <c r="BB65" s="199"/>
      <c r="BC65" s="199"/>
      <c r="BD65" s="199"/>
      <c r="BE65" s="199"/>
      <c r="BF65" s="199"/>
      <c r="BG65" s="199"/>
      <c r="BH65" s="199"/>
      <c r="BI65" s="199"/>
      <c r="BJ65" s="199"/>
      <c r="BK65" s="199"/>
      <c r="BL65" s="199"/>
      <c r="BM65" s="199"/>
      <c r="BN65" s="200"/>
      <c r="BO65" s="200"/>
      <c r="BP65" s="200"/>
      <c r="BQ65" s="200"/>
      <c r="BR65" s="200"/>
      <c r="BS65" s="200"/>
      <c r="BT65" s="200"/>
      <c r="BU65" s="200"/>
      <c r="BV65" s="200"/>
      <c r="BW65" s="200"/>
      <c r="BX65" s="200"/>
      <c r="BY65" s="200"/>
      <c r="BZ65" s="199"/>
      <c r="CA65" s="200"/>
    </row>
    <row r="66" spans="2:79" hidden="1" outlineLevel="1">
      <c r="B66" s="73" t="s">
        <v>197</v>
      </c>
      <c r="C66" s="32"/>
      <c r="D66" s="32"/>
      <c r="E66" s="32"/>
      <c r="F66" s="32"/>
      <c r="G66" s="32"/>
      <c r="H66" s="32"/>
      <c r="I66" s="32"/>
      <c r="J66" s="32"/>
      <c r="K66" s="32"/>
      <c r="L66" s="32"/>
      <c r="M66" s="32"/>
      <c r="N66" s="32"/>
      <c r="O66" s="32"/>
      <c r="P66" s="32"/>
      <c r="Q66" s="32"/>
      <c r="R66" s="32"/>
      <c r="S66" s="60"/>
      <c r="T66" s="104">
        <v>70</v>
      </c>
      <c r="U66" s="104">
        <v>72</v>
      </c>
      <c r="V66" s="104">
        <v>78</v>
      </c>
      <c r="W66" s="22">
        <v>79</v>
      </c>
      <c r="X66" s="22">
        <v>82</v>
      </c>
      <c r="Y66" s="22">
        <v>82</v>
      </c>
      <c r="Z66" s="22">
        <v>90</v>
      </c>
      <c r="AA66" s="22">
        <v>91</v>
      </c>
      <c r="AB66" s="22">
        <v>90</v>
      </c>
      <c r="AC66" s="22">
        <v>92</v>
      </c>
      <c r="AD66" s="22">
        <v>93</v>
      </c>
      <c r="AE66" s="22">
        <v>102</v>
      </c>
      <c r="AF66" s="22">
        <v>103</v>
      </c>
      <c r="AG66" s="22">
        <v>104</v>
      </c>
      <c r="AH66" s="22">
        <v>105</v>
      </c>
      <c r="AI66" s="22">
        <v>105</v>
      </c>
      <c r="AJ66" s="22">
        <v>106</v>
      </c>
      <c r="AK66" s="22">
        <v>105</v>
      </c>
      <c r="AL66" s="21"/>
      <c r="AM66" s="21"/>
      <c r="AN66" s="148"/>
      <c r="AO66" s="148"/>
      <c r="AP66" s="148"/>
      <c r="AQ66" s="148"/>
      <c r="AR66" s="148"/>
      <c r="AS66" s="148"/>
      <c r="AT66" s="148"/>
      <c r="AU66" s="148"/>
      <c r="AV66" s="199"/>
      <c r="AW66" s="199"/>
      <c r="AX66" s="199"/>
      <c r="AY66" s="199"/>
      <c r="AZ66" s="199"/>
      <c r="BA66" s="199"/>
      <c r="BB66" s="199"/>
      <c r="BC66" s="199"/>
      <c r="BD66" s="199"/>
      <c r="BE66" s="199"/>
      <c r="BF66" s="199"/>
      <c r="BG66" s="199"/>
      <c r="BH66" s="199"/>
      <c r="BI66" s="199"/>
      <c r="BJ66" s="199"/>
      <c r="BK66" s="199"/>
      <c r="BL66" s="199"/>
      <c r="BM66" s="199"/>
      <c r="BN66" s="200"/>
      <c r="BO66" s="200"/>
      <c r="BP66" s="200"/>
      <c r="BQ66" s="200"/>
      <c r="BR66" s="200"/>
      <c r="BS66" s="200"/>
      <c r="BT66" s="200"/>
      <c r="BU66" s="200"/>
      <c r="BV66" s="200"/>
      <c r="BW66" s="200"/>
      <c r="BX66" s="200"/>
      <c r="BY66" s="200"/>
      <c r="BZ66" s="199"/>
      <c r="CA66" s="200"/>
    </row>
    <row r="67" spans="2:79" hidden="1" outlineLevel="1">
      <c r="B67" s="73" t="s">
        <v>200</v>
      </c>
      <c r="C67" s="32"/>
      <c r="D67" s="32"/>
      <c r="E67" s="32"/>
      <c r="F67" s="32"/>
      <c r="G67" s="32"/>
      <c r="H67" s="32"/>
      <c r="I67" s="32"/>
      <c r="J67" s="32"/>
      <c r="K67" s="32"/>
      <c r="L67" s="32"/>
      <c r="M67" s="32"/>
      <c r="N67" s="32"/>
      <c r="O67" s="32"/>
      <c r="P67" s="32"/>
      <c r="Q67" s="32"/>
      <c r="R67" s="32"/>
      <c r="S67" s="60"/>
      <c r="T67" s="60"/>
      <c r="U67" s="60"/>
      <c r="V67" s="60"/>
      <c r="W67" s="22">
        <v>2</v>
      </c>
      <c r="X67" s="21"/>
      <c r="Y67" s="21"/>
      <c r="Z67" s="22">
        <v>2</v>
      </c>
      <c r="AA67" s="22">
        <v>2</v>
      </c>
      <c r="AB67" s="22">
        <v>2</v>
      </c>
      <c r="AC67" s="22">
        <v>2</v>
      </c>
      <c r="AD67" s="22">
        <v>2</v>
      </c>
      <c r="AE67" s="22">
        <v>2</v>
      </c>
      <c r="AF67" s="22">
        <v>2</v>
      </c>
      <c r="AG67" s="22">
        <v>3</v>
      </c>
      <c r="AH67" s="22">
        <v>2</v>
      </c>
      <c r="AI67" s="22">
        <v>2</v>
      </c>
      <c r="AJ67" s="22">
        <v>2</v>
      </c>
      <c r="AK67" s="22">
        <v>2</v>
      </c>
      <c r="AL67" s="21"/>
      <c r="AM67" s="21"/>
      <c r="AN67" s="148"/>
      <c r="AO67" s="148"/>
      <c r="AP67" s="148"/>
      <c r="AQ67" s="148"/>
      <c r="AR67" s="148"/>
      <c r="AS67" s="148"/>
      <c r="AT67" s="148"/>
      <c r="AU67" s="148"/>
      <c r="AV67" s="199"/>
      <c r="AW67" s="199"/>
      <c r="AX67" s="199"/>
      <c r="AY67" s="199"/>
      <c r="AZ67" s="199"/>
      <c r="BA67" s="199"/>
      <c r="BB67" s="199"/>
      <c r="BC67" s="199"/>
      <c r="BD67" s="199"/>
      <c r="BE67" s="199"/>
      <c r="BF67" s="199"/>
      <c r="BG67" s="199"/>
      <c r="BH67" s="199"/>
      <c r="BI67" s="199"/>
      <c r="BJ67" s="199"/>
      <c r="BK67" s="199"/>
      <c r="BL67" s="199"/>
      <c r="BM67" s="199"/>
      <c r="BN67" s="200"/>
      <c r="BO67" s="200"/>
      <c r="BP67" s="200"/>
      <c r="BQ67" s="200"/>
      <c r="BR67" s="200"/>
      <c r="BS67" s="200"/>
      <c r="BT67" s="200"/>
      <c r="BU67" s="200"/>
      <c r="BV67" s="200"/>
      <c r="BW67" s="200"/>
      <c r="BX67" s="200"/>
      <c r="BY67" s="200"/>
      <c r="BZ67" s="199"/>
      <c r="CA67" s="200"/>
    </row>
    <row r="68" spans="2:79" hidden="1" outlineLevel="1">
      <c r="B68" s="73"/>
      <c r="C68" s="32"/>
      <c r="D68" s="32"/>
      <c r="E68" s="32"/>
      <c r="F68" s="32"/>
      <c r="G68" s="32"/>
      <c r="H68" s="32"/>
      <c r="I68" s="32"/>
      <c r="J68" s="32"/>
      <c r="K68" s="32"/>
      <c r="L68" s="32"/>
      <c r="M68" s="32"/>
      <c r="N68" s="32"/>
      <c r="O68" s="32"/>
      <c r="P68" s="32"/>
      <c r="Q68" s="32"/>
      <c r="R68" s="32"/>
      <c r="S68" s="32"/>
      <c r="T68" s="32"/>
      <c r="U68" s="32"/>
      <c r="V68" s="32"/>
      <c r="W68" s="32"/>
      <c r="X68" s="32"/>
      <c r="Y68" s="32"/>
      <c r="Z68" s="32"/>
      <c r="AA68" s="32"/>
      <c r="AB68" s="32"/>
      <c r="AC68" s="32"/>
      <c r="AD68" s="32"/>
      <c r="AE68" s="32"/>
      <c r="AF68" s="32"/>
      <c r="AG68" s="32"/>
      <c r="AH68" s="32"/>
      <c r="AI68" s="199"/>
      <c r="AJ68" s="199"/>
      <c r="AK68" s="199"/>
      <c r="AL68" s="199"/>
      <c r="AM68" s="199"/>
      <c r="AN68" s="200"/>
      <c r="AO68" s="200"/>
      <c r="AP68" s="200"/>
      <c r="AQ68" s="200"/>
      <c r="AR68" s="200"/>
      <c r="AS68" s="200"/>
      <c r="AT68" s="200"/>
      <c r="AU68" s="200"/>
      <c r="AV68" s="199"/>
      <c r="AW68" s="199"/>
      <c r="AX68" s="199"/>
      <c r="AY68" s="199"/>
      <c r="AZ68" s="199"/>
      <c r="BA68" s="199"/>
      <c r="BB68" s="199"/>
      <c r="BC68" s="199"/>
      <c r="BD68" s="199"/>
      <c r="BE68" s="199"/>
      <c r="BF68" s="199"/>
      <c r="BG68" s="199"/>
      <c r="BH68" s="199"/>
      <c r="BI68" s="199"/>
      <c r="BJ68" s="199"/>
      <c r="BK68" s="199"/>
      <c r="BL68" s="199"/>
      <c r="BM68" s="199"/>
      <c r="BN68" s="200"/>
      <c r="BO68" s="200"/>
      <c r="BP68" s="200"/>
      <c r="BQ68" s="200"/>
      <c r="BR68" s="200"/>
      <c r="BS68" s="200"/>
      <c r="BT68" s="200"/>
      <c r="BU68" s="200"/>
      <c r="BV68" s="200"/>
      <c r="BW68" s="200"/>
      <c r="BX68" s="200"/>
      <c r="BY68" s="200"/>
      <c r="BZ68" s="199"/>
      <c r="CA68" s="200"/>
    </row>
    <row r="69" spans="2:79" hidden="1" outlineLevel="1">
      <c r="B69" s="72" t="s">
        <v>201</v>
      </c>
      <c r="C69" s="32"/>
      <c r="D69" s="32"/>
      <c r="E69" s="32"/>
      <c r="F69" s="32"/>
      <c r="G69" s="32"/>
      <c r="H69" s="32"/>
      <c r="I69" s="32"/>
      <c r="J69" s="32"/>
      <c r="K69" s="32"/>
      <c r="L69" s="32"/>
      <c r="M69" s="32"/>
      <c r="N69" s="32"/>
      <c r="O69" s="32"/>
      <c r="P69" s="32"/>
      <c r="Q69" s="32"/>
      <c r="R69" s="32"/>
      <c r="S69" s="32"/>
      <c r="T69" s="32"/>
      <c r="U69" s="32"/>
      <c r="V69" s="32"/>
      <c r="W69" s="32"/>
      <c r="X69" s="32"/>
      <c r="Y69" s="32"/>
      <c r="Z69" s="32"/>
      <c r="AA69" s="32"/>
      <c r="AB69" s="32"/>
      <c r="AC69" s="32"/>
      <c r="AD69" s="32"/>
      <c r="AE69" s="32"/>
      <c r="AF69" s="32"/>
      <c r="AG69" s="32"/>
      <c r="AH69" s="32"/>
      <c r="AI69" s="199"/>
      <c r="AJ69" s="199"/>
      <c r="AK69" s="199"/>
      <c r="AL69" s="199"/>
      <c r="AM69" s="199"/>
      <c r="AN69" s="200"/>
      <c r="AO69" s="200"/>
      <c r="AP69" s="200"/>
      <c r="AQ69" s="200"/>
      <c r="AR69" s="200"/>
      <c r="AS69" s="200"/>
      <c r="AT69" s="200"/>
      <c r="AU69" s="200"/>
      <c r="AV69" s="199"/>
      <c r="AW69" s="199"/>
      <c r="AX69" s="199"/>
      <c r="AY69" s="199"/>
      <c r="AZ69" s="199"/>
      <c r="BA69" s="199"/>
      <c r="BB69" s="199"/>
      <c r="BC69" s="199"/>
      <c r="BD69" s="199"/>
      <c r="BE69" s="199"/>
      <c r="BF69" s="199"/>
      <c r="BG69" s="199"/>
      <c r="BH69" s="199"/>
      <c r="BI69" s="199"/>
      <c r="BJ69" s="199"/>
      <c r="BK69" s="199"/>
      <c r="BL69" s="199"/>
      <c r="BM69" s="199"/>
      <c r="BN69" s="200"/>
      <c r="BO69" s="200"/>
      <c r="BP69" s="200"/>
      <c r="BQ69" s="200"/>
      <c r="BR69" s="200"/>
      <c r="BS69" s="200"/>
      <c r="BT69" s="200"/>
      <c r="BU69" s="200"/>
      <c r="BV69" s="200"/>
      <c r="BW69" s="200"/>
      <c r="BX69" s="200"/>
      <c r="BY69" s="200"/>
      <c r="BZ69" s="199"/>
      <c r="CA69" s="200"/>
    </row>
    <row r="70" spans="2:79" hidden="1" outlineLevel="1">
      <c r="B70" s="73" t="s">
        <v>202</v>
      </c>
      <c r="C70" s="32"/>
      <c r="D70" s="32"/>
      <c r="E70" s="32"/>
      <c r="F70" s="32"/>
      <c r="G70" s="32"/>
      <c r="H70" s="32"/>
      <c r="I70" s="32"/>
      <c r="J70" s="32"/>
      <c r="K70" s="83">
        <v>335</v>
      </c>
      <c r="L70" s="83">
        <v>346</v>
      </c>
      <c r="M70" s="83">
        <v>368</v>
      </c>
      <c r="N70" s="83">
        <v>395</v>
      </c>
      <c r="O70" s="83">
        <v>480</v>
      </c>
      <c r="P70" s="83">
        <v>462</v>
      </c>
      <c r="Q70" s="83">
        <v>461</v>
      </c>
      <c r="R70" s="83">
        <v>614</v>
      </c>
      <c r="S70" s="22">
        <v>961</v>
      </c>
      <c r="T70" s="22">
        <v>846</v>
      </c>
      <c r="U70" s="22">
        <v>878</v>
      </c>
      <c r="V70" s="22">
        <v>838</v>
      </c>
      <c r="W70" s="22">
        <v>1389</v>
      </c>
      <c r="X70" s="22">
        <v>1165</v>
      </c>
      <c r="Y70" s="20">
        <v>1127</v>
      </c>
      <c r="Z70" s="20">
        <v>1256</v>
      </c>
      <c r="AA70" s="20">
        <v>1239</v>
      </c>
      <c r="AB70" s="20">
        <v>1129</v>
      </c>
      <c r="AC70" s="20">
        <v>1293</v>
      </c>
      <c r="AD70" s="20">
        <v>1430</v>
      </c>
      <c r="AE70" s="20">
        <v>1559</v>
      </c>
      <c r="AF70" s="20">
        <v>1554</v>
      </c>
      <c r="AG70" s="20">
        <v>1565</v>
      </c>
      <c r="AH70" s="20">
        <v>1548</v>
      </c>
      <c r="AI70" s="20">
        <v>1963</v>
      </c>
      <c r="AJ70" s="20">
        <v>1783</v>
      </c>
      <c r="AK70" s="20">
        <v>1820</v>
      </c>
      <c r="AL70" s="22">
        <v>1754</v>
      </c>
      <c r="AM70" s="22">
        <v>2217</v>
      </c>
      <c r="AN70" s="179"/>
      <c r="AO70" s="179"/>
      <c r="AP70" s="179"/>
      <c r="AQ70" s="179"/>
      <c r="AR70" s="179"/>
      <c r="AS70" s="179"/>
      <c r="AT70" s="179"/>
      <c r="AU70" s="179"/>
      <c r="AV70" s="95"/>
      <c r="AW70" s="95"/>
      <c r="AX70" s="95"/>
      <c r="AY70" s="95"/>
      <c r="AZ70" s="249">
        <f>SUM(K70:L70)</f>
        <v>681</v>
      </c>
      <c r="BA70" s="249">
        <f>SUM(M70:N70)</f>
        <v>763</v>
      </c>
      <c r="BB70" s="249">
        <f>SUM(O70:P70)</f>
        <v>942</v>
      </c>
      <c r="BC70" s="249">
        <f>SUM(Q70:R70)</f>
        <v>1075</v>
      </c>
      <c r="BD70" s="249">
        <f>SUM(S70:T70)</f>
        <v>1807</v>
      </c>
      <c r="BE70" s="249">
        <f>SUM(U70:V70)</f>
        <v>1716</v>
      </c>
      <c r="BF70" s="249">
        <f>SUM(W70:X70)</f>
        <v>2554</v>
      </c>
      <c r="BG70" s="249">
        <f>SUM(Y70:Z70)</f>
        <v>2383</v>
      </c>
      <c r="BH70" s="249">
        <f>SUM(AA70:AB70)</f>
        <v>2368</v>
      </c>
      <c r="BI70" s="249">
        <f>SUM(AC70:AD70)</f>
        <v>2723</v>
      </c>
      <c r="BJ70" s="249">
        <f>SUM(AE70:AF70)</f>
        <v>3113</v>
      </c>
      <c r="BK70" s="249">
        <f>SUM(AG70:AH70)</f>
        <v>3113</v>
      </c>
      <c r="BL70" s="301">
        <f>SUM(AI70:AJ70)</f>
        <v>3746</v>
      </c>
      <c r="BM70" s="301">
        <f>SUM(AK70:AL70)</f>
        <v>3574</v>
      </c>
      <c r="BN70" s="302"/>
      <c r="BO70" s="302"/>
      <c r="BP70" s="302"/>
      <c r="BQ70" s="302"/>
      <c r="BR70" s="302"/>
      <c r="BS70" s="302"/>
      <c r="BT70" s="302"/>
      <c r="BU70" s="302"/>
      <c r="BV70" s="302"/>
      <c r="BW70" s="302"/>
      <c r="BX70" s="302"/>
      <c r="BY70" s="302"/>
      <c r="BZ70" s="287">
        <f>SUM(BL70:BM70)</f>
        <v>7320</v>
      </c>
      <c r="CA70" s="267"/>
    </row>
    <row r="71" spans="2:79" hidden="1" outlineLevel="1">
      <c r="B71" s="73" t="s">
        <v>315</v>
      </c>
      <c r="C71" s="32"/>
      <c r="D71" s="32"/>
      <c r="E71" s="32"/>
      <c r="F71" s="32"/>
      <c r="G71" s="32"/>
      <c r="H71" s="32"/>
      <c r="I71" s="32"/>
      <c r="J71" s="32"/>
      <c r="K71" s="103">
        <v>0.26100000000000001</v>
      </c>
      <c r="L71" s="103">
        <v>0.28299999999999997</v>
      </c>
      <c r="M71" s="103">
        <v>0.34699999999999998</v>
      </c>
      <c r="N71" s="103">
        <v>0.45500000000000002</v>
      </c>
      <c r="O71" s="103">
        <v>0.432</v>
      </c>
      <c r="P71" s="103">
        <v>0.33300000000000002</v>
      </c>
      <c r="Q71" s="103">
        <v>0.26500000000000001</v>
      </c>
      <c r="R71" s="103">
        <v>0.69</v>
      </c>
      <c r="S71" s="106">
        <v>1</v>
      </c>
      <c r="T71" s="106">
        <v>0.83299999999999996</v>
      </c>
      <c r="U71" s="106">
        <v>0.90500000000000003</v>
      </c>
      <c r="V71" s="106">
        <v>0.36499999999999999</v>
      </c>
      <c r="W71" s="108">
        <v>0.53100000000000003</v>
      </c>
      <c r="X71" s="108">
        <v>0.47599999999999998</v>
      </c>
      <c r="Y71" s="108">
        <v>0.38100000000000001</v>
      </c>
      <c r="Z71" s="108">
        <v>0.28799999999999998</v>
      </c>
      <c r="AA71" s="108">
        <v>-9.6000000000000002E-2</v>
      </c>
      <c r="AB71" s="108">
        <v>-1.2999999999999999E-2</v>
      </c>
      <c r="AC71" s="108">
        <v>9.7000000000000003E-2</v>
      </c>
      <c r="AD71" s="108">
        <v>0.17199999999999999</v>
      </c>
      <c r="AE71" s="100">
        <v>0.184</v>
      </c>
      <c r="AF71" s="100">
        <v>0.24399999999999999</v>
      </c>
      <c r="AG71" s="100">
        <v>0.19700000000000001</v>
      </c>
      <c r="AH71" s="35">
        <v>0.18</v>
      </c>
      <c r="AI71" s="100">
        <v>0.23599999999999999</v>
      </c>
      <c r="AJ71" s="100">
        <v>0.16300000000000001</v>
      </c>
      <c r="AK71" s="100">
        <v>0.14899999999999999</v>
      </c>
      <c r="AL71" s="35">
        <v>0.14699999999999999</v>
      </c>
      <c r="AM71" s="35">
        <v>0.129</v>
      </c>
      <c r="AN71" s="181"/>
      <c r="AO71" s="181"/>
      <c r="AP71" s="181"/>
      <c r="AQ71" s="181"/>
      <c r="AR71" s="181"/>
      <c r="AS71" s="181"/>
      <c r="AT71" s="181"/>
      <c r="AU71" s="181"/>
      <c r="AV71" s="95"/>
      <c r="AW71" s="95"/>
      <c r="AX71" s="95"/>
      <c r="AY71" s="95"/>
      <c r="AZ71" s="95">
        <f t="shared" ref="AZ71:AZ72" si="130">AVERAGE(K71:L71)</f>
        <v>0.27200000000000002</v>
      </c>
      <c r="BA71" s="95">
        <f t="shared" ref="BA71:BA72" si="131">AVERAGE(M71:N71)</f>
        <v>0.40100000000000002</v>
      </c>
      <c r="BB71" s="95">
        <f t="shared" ref="BB71:BB72" si="132">AVERAGE(O71:P71)</f>
        <v>0.38250000000000001</v>
      </c>
      <c r="BC71" s="95">
        <f t="shared" ref="BC71:BC72" si="133">AVERAGE(Q71:R71)</f>
        <v>0.47749999999999998</v>
      </c>
      <c r="BD71" s="95">
        <f t="shared" ref="BD71:BD72" si="134">AVERAGE(S71:T71)</f>
        <v>0.91649999999999998</v>
      </c>
      <c r="BE71" s="95">
        <f t="shared" ref="BE71:BE72" si="135">AVERAGE(U71:V71)</f>
        <v>0.63500000000000001</v>
      </c>
      <c r="BF71" s="95">
        <f t="shared" ref="BF71:BF72" si="136">AVERAGE(W71:X71)</f>
        <v>0.50350000000000006</v>
      </c>
      <c r="BG71" s="95">
        <f t="shared" ref="BG71:BG72" si="137">AVERAGE(Y71:Z71)</f>
        <v>0.33450000000000002</v>
      </c>
      <c r="BH71" s="95">
        <f t="shared" ref="BH71:BH72" si="138">AVERAGE(AA71:AB71)</f>
        <v>-5.45E-2</v>
      </c>
      <c r="BI71" s="95">
        <f t="shared" ref="BI71:BI72" si="139">AVERAGE(AC71:AD71)</f>
        <v>0.13450000000000001</v>
      </c>
      <c r="BJ71" s="95">
        <f t="shared" ref="BJ71:BJ72" si="140">AVERAGE(AE71:AF71)</f>
        <v>0.214</v>
      </c>
      <c r="BK71" s="95">
        <f t="shared" ref="BK71:BK72" si="141">AVERAGE(AG71:AH71)</f>
        <v>0.1885</v>
      </c>
      <c r="BL71" s="95">
        <f t="shared" ref="BL71:BL72" si="142">AVERAGE(AI71:AJ71)</f>
        <v>0.19950000000000001</v>
      </c>
      <c r="BM71" s="95">
        <f t="shared" ref="BM71:BM72" si="143">AVERAGE(AK71:AL71)</f>
        <v>0.14799999999999999</v>
      </c>
      <c r="BN71" s="158"/>
      <c r="BO71" s="158"/>
      <c r="BP71" s="158"/>
      <c r="BQ71" s="158"/>
      <c r="BR71" s="158"/>
      <c r="BS71" s="158"/>
      <c r="BT71" s="158"/>
      <c r="BU71" s="158"/>
      <c r="BV71" s="158"/>
      <c r="BW71" s="158"/>
      <c r="BX71" s="158"/>
      <c r="BY71" s="158"/>
      <c r="BZ71" s="299">
        <f>AVERAGE(BL71:BM71)</f>
        <v>0.17375000000000002</v>
      </c>
      <c r="CA71" s="277"/>
    </row>
    <row r="72" spans="2:79" hidden="1" outlineLevel="1">
      <c r="B72" s="73" t="s">
        <v>314</v>
      </c>
      <c r="C72" s="32"/>
      <c r="D72" s="32"/>
      <c r="E72" s="32"/>
      <c r="F72" s="32"/>
      <c r="G72" s="32"/>
      <c r="H72" s="32"/>
      <c r="I72" s="32"/>
      <c r="J72" s="32"/>
      <c r="K72" s="103">
        <v>3.3000000000000002E-2</v>
      </c>
      <c r="L72" s="103">
        <v>3.5000000000000003E-2</v>
      </c>
      <c r="M72" s="103">
        <v>3.6999999999999998E-2</v>
      </c>
      <c r="N72" s="103">
        <v>4.1000000000000002E-2</v>
      </c>
      <c r="O72" s="103">
        <v>4.4999999999999998E-2</v>
      </c>
      <c r="P72" s="103">
        <v>4.3999999999999997E-2</v>
      </c>
      <c r="Q72" s="103">
        <v>4.1000000000000002E-2</v>
      </c>
      <c r="R72" s="103">
        <v>6.3E-2</v>
      </c>
      <c r="S72" s="106">
        <v>0.08</v>
      </c>
      <c r="T72" s="106">
        <v>7.3999999999999996E-2</v>
      </c>
      <c r="U72" s="35">
        <v>7.9000000000000001E-2</v>
      </c>
      <c r="V72" s="106">
        <v>8.5000000000000006E-2</v>
      </c>
      <c r="W72" s="106">
        <v>0.114</v>
      </c>
      <c r="X72" s="106">
        <v>0.10199999999999999</v>
      </c>
      <c r="Y72" s="106">
        <v>9.9000000000000005E-2</v>
      </c>
      <c r="Z72" s="35">
        <v>9.8000000000000004E-2</v>
      </c>
      <c r="AA72" s="106">
        <v>0.108</v>
      </c>
      <c r="AB72" s="35">
        <v>0.1</v>
      </c>
      <c r="AC72" s="106">
        <v>0.106</v>
      </c>
      <c r="AD72" s="35">
        <v>0.114</v>
      </c>
      <c r="AE72" s="100">
        <v>0.12</v>
      </c>
      <c r="AF72" s="100">
        <v>0.11899999999999999</v>
      </c>
      <c r="AG72" s="100">
        <v>0.124</v>
      </c>
      <c r="AH72" s="35">
        <v>0.13400000000000001</v>
      </c>
      <c r="AI72" s="100">
        <v>0.14599999999999999</v>
      </c>
      <c r="AJ72" s="100">
        <v>0.13800000000000001</v>
      </c>
      <c r="AK72" s="100">
        <v>0.14099999999999999</v>
      </c>
      <c r="AL72" s="35">
        <v>0.151</v>
      </c>
      <c r="AM72" s="35">
        <v>0.16200000000000001</v>
      </c>
      <c r="AN72" s="181"/>
      <c r="AO72" s="181"/>
      <c r="AP72" s="181"/>
      <c r="AQ72" s="181"/>
      <c r="AR72" s="181"/>
      <c r="AS72" s="181"/>
      <c r="AT72" s="181"/>
      <c r="AU72" s="181"/>
      <c r="AV72" s="95"/>
      <c r="AW72" s="95"/>
      <c r="AX72" s="95"/>
      <c r="AY72" s="95"/>
      <c r="AZ72" s="95">
        <f t="shared" si="130"/>
        <v>3.4000000000000002E-2</v>
      </c>
      <c r="BA72" s="95">
        <f t="shared" si="131"/>
        <v>3.9E-2</v>
      </c>
      <c r="BB72" s="95">
        <f t="shared" si="132"/>
        <v>4.4499999999999998E-2</v>
      </c>
      <c r="BC72" s="95">
        <f t="shared" si="133"/>
        <v>5.2000000000000005E-2</v>
      </c>
      <c r="BD72" s="95">
        <f t="shared" si="134"/>
        <v>7.6999999999999999E-2</v>
      </c>
      <c r="BE72" s="95">
        <f t="shared" si="135"/>
        <v>8.2000000000000003E-2</v>
      </c>
      <c r="BF72" s="95">
        <f t="shared" si="136"/>
        <v>0.108</v>
      </c>
      <c r="BG72" s="95">
        <f t="shared" si="137"/>
        <v>9.8500000000000004E-2</v>
      </c>
      <c r="BH72" s="95">
        <f t="shared" si="138"/>
        <v>0.10400000000000001</v>
      </c>
      <c r="BI72" s="95">
        <f t="shared" si="139"/>
        <v>0.11</v>
      </c>
      <c r="BJ72" s="95">
        <f t="shared" si="140"/>
        <v>0.1195</v>
      </c>
      <c r="BK72" s="95">
        <f t="shared" si="141"/>
        <v>0.129</v>
      </c>
      <c r="BL72" s="95">
        <f t="shared" si="142"/>
        <v>0.14200000000000002</v>
      </c>
      <c r="BM72" s="95">
        <f t="shared" si="143"/>
        <v>0.14599999999999999</v>
      </c>
      <c r="BN72" s="158"/>
      <c r="BO72" s="158"/>
      <c r="BP72" s="158"/>
      <c r="BQ72" s="158"/>
      <c r="BR72" s="158"/>
      <c r="BS72" s="158"/>
      <c r="BT72" s="158"/>
      <c r="BU72" s="158"/>
      <c r="BV72" s="158"/>
      <c r="BW72" s="158"/>
      <c r="BX72" s="158"/>
      <c r="BY72" s="158"/>
      <c r="BZ72" s="299">
        <f>AVERAGE(BL72:BM72)</f>
        <v>0.14400000000000002</v>
      </c>
      <c r="CA72" s="277"/>
    </row>
    <row r="73" spans="2:79" hidden="1" outlineLevel="1">
      <c r="B73" s="73" t="s">
        <v>562</v>
      </c>
      <c r="C73" s="32"/>
      <c r="D73" s="32"/>
      <c r="E73" s="32"/>
      <c r="F73" s="32"/>
      <c r="G73" s="32"/>
      <c r="H73" s="32"/>
      <c r="I73" s="32"/>
      <c r="J73" s="32"/>
      <c r="K73" s="244"/>
      <c r="L73" s="244"/>
      <c r="M73" s="244"/>
      <c r="N73" s="244"/>
      <c r="O73" s="244">
        <f t="shared" ref="O73:AM73" si="144">(O70-K70)/K6</f>
        <v>1.4690982776089158E-2</v>
      </c>
      <c r="P73" s="244">
        <f t="shared" si="144"/>
        <v>1.1574536020754341E-2</v>
      </c>
      <c r="Q73" s="244">
        <f t="shared" si="144"/>
        <v>9.2842168313866432E-3</v>
      </c>
      <c r="R73" s="244">
        <f t="shared" si="144"/>
        <v>2.2673154570866549E-2</v>
      </c>
      <c r="S73" s="244">
        <f t="shared" si="144"/>
        <v>4.5109256306855479E-2</v>
      </c>
      <c r="T73" s="244">
        <f t="shared" si="144"/>
        <v>3.6443010344500329E-2</v>
      </c>
      <c r="U73" s="244">
        <f t="shared" si="144"/>
        <v>3.7328797779965985E-2</v>
      </c>
      <c r="V73" s="244">
        <f t="shared" si="144"/>
        <v>2.2903885480572598E-2</v>
      </c>
      <c r="W73" s="244">
        <f t="shared" si="144"/>
        <v>3.6246612466124664E-2</v>
      </c>
      <c r="X73" s="244">
        <f t="shared" si="144"/>
        <v>2.8533094812164581E-2</v>
      </c>
      <c r="Y73" s="244">
        <f t="shared" si="144"/>
        <v>2.3102616440898126E-2</v>
      </c>
      <c r="Z73" s="244">
        <f t="shared" si="144"/>
        <v>4.3998312662778649E-2</v>
      </c>
      <c r="AA73" s="244">
        <f t="shared" si="144"/>
        <v>-1.2223942628962595E-2</v>
      </c>
      <c r="AB73" s="244">
        <f t="shared" si="144"/>
        <v>-3.0906593406593405E-3</v>
      </c>
      <c r="AC73" s="244">
        <f t="shared" si="144"/>
        <v>1.4520643806857943E-2</v>
      </c>
      <c r="AD73" s="244">
        <f t="shared" si="144"/>
        <v>1.674848397343344E-2</v>
      </c>
      <c r="AE73" s="244">
        <f t="shared" si="144"/>
        <v>2.6220911176663388E-2</v>
      </c>
      <c r="AF73" s="244">
        <f t="shared" si="144"/>
        <v>3.4396244739397862E-2</v>
      </c>
      <c r="AG73" s="244">
        <f t="shared" si="144"/>
        <v>2.2113821138211382E-2</v>
      </c>
      <c r="AH73" s="244">
        <f t="shared" si="144"/>
        <v>1.0547957450612318E-2</v>
      </c>
      <c r="AI73" s="244">
        <f t="shared" si="144"/>
        <v>3.0834987024881699E-2</v>
      </c>
      <c r="AJ73" s="244">
        <f t="shared" si="144"/>
        <v>1.7830724908510471E-2</v>
      </c>
      <c r="AK73" s="244">
        <f t="shared" si="144"/>
        <v>2.0242914979757085E-2</v>
      </c>
      <c r="AL73" s="244">
        <f t="shared" si="144"/>
        <v>1.6773878348668676E-2</v>
      </c>
      <c r="AM73" s="244">
        <f t="shared" si="144"/>
        <v>1.8669606762219772E-2</v>
      </c>
      <c r="AN73" s="200"/>
      <c r="AO73" s="200"/>
      <c r="AP73" s="200"/>
      <c r="AQ73" s="200"/>
      <c r="AR73" s="200"/>
      <c r="AS73" s="200"/>
      <c r="AT73" s="200"/>
      <c r="AU73" s="200"/>
      <c r="AV73" s="199"/>
      <c r="AW73" s="199"/>
      <c r="AX73" s="199"/>
      <c r="AY73" s="199"/>
      <c r="AZ73" s="199"/>
      <c r="BA73" s="199"/>
      <c r="BB73" s="199"/>
      <c r="BC73" s="199"/>
      <c r="BD73" s="199"/>
      <c r="BE73" s="199"/>
      <c r="BF73" s="199"/>
      <c r="BG73" s="199"/>
      <c r="BH73" s="199"/>
      <c r="BI73" s="199"/>
      <c r="BJ73" s="199"/>
      <c r="BK73" s="199"/>
      <c r="BL73" s="199"/>
      <c r="BM73" s="199"/>
      <c r="BN73" s="200"/>
      <c r="BO73" s="200"/>
      <c r="BP73" s="200"/>
      <c r="BQ73" s="200"/>
      <c r="BR73" s="200"/>
      <c r="BS73" s="200"/>
      <c r="BT73" s="200"/>
      <c r="BU73" s="200"/>
      <c r="BV73" s="200"/>
      <c r="BW73" s="200"/>
      <c r="BX73" s="200"/>
      <c r="BY73" s="200"/>
      <c r="BZ73" s="199"/>
      <c r="CA73" s="200"/>
    </row>
    <row r="74" spans="2:79" hidden="1" outlineLevel="1">
      <c r="B74" s="73"/>
      <c r="C74" s="32"/>
      <c r="D74" s="32"/>
      <c r="E74" s="32"/>
      <c r="F74" s="32"/>
      <c r="G74" s="32"/>
      <c r="H74" s="32"/>
      <c r="I74" s="32"/>
      <c r="J74" s="32"/>
      <c r="K74" s="92"/>
      <c r="L74" s="92"/>
      <c r="M74" s="92"/>
      <c r="N74" s="92"/>
      <c r="O74" s="92"/>
      <c r="P74" s="92"/>
      <c r="Q74" s="92"/>
      <c r="R74" s="92"/>
      <c r="S74" s="92"/>
      <c r="T74" s="92"/>
      <c r="U74" s="32"/>
      <c r="V74" s="32"/>
      <c r="W74" s="32"/>
      <c r="X74" s="32"/>
      <c r="Y74" s="32"/>
      <c r="Z74" s="32"/>
      <c r="AA74" s="32"/>
      <c r="AB74" s="32"/>
      <c r="AC74" s="32"/>
      <c r="AD74" s="32"/>
      <c r="AE74" s="32"/>
      <c r="AF74" s="32"/>
      <c r="AG74" s="32"/>
      <c r="AH74" s="32"/>
      <c r="AI74" s="199"/>
      <c r="AJ74" s="199"/>
      <c r="AK74" s="199"/>
      <c r="AL74" s="199"/>
      <c r="AM74" s="199"/>
      <c r="AN74" s="200"/>
      <c r="AO74" s="200"/>
      <c r="AP74" s="200"/>
      <c r="AQ74" s="200"/>
      <c r="AR74" s="200"/>
      <c r="AS74" s="200"/>
      <c r="AT74" s="200"/>
      <c r="AU74" s="200"/>
      <c r="AV74" s="199"/>
      <c r="AW74" s="199"/>
      <c r="AX74" s="199"/>
      <c r="AY74" s="199"/>
      <c r="AZ74" s="199"/>
      <c r="BA74" s="199"/>
      <c r="BB74" s="199"/>
      <c r="BC74" s="199"/>
      <c r="BD74" s="199"/>
      <c r="BE74" s="199"/>
      <c r="BF74" s="199"/>
      <c r="BG74" s="199"/>
      <c r="BH74" s="199"/>
      <c r="BI74" s="199"/>
      <c r="BJ74" s="199"/>
      <c r="BK74" s="199"/>
      <c r="BL74" s="199"/>
      <c r="BM74" s="199"/>
      <c r="BN74" s="200"/>
      <c r="BO74" s="200"/>
      <c r="BP74" s="200"/>
      <c r="BQ74" s="200"/>
      <c r="BR74" s="200"/>
      <c r="BS74" s="200"/>
      <c r="BT74" s="200"/>
      <c r="BU74" s="200"/>
      <c r="BV74" s="200"/>
      <c r="BW74" s="200"/>
      <c r="BX74" s="200"/>
      <c r="BY74" s="200"/>
      <c r="BZ74" s="199"/>
      <c r="CA74" s="200"/>
    </row>
    <row r="75" spans="2:79" hidden="1" outlineLevel="1">
      <c r="B75" s="73" t="s">
        <v>313</v>
      </c>
      <c r="C75" s="32"/>
      <c r="D75" s="32"/>
      <c r="E75" s="32"/>
      <c r="F75" s="32"/>
      <c r="G75" s="32"/>
      <c r="H75" s="32"/>
      <c r="I75" s="32"/>
      <c r="J75" s="32"/>
      <c r="K75" s="92">
        <v>11.1</v>
      </c>
      <c r="L75" s="92">
        <v>11.3</v>
      </c>
      <c r="M75" s="92">
        <v>11.5</v>
      </c>
      <c r="N75" s="92">
        <v>11.7</v>
      </c>
      <c r="O75" s="92">
        <v>11.9</v>
      </c>
      <c r="P75" s="92">
        <v>12</v>
      </c>
      <c r="Q75" s="92">
        <v>12.2</v>
      </c>
      <c r="R75" s="92">
        <v>12.3</v>
      </c>
      <c r="S75" s="104">
        <v>12.6</v>
      </c>
      <c r="T75" s="104">
        <v>12.8</v>
      </c>
      <c r="U75" s="104">
        <v>12.9</v>
      </c>
      <c r="V75" s="104">
        <v>13.1</v>
      </c>
      <c r="W75" s="104">
        <v>13.3</v>
      </c>
      <c r="X75" s="104">
        <v>13.3</v>
      </c>
      <c r="Y75" s="104">
        <v>13.5</v>
      </c>
      <c r="Z75" s="104">
        <v>13.7</v>
      </c>
      <c r="AA75" s="104">
        <v>13.9</v>
      </c>
      <c r="AB75" s="104">
        <v>14.1</v>
      </c>
      <c r="AC75" s="104">
        <v>14.3</v>
      </c>
      <c r="AD75" s="104">
        <v>14.5</v>
      </c>
      <c r="AE75" s="104">
        <v>9.1999999999999993</v>
      </c>
      <c r="AF75" s="104">
        <v>9.4</v>
      </c>
      <c r="AG75" s="104">
        <v>9.6999999999999993</v>
      </c>
      <c r="AH75" s="104">
        <v>9.8000000000000007</v>
      </c>
      <c r="AI75" s="124">
        <v>10</v>
      </c>
      <c r="AJ75" s="104">
        <v>10.199999999999999</v>
      </c>
      <c r="AK75" s="104">
        <v>10.3</v>
      </c>
      <c r="AL75" s="104">
        <v>10.4</v>
      </c>
      <c r="AM75" s="104">
        <v>10.5</v>
      </c>
      <c r="AN75" s="184"/>
      <c r="AO75" s="184"/>
      <c r="AP75" s="184"/>
      <c r="AQ75" s="184"/>
      <c r="AR75" s="184"/>
      <c r="AS75" s="184"/>
      <c r="AT75" s="184"/>
      <c r="AU75" s="184"/>
      <c r="AV75" s="199"/>
      <c r="AW75" s="199"/>
      <c r="AX75" s="199"/>
      <c r="AY75" s="199"/>
      <c r="AZ75" s="199"/>
      <c r="BA75" s="199"/>
      <c r="BB75" s="199"/>
      <c r="BC75" s="199"/>
      <c r="BD75" s="199"/>
      <c r="BE75" s="199"/>
      <c r="BF75" s="199"/>
      <c r="BG75" s="199"/>
      <c r="BH75" s="199"/>
      <c r="BI75" s="199"/>
      <c r="BJ75" s="199"/>
      <c r="BK75" s="199"/>
      <c r="BL75" s="199"/>
      <c r="BM75" s="199"/>
      <c r="BN75" s="200"/>
      <c r="BO75" s="200"/>
      <c r="BP75" s="200"/>
      <c r="BQ75" s="200"/>
      <c r="BR75" s="200"/>
      <c r="BS75" s="200"/>
      <c r="BT75" s="200"/>
      <c r="BU75" s="200"/>
      <c r="BV75" s="200"/>
      <c r="BW75" s="200"/>
      <c r="BX75" s="200"/>
      <c r="BY75" s="200"/>
      <c r="BZ75" s="199"/>
      <c r="CA75" s="200"/>
    </row>
    <row r="76" spans="2:79" hidden="1" outlineLevel="1">
      <c r="B76" s="73" t="s">
        <v>312</v>
      </c>
      <c r="C76" s="32"/>
      <c r="D76" s="32"/>
      <c r="E76" s="32"/>
      <c r="F76" s="32"/>
      <c r="G76" s="32"/>
      <c r="H76" s="32"/>
      <c r="I76" s="32"/>
      <c r="J76" s="32"/>
      <c r="K76" s="32"/>
      <c r="L76" s="32"/>
      <c r="M76" s="32"/>
      <c r="N76" s="32"/>
      <c r="O76" s="32"/>
      <c r="P76" s="32"/>
      <c r="Q76" s="32"/>
      <c r="R76" s="32"/>
      <c r="S76" s="106">
        <v>0.53100000000000003</v>
      </c>
      <c r="T76" s="106">
        <v>0.53600000000000003</v>
      </c>
      <c r="U76" s="106">
        <v>0.54</v>
      </c>
      <c r="V76" s="106">
        <v>0.53700000000000003</v>
      </c>
      <c r="W76" s="106">
        <v>0.54700000000000004</v>
      </c>
      <c r="X76" s="106">
        <v>0.54400000000000004</v>
      </c>
      <c r="Y76" s="106">
        <v>0.53700000000000003</v>
      </c>
      <c r="Z76" s="106">
        <v>0.54</v>
      </c>
      <c r="AA76" s="106">
        <v>0.53900000000000003</v>
      </c>
      <c r="AB76" s="106">
        <v>0.54500000000000004</v>
      </c>
      <c r="AC76" s="106">
        <v>0.54900000000000004</v>
      </c>
      <c r="AD76" s="106">
        <v>0.55700000000000005</v>
      </c>
      <c r="AE76" s="106">
        <v>0.56200000000000006</v>
      </c>
      <c r="AF76" s="106">
        <v>0.57499999999999996</v>
      </c>
      <c r="AG76" s="106">
        <v>0.58399999999999996</v>
      </c>
      <c r="AH76" s="106">
        <v>0.59599999999999997</v>
      </c>
      <c r="AI76" s="106">
        <v>0.58699999999999997</v>
      </c>
      <c r="AJ76" s="106">
        <v>0.58699999999999997</v>
      </c>
      <c r="AK76" s="106">
        <v>0.58499999999999996</v>
      </c>
      <c r="AL76" s="106">
        <v>0.58599999999999997</v>
      </c>
      <c r="AM76" s="106"/>
      <c r="AN76" s="185"/>
      <c r="AO76" s="185"/>
      <c r="AP76" s="185"/>
      <c r="AQ76" s="185"/>
      <c r="AR76" s="185"/>
      <c r="AS76" s="185"/>
      <c r="AT76" s="185"/>
      <c r="AU76" s="185"/>
      <c r="AV76" s="95"/>
      <c r="AW76" s="95"/>
      <c r="AX76" s="95"/>
      <c r="AY76" s="95"/>
      <c r="AZ76" s="95"/>
      <c r="BA76" s="95"/>
      <c r="BB76" s="95"/>
      <c r="BC76" s="95"/>
      <c r="BD76" s="95">
        <f t="shared" ref="BD76" si="145">AVERAGE(S76:T76)</f>
        <v>0.53350000000000009</v>
      </c>
      <c r="BE76" s="95">
        <f t="shared" ref="BE76" si="146">AVERAGE(U76:V76)</f>
        <v>0.53849999999999998</v>
      </c>
      <c r="BF76" s="95">
        <f t="shared" ref="BF76" si="147">AVERAGE(W76:X76)</f>
        <v>0.5455000000000001</v>
      </c>
      <c r="BG76" s="95">
        <f t="shared" ref="BG76" si="148">AVERAGE(Y76:Z76)</f>
        <v>0.53849999999999998</v>
      </c>
      <c r="BH76" s="95">
        <f t="shared" ref="BH76" si="149">AVERAGE(AA76:AB76)</f>
        <v>0.54200000000000004</v>
      </c>
      <c r="BI76" s="95">
        <f t="shared" ref="BI76" si="150">AVERAGE(AC76:AD76)</f>
        <v>0.55300000000000005</v>
      </c>
      <c r="BJ76" s="95">
        <f t="shared" ref="BJ76" si="151">AVERAGE(AE76:AF76)</f>
        <v>0.56850000000000001</v>
      </c>
      <c r="BK76" s="95">
        <f t="shared" ref="BK76" si="152">AVERAGE(AG76:AH76)</f>
        <v>0.59</v>
      </c>
      <c r="BL76" s="95">
        <f t="shared" ref="BL76" si="153">AVERAGE(AI76:AJ76)</f>
        <v>0.58699999999999997</v>
      </c>
      <c r="BM76" s="95">
        <f t="shared" ref="BM76" si="154">AVERAGE(AK76:AL76)</f>
        <v>0.58549999999999991</v>
      </c>
      <c r="BN76" s="158"/>
      <c r="BO76" s="158"/>
      <c r="BP76" s="158"/>
      <c r="BQ76" s="158"/>
      <c r="BR76" s="158"/>
      <c r="BS76" s="158"/>
      <c r="BT76" s="158"/>
      <c r="BU76" s="158"/>
      <c r="BV76" s="158"/>
      <c r="BW76" s="158"/>
      <c r="BX76" s="158"/>
      <c r="BY76" s="158"/>
      <c r="BZ76" s="299">
        <f>AVERAGE(BL76:BM76)</f>
        <v>0.58624999999999994</v>
      </c>
      <c r="CA76" s="200"/>
    </row>
    <row r="77" spans="2:79" hidden="1" outlineLevel="1">
      <c r="B77" s="73"/>
      <c r="C77" s="32"/>
      <c r="D77" s="32"/>
      <c r="E77" s="32"/>
      <c r="F77" s="32"/>
      <c r="G77" s="32"/>
      <c r="H77" s="32"/>
      <c r="I77" s="32"/>
      <c r="J77" s="32"/>
      <c r="K77" s="32"/>
      <c r="L77" s="32"/>
      <c r="M77" s="32"/>
      <c r="N77" s="32"/>
      <c r="O77" s="32"/>
      <c r="P77" s="32"/>
      <c r="Q77" s="32"/>
      <c r="R77" s="32"/>
      <c r="S77" s="32"/>
      <c r="T77" s="32"/>
      <c r="U77" s="32"/>
      <c r="V77" s="32"/>
      <c r="W77" s="32"/>
      <c r="X77" s="32"/>
      <c r="Y77" s="32"/>
      <c r="Z77" s="32"/>
      <c r="AA77" s="32"/>
      <c r="AB77" s="32"/>
      <c r="AC77" s="32"/>
      <c r="AD77" s="32"/>
      <c r="AE77" s="32"/>
      <c r="AF77" s="32"/>
      <c r="AG77" s="32"/>
      <c r="AH77" s="32"/>
      <c r="AI77" s="199"/>
      <c r="AJ77" s="199"/>
      <c r="AK77" s="199"/>
      <c r="AL77" s="199"/>
      <c r="AM77" s="199"/>
      <c r="AN77" s="200"/>
      <c r="AO77" s="200"/>
      <c r="AP77" s="200"/>
      <c r="AQ77" s="200"/>
      <c r="AR77" s="200"/>
      <c r="AS77" s="200"/>
      <c r="AT77" s="200"/>
      <c r="AU77" s="200"/>
      <c r="AV77" s="199"/>
      <c r="AW77" s="199"/>
      <c r="AX77" s="199"/>
      <c r="AY77" s="199"/>
      <c r="AZ77" s="199"/>
      <c r="BA77" s="199"/>
      <c r="BB77" s="199"/>
      <c r="BC77" s="199"/>
      <c r="BD77" s="199"/>
      <c r="BE77" s="199"/>
      <c r="BF77" s="199"/>
      <c r="BG77" s="199"/>
      <c r="BH77" s="199"/>
      <c r="BI77" s="199"/>
      <c r="BJ77" s="199"/>
      <c r="BK77" s="199"/>
      <c r="BL77" s="199"/>
      <c r="BM77" s="199"/>
      <c r="BN77" s="200"/>
      <c r="BO77" s="200"/>
      <c r="BP77" s="200"/>
      <c r="BQ77" s="200"/>
      <c r="BR77" s="200"/>
      <c r="BS77" s="200"/>
      <c r="BT77" s="200"/>
      <c r="BU77" s="200"/>
      <c r="BV77" s="200"/>
      <c r="BW77" s="200"/>
      <c r="BX77" s="200"/>
      <c r="BY77" s="200"/>
      <c r="BZ77" s="199"/>
      <c r="CA77" s="200"/>
    </row>
    <row r="78" spans="2:79" hidden="1" outlineLevel="1">
      <c r="B78" s="72" t="s">
        <v>333</v>
      </c>
      <c r="C78" s="32"/>
      <c r="D78" s="32"/>
      <c r="E78" s="32"/>
      <c r="F78" s="32"/>
      <c r="G78" s="32"/>
      <c r="H78" s="32"/>
      <c r="I78" s="32"/>
      <c r="J78" s="32"/>
      <c r="K78" s="32"/>
      <c r="L78" s="32"/>
      <c r="M78" s="32"/>
      <c r="N78" s="32"/>
      <c r="O78" s="32"/>
      <c r="P78" s="32"/>
      <c r="Q78" s="32"/>
      <c r="R78" s="32"/>
      <c r="S78" s="32"/>
      <c r="T78" s="32"/>
      <c r="U78" s="32"/>
      <c r="V78" s="32"/>
      <c r="W78" s="32"/>
      <c r="X78" s="32"/>
      <c r="Y78" s="32"/>
      <c r="Z78" s="32"/>
      <c r="AA78" s="32"/>
      <c r="AB78" s="32"/>
      <c r="AC78" s="32"/>
      <c r="AD78" s="32"/>
      <c r="AE78" s="32"/>
      <c r="AF78" s="32"/>
      <c r="AG78" s="32"/>
      <c r="AH78" s="32"/>
      <c r="AI78" s="199"/>
      <c r="AJ78" s="199"/>
      <c r="AK78" s="199"/>
      <c r="AL78" s="199"/>
      <c r="AM78" s="199"/>
      <c r="AN78" s="200"/>
      <c r="AO78" s="200"/>
      <c r="AP78" s="200"/>
      <c r="AQ78" s="200"/>
      <c r="AR78" s="200"/>
      <c r="AS78" s="200"/>
      <c r="AT78" s="200"/>
      <c r="AU78" s="200"/>
      <c r="AV78" s="199"/>
      <c r="AW78" s="199"/>
      <c r="AX78" s="199"/>
      <c r="AY78" s="199"/>
      <c r="AZ78" s="199"/>
      <c r="BA78" s="199"/>
      <c r="BB78" s="199"/>
      <c r="BC78" s="199"/>
      <c r="BD78" s="199"/>
      <c r="BE78" s="199"/>
      <c r="BF78" s="199"/>
      <c r="BG78" s="199"/>
      <c r="BH78" s="199"/>
      <c r="BI78" s="199"/>
      <c r="BJ78" s="199"/>
      <c r="BK78" s="199"/>
      <c r="BL78" s="199"/>
      <c r="BM78" s="199"/>
      <c r="BN78" s="200"/>
      <c r="BO78" s="200"/>
      <c r="BP78" s="200"/>
      <c r="BQ78" s="200"/>
      <c r="BR78" s="200"/>
      <c r="BS78" s="200"/>
      <c r="BT78" s="200"/>
      <c r="BU78" s="200"/>
      <c r="BV78" s="200"/>
      <c r="BW78" s="200"/>
      <c r="BX78" s="200"/>
      <c r="BY78" s="200"/>
      <c r="BZ78" s="199"/>
      <c r="CA78" s="200"/>
    </row>
    <row r="79" spans="2:79" hidden="1" outlineLevel="1">
      <c r="B79" s="73" t="s">
        <v>73</v>
      </c>
      <c r="C79" s="32"/>
      <c r="D79" s="32"/>
      <c r="E79" s="32"/>
      <c r="F79" s="32"/>
      <c r="G79" s="32"/>
      <c r="H79" s="32"/>
      <c r="I79" s="32"/>
      <c r="J79" s="32"/>
      <c r="K79" s="32"/>
      <c r="L79" s="32"/>
      <c r="M79" s="32"/>
      <c r="N79" s="32"/>
      <c r="O79" s="32"/>
      <c r="P79" s="32"/>
      <c r="Q79" s="32"/>
      <c r="R79" s="32"/>
      <c r="S79" s="104">
        <v>145</v>
      </c>
      <c r="T79" s="104">
        <v>154</v>
      </c>
      <c r="U79" s="104">
        <v>161</v>
      </c>
      <c r="V79" s="104">
        <v>158</v>
      </c>
      <c r="W79" s="22">
        <v>656</v>
      </c>
      <c r="X79" s="22">
        <v>770</v>
      </c>
      <c r="Y79" s="22">
        <v>719</v>
      </c>
      <c r="Z79" s="44">
        <v>454</v>
      </c>
      <c r="AA79" s="22">
        <v>893</v>
      </c>
      <c r="AB79" s="22">
        <v>909</v>
      </c>
      <c r="AC79" s="22">
        <v>860</v>
      </c>
      <c r="AD79" s="44">
        <v>464</v>
      </c>
      <c r="AE79" s="22"/>
      <c r="AF79" s="22"/>
      <c r="AG79" s="22">
        <v>793</v>
      </c>
      <c r="AH79" s="20"/>
      <c r="AI79" s="22">
        <v>867</v>
      </c>
      <c r="AJ79" s="22"/>
      <c r="AK79" s="22">
        <v>855</v>
      </c>
      <c r="AL79" s="20"/>
      <c r="AM79" s="20">
        <v>981</v>
      </c>
      <c r="AN79" s="152"/>
      <c r="AO79" s="152"/>
      <c r="AP79" s="152"/>
      <c r="AQ79" s="152"/>
      <c r="AR79" s="152"/>
      <c r="AS79" s="152"/>
      <c r="AT79" s="152"/>
      <c r="AU79" s="152"/>
      <c r="AV79" s="199"/>
      <c r="AW79" s="199"/>
      <c r="AX79" s="199"/>
      <c r="AY79" s="199"/>
      <c r="AZ79" s="199"/>
      <c r="BA79" s="199"/>
      <c r="BB79" s="199"/>
      <c r="BC79" s="199"/>
      <c r="BD79" s="199"/>
      <c r="BE79" s="199"/>
      <c r="BF79" s="199"/>
      <c r="BG79" s="199"/>
      <c r="BH79" s="199"/>
      <c r="BI79" s="199"/>
      <c r="BJ79" s="199"/>
      <c r="BK79" s="199"/>
      <c r="BL79" s="199"/>
      <c r="BM79" s="199"/>
      <c r="BN79" s="200"/>
      <c r="BO79" s="200"/>
      <c r="BP79" s="200"/>
      <c r="BQ79" s="200"/>
      <c r="BR79" s="200"/>
      <c r="BS79" s="200"/>
      <c r="BT79" s="200"/>
      <c r="BU79" s="200"/>
      <c r="BV79" s="200"/>
      <c r="BW79" s="200"/>
      <c r="BX79" s="200"/>
      <c r="BY79" s="200"/>
      <c r="BZ79" s="199"/>
      <c r="CA79" s="200"/>
    </row>
    <row r="80" spans="2:79" hidden="1" outlineLevel="1">
      <c r="B80" s="73" t="s">
        <v>204</v>
      </c>
      <c r="C80" s="32"/>
      <c r="D80" s="32"/>
      <c r="E80" s="32"/>
      <c r="F80" s="32"/>
      <c r="G80" s="32"/>
      <c r="H80" s="32"/>
      <c r="I80" s="32"/>
      <c r="J80" s="32"/>
      <c r="K80" s="32"/>
      <c r="L80" s="32"/>
      <c r="M80" s="32"/>
      <c r="N80" s="32"/>
      <c r="O80" s="32"/>
      <c r="P80" s="32"/>
      <c r="Q80" s="32"/>
      <c r="R80" s="32"/>
      <c r="S80" s="104">
        <v>176</v>
      </c>
      <c r="T80" s="104">
        <v>156</v>
      </c>
      <c r="U80" s="104">
        <v>153</v>
      </c>
      <c r="V80" s="104">
        <v>119</v>
      </c>
      <c r="W80" s="22">
        <v>296</v>
      </c>
      <c r="X80" s="22">
        <v>257</v>
      </c>
      <c r="Y80" s="22">
        <v>276</v>
      </c>
      <c r="Z80" s="44">
        <v>256</v>
      </c>
      <c r="AA80" s="22">
        <v>306</v>
      </c>
      <c r="AB80" s="22">
        <v>325</v>
      </c>
      <c r="AC80" s="22">
        <v>299</v>
      </c>
      <c r="AD80" s="44">
        <v>268</v>
      </c>
      <c r="AE80" s="22"/>
      <c r="AF80" s="22"/>
      <c r="AG80" s="22">
        <v>559</v>
      </c>
      <c r="AH80" s="20"/>
      <c r="AI80" s="22">
        <v>606</v>
      </c>
      <c r="AJ80" s="22"/>
      <c r="AK80" s="22">
        <v>583</v>
      </c>
      <c r="AL80" s="20"/>
      <c r="AM80" s="20">
        <v>584</v>
      </c>
      <c r="AN80" s="152"/>
      <c r="AO80" s="152"/>
      <c r="AP80" s="152"/>
      <c r="AQ80" s="152"/>
      <c r="AR80" s="152"/>
      <c r="AS80" s="152"/>
      <c r="AT80" s="152"/>
      <c r="AU80" s="152"/>
      <c r="AV80" s="199"/>
      <c r="AW80" s="199"/>
      <c r="AX80" s="199"/>
      <c r="AY80" s="199"/>
      <c r="AZ80" s="199"/>
      <c r="BA80" s="199"/>
      <c r="BB80" s="199"/>
      <c r="BC80" s="199"/>
      <c r="BD80" s="199"/>
      <c r="BE80" s="199"/>
      <c r="BF80" s="199"/>
      <c r="BG80" s="199"/>
      <c r="BH80" s="199"/>
      <c r="BI80" s="199"/>
      <c r="BJ80" s="199"/>
      <c r="BK80" s="199"/>
      <c r="BL80" s="199"/>
      <c r="BM80" s="199"/>
      <c r="BN80" s="200"/>
      <c r="BO80" s="200"/>
      <c r="BP80" s="200"/>
      <c r="BQ80" s="200"/>
      <c r="BR80" s="200"/>
      <c r="BS80" s="200"/>
      <c r="BT80" s="200"/>
      <c r="BU80" s="200"/>
      <c r="BV80" s="200"/>
      <c r="BW80" s="200"/>
      <c r="BX80" s="200"/>
      <c r="BY80" s="200"/>
      <c r="BZ80" s="199"/>
      <c r="CA80" s="200"/>
    </row>
    <row r="81" spans="2:79" hidden="1" outlineLevel="1">
      <c r="B81" s="73" t="s">
        <v>334</v>
      </c>
      <c r="C81" s="32"/>
      <c r="D81" s="32"/>
      <c r="E81" s="32"/>
      <c r="F81" s="32"/>
      <c r="G81" s="32"/>
      <c r="H81" s="32"/>
      <c r="I81" s="32"/>
      <c r="J81" s="32"/>
      <c r="K81" s="32"/>
      <c r="L81" s="32"/>
      <c r="M81" s="32"/>
      <c r="N81" s="32"/>
      <c r="O81" s="32"/>
      <c r="P81" s="32"/>
      <c r="Q81" s="32"/>
      <c r="R81" s="32"/>
      <c r="S81" s="104">
        <f>SUM(S79:S80)</f>
        <v>321</v>
      </c>
      <c r="T81" s="104">
        <v>310</v>
      </c>
      <c r="U81" s="104">
        <v>314</v>
      </c>
      <c r="V81" s="44">
        <v>229.63567458312264</v>
      </c>
      <c r="W81" s="22">
        <v>952</v>
      </c>
      <c r="X81" s="22">
        <v>1027</v>
      </c>
      <c r="Y81" s="22">
        <v>995</v>
      </c>
      <c r="Z81" s="44">
        <v>710</v>
      </c>
      <c r="AA81" s="44">
        <v>1199</v>
      </c>
      <c r="AB81" s="44">
        <v>1059</v>
      </c>
      <c r="AC81" s="44">
        <v>1159</v>
      </c>
      <c r="AD81" s="44">
        <v>907</v>
      </c>
      <c r="AE81" s="44">
        <v>1378</v>
      </c>
      <c r="AF81" s="44">
        <v>1450</v>
      </c>
      <c r="AG81" s="22">
        <v>1352</v>
      </c>
      <c r="AH81" s="20">
        <v>1414</v>
      </c>
      <c r="AI81" s="44">
        <v>1204</v>
      </c>
      <c r="AJ81" s="44">
        <v>1778</v>
      </c>
      <c r="AK81" s="44">
        <v>1438</v>
      </c>
      <c r="AL81" s="20">
        <v>1323</v>
      </c>
      <c r="AM81" s="20">
        <v>1565</v>
      </c>
      <c r="AN81" s="152"/>
      <c r="AO81" s="152"/>
      <c r="AP81" s="152"/>
      <c r="AQ81" s="152"/>
      <c r="AR81" s="152"/>
      <c r="AS81" s="152"/>
      <c r="AT81" s="152"/>
      <c r="AU81" s="152"/>
      <c r="AV81" s="199"/>
      <c r="AW81" s="199"/>
      <c r="AX81" s="199"/>
      <c r="AY81" s="199"/>
      <c r="AZ81" s="199"/>
      <c r="BA81" s="199"/>
      <c r="BB81" s="199"/>
      <c r="BC81" s="199"/>
      <c r="BD81" s="199"/>
      <c r="BE81" s="199"/>
      <c r="BF81" s="199"/>
      <c r="BG81" s="199"/>
      <c r="BH81" s="199"/>
      <c r="BI81" s="199"/>
      <c r="BJ81" s="199"/>
      <c r="BK81" s="199"/>
      <c r="BL81" s="199"/>
      <c r="BM81" s="199"/>
      <c r="BN81" s="200"/>
      <c r="BO81" s="200"/>
      <c r="BP81" s="200"/>
      <c r="BQ81" s="200"/>
      <c r="BR81" s="200"/>
      <c r="BS81" s="200"/>
      <c r="BT81" s="200"/>
      <c r="BU81" s="200"/>
      <c r="BV81" s="200"/>
      <c r="BW81" s="200"/>
      <c r="BX81" s="200"/>
      <c r="BY81" s="200"/>
      <c r="BZ81" s="199"/>
      <c r="CA81" s="200"/>
    </row>
    <row r="82" spans="2:79" ht="9" hidden="1" customHeight="1" outlineLevel="1">
      <c r="B82" s="172"/>
      <c r="C82" s="32"/>
      <c r="D82" s="32"/>
      <c r="E82" s="32"/>
      <c r="F82" s="32"/>
      <c r="G82" s="32"/>
      <c r="H82" s="32"/>
      <c r="I82" s="32"/>
      <c r="J82" s="32"/>
      <c r="K82" s="32"/>
      <c r="L82" s="32"/>
      <c r="M82" s="32"/>
      <c r="N82" s="32"/>
      <c r="O82" s="32"/>
      <c r="P82" s="32"/>
      <c r="Q82" s="32"/>
      <c r="R82" s="32"/>
      <c r="S82" s="32"/>
      <c r="T82" s="32"/>
      <c r="U82" s="32"/>
      <c r="V82" s="32"/>
      <c r="W82" s="32"/>
      <c r="X82" s="32"/>
      <c r="Y82" s="32"/>
      <c r="Z82" s="32"/>
      <c r="AA82" s="32"/>
      <c r="AB82" s="32"/>
      <c r="AC82" s="32"/>
      <c r="AD82" s="32"/>
      <c r="AE82" s="32"/>
      <c r="AF82" s="32"/>
      <c r="AG82" s="32"/>
      <c r="AH82" s="32"/>
      <c r="AI82" s="199"/>
      <c r="AJ82" s="199"/>
      <c r="AK82" s="199"/>
      <c r="AL82" s="199"/>
      <c r="AM82" s="199"/>
      <c r="AN82" s="200"/>
      <c r="AO82" s="200"/>
      <c r="AP82" s="200"/>
      <c r="AQ82" s="200"/>
      <c r="AR82" s="200"/>
      <c r="AS82" s="200"/>
      <c r="AT82" s="200"/>
      <c r="AU82" s="200"/>
      <c r="AV82" s="199"/>
      <c r="AW82" s="199"/>
      <c r="AX82" s="199"/>
      <c r="AY82" s="199"/>
      <c r="AZ82" s="199"/>
      <c r="BA82" s="199"/>
      <c r="BB82" s="199"/>
      <c r="BC82" s="199"/>
      <c r="BD82" s="199"/>
      <c r="BE82" s="199"/>
      <c r="BF82" s="199"/>
      <c r="BG82" s="199"/>
      <c r="BH82" s="199"/>
      <c r="BI82" s="199"/>
      <c r="BJ82" s="199"/>
      <c r="BK82" s="199"/>
      <c r="BL82" s="199"/>
      <c r="BM82" s="199"/>
      <c r="BN82" s="200"/>
      <c r="BO82" s="200"/>
      <c r="BP82" s="200"/>
      <c r="BQ82" s="200"/>
      <c r="BR82" s="200"/>
      <c r="BS82" s="200"/>
      <c r="BT82" s="200"/>
      <c r="BU82" s="200"/>
      <c r="BV82" s="200"/>
      <c r="BW82" s="200"/>
      <c r="BX82" s="200"/>
      <c r="BY82" s="200"/>
      <c r="BZ82" s="199"/>
      <c r="CA82" s="200"/>
    </row>
    <row r="83" spans="2:79" collapsed="1">
      <c r="B83" s="2" t="s">
        <v>311</v>
      </c>
      <c r="C83" s="97"/>
      <c r="D83" s="97"/>
      <c r="E83" s="97"/>
      <c r="F83" s="97"/>
      <c r="G83" s="97"/>
      <c r="H83" s="97"/>
      <c r="I83" s="97"/>
      <c r="J83" s="97"/>
      <c r="K83" s="97"/>
      <c r="L83" s="97"/>
      <c r="M83" s="97"/>
      <c r="N83" s="97"/>
      <c r="O83" s="97"/>
      <c r="P83" s="97"/>
      <c r="Q83" s="97"/>
      <c r="R83" s="97"/>
      <c r="S83" s="97"/>
      <c r="T83" s="97"/>
      <c r="U83" s="97"/>
      <c r="V83" s="97"/>
      <c r="W83" s="97"/>
      <c r="X83" s="97"/>
      <c r="Y83" s="97"/>
      <c r="Z83" s="97"/>
      <c r="AA83" s="97"/>
      <c r="AB83" s="97"/>
      <c r="AC83" s="97"/>
      <c r="AD83" s="97"/>
      <c r="AE83" s="97"/>
      <c r="AF83" s="97"/>
      <c r="AG83" s="97"/>
      <c r="AH83" s="97"/>
      <c r="AI83" s="251"/>
      <c r="AJ83" s="251"/>
      <c r="AK83" s="251"/>
      <c r="AL83" s="251"/>
      <c r="AM83" s="251"/>
      <c r="AN83" s="251"/>
      <c r="AO83" s="251"/>
      <c r="AP83" s="251"/>
      <c r="AQ83" s="251"/>
      <c r="AR83" s="251"/>
      <c r="AS83" s="251"/>
      <c r="AT83" s="251"/>
      <c r="AU83" s="350"/>
      <c r="AV83" s="251"/>
      <c r="AW83" s="251"/>
      <c r="AX83" s="251"/>
      <c r="AY83" s="251"/>
      <c r="AZ83" s="251"/>
      <c r="BA83" s="251"/>
      <c r="BB83" s="251"/>
      <c r="BC83" s="251"/>
      <c r="BD83" s="251"/>
      <c r="BE83" s="251"/>
      <c r="BF83" s="251"/>
      <c r="BG83" s="251"/>
      <c r="BH83" s="251"/>
      <c r="BI83" s="251"/>
      <c r="BJ83" s="251"/>
      <c r="BK83" s="251"/>
      <c r="BL83" s="251"/>
      <c r="BM83" s="251"/>
      <c r="BN83" s="251"/>
      <c r="BO83" s="251"/>
      <c r="BP83" s="350"/>
      <c r="BQ83" s="350"/>
      <c r="BR83" s="251"/>
      <c r="BS83" s="251"/>
      <c r="BT83" s="251"/>
      <c r="BU83" s="251"/>
      <c r="BV83" s="251"/>
      <c r="BW83" s="251"/>
      <c r="BX83" s="251"/>
      <c r="BY83" s="251"/>
      <c r="BZ83" s="167"/>
      <c r="CA83" s="167"/>
    </row>
    <row r="84" spans="2:79">
      <c r="B84" s="72" t="s">
        <v>206</v>
      </c>
      <c r="C84" s="32"/>
      <c r="D84" s="32"/>
      <c r="E84" s="32"/>
      <c r="F84" s="32"/>
      <c r="G84" s="32"/>
      <c r="H84" s="32"/>
      <c r="I84" s="32"/>
      <c r="J84" s="32"/>
      <c r="K84" s="32"/>
      <c r="L84" s="32"/>
      <c r="M84" s="32"/>
      <c r="N84" s="32"/>
      <c r="O84" s="32"/>
      <c r="P84" s="32"/>
      <c r="Q84" s="32"/>
      <c r="R84" s="32"/>
      <c r="S84" s="107">
        <v>1877</v>
      </c>
      <c r="T84" s="107">
        <v>1840</v>
      </c>
      <c r="U84" s="107">
        <v>1792</v>
      </c>
      <c r="V84" s="107">
        <v>1637</v>
      </c>
      <c r="W84" s="40">
        <v>2060</v>
      </c>
      <c r="X84" s="40">
        <v>1967</v>
      </c>
      <c r="Y84" s="40">
        <v>1861</v>
      </c>
      <c r="Z84" s="57">
        <v>1675</v>
      </c>
      <c r="AA84" s="57">
        <v>2007</v>
      </c>
      <c r="AB84" s="57">
        <v>2072</v>
      </c>
      <c r="AC84" s="57">
        <v>2018</v>
      </c>
      <c r="AD84" s="57">
        <v>1815</v>
      </c>
      <c r="AE84" s="57">
        <v>2064</v>
      </c>
      <c r="AF84" s="57">
        <v>2108</v>
      </c>
      <c r="AG84" s="57">
        <v>2022</v>
      </c>
      <c r="AH84" s="28">
        <v>1972</v>
      </c>
      <c r="AI84" s="57">
        <v>2120</v>
      </c>
      <c r="AJ84" s="57">
        <v>2165</v>
      </c>
      <c r="AK84" s="57">
        <v>2118</v>
      </c>
      <c r="AL84" s="28">
        <v>1883</v>
      </c>
      <c r="AM84" s="28">
        <v>2189</v>
      </c>
      <c r="AN84" s="187">
        <f>BN84-AM84</f>
        <v>2197.7572311827953</v>
      </c>
      <c r="AO84" s="187">
        <f>AK84*(1+AO85)</f>
        <v>2181.54</v>
      </c>
      <c r="AP84" s="187">
        <f>BO84-AO84</f>
        <v>1918.6382688172062</v>
      </c>
      <c r="AQ84" s="187"/>
      <c r="AR84" s="187"/>
      <c r="AS84" s="187"/>
      <c r="AT84" s="187"/>
      <c r="AU84" s="184"/>
      <c r="AV84" s="201">
        <f>Model!R117</f>
        <v>3227</v>
      </c>
      <c r="AW84" s="201">
        <f>Model!S117</f>
        <v>3005</v>
      </c>
      <c r="AX84" s="201">
        <f>Model!T117</f>
        <v>3337</v>
      </c>
      <c r="AY84" s="201">
        <f>Model!U117</f>
        <v>3059</v>
      </c>
      <c r="AZ84" s="201">
        <f>Model!V117</f>
        <v>3401</v>
      </c>
      <c r="BA84" s="201">
        <f>Model!W117</f>
        <v>3311</v>
      </c>
      <c r="BB84" s="201">
        <f>Model!X117</f>
        <v>3564</v>
      </c>
      <c r="BC84" s="201">
        <f>Model!Y117</f>
        <v>3628</v>
      </c>
      <c r="BD84" s="201">
        <f>Model!Z117</f>
        <v>3717</v>
      </c>
      <c r="BE84" s="201">
        <f>Model!AA117</f>
        <v>3429</v>
      </c>
      <c r="BF84" s="201">
        <f>Model!AB117</f>
        <v>4027</v>
      </c>
      <c r="BG84" s="201">
        <f>Model!AC117</f>
        <v>3536</v>
      </c>
      <c r="BH84" s="201">
        <f>Model!AD117</f>
        <v>4079</v>
      </c>
      <c r="BI84" s="201">
        <f>Model!AE117</f>
        <v>3833</v>
      </c>
      <c r="BJ84" s="201">
        <f>Model!AF117</f>
        <v>4172</v>
      </c>
      <c r="BK84" s="201">
        <f>Model!AG117</f>
        <v>3994</v>
      </c>
      <c r="BL84" s="201">
        <f>Model!AH117</f>
        <v>4285</v>
      </c>
      <c r="BM84" s="201">
        <f>Model!AI117</f>
        <v>4001</v>
      </c>
      <c r="BN84" s="204">
        <f>Model!AJ117</f>
        <v>4386.7572311827953</v>
      </c>
      <c r="BO84" s="204">
        <f>Model!AK117</f>
        <v>4100.1782688172061</v>
      </c>
      <c r="BP84" s="200"/>
      <c r="BQ84" s="200"/>
      <c r="BR84" s="201">
        <f>Model!C117</f>
        <v>6232</v>
      </c>
      <c r="BS84" s="201">
        <f>Model!D117</f>
        <v>6396</v>
      </c>
      <c r="BT84" s="201">
        <f>Model!E117</f>
        <v>6712</v>
      </c>
      <c r="BU84" s="201">
        <f>Model!F117</f>
        <v>7192</v>
      </c>
      <c r="BV84" s="201">
        <f>Model!G117</f>
        <v>7146</v>
      </c>
      <c r="BW84" s="201">
        <f>Model!H117</f>
        <v>7563</v>
      </c>
      <c r="BX84" s="201">
        <f>Model!I117</f>
        <v>7912</v>
      </c>
      <c r="BY84" s="201">
        <f>Model!J117</f>
        <v>8166</v>
      </c>
      <c r="BZ84" s="201">
        <f>Model!K117</f>
        <v>8286</v>
      </c>
      <c r="CA84" s="204">
        <f>Model!L117</f>
        <v>8486.9355000000014</v>
      </c>
    </row>
    <row r="85" spans="2:79">
      <c r="B85" s="73" t="s">
        <v>265</v>
      </c>
      <c r="C85" s="32"/>
      <c r="D85" s="32"/>
      <c r="E85" s="32"/>
      <c r="F85" s="32"/>
      <c r="G85" s="32"/>
      <c r="H85" s="32"/>
      <c r="I85" s="32"/>
      <c r="J85" s="32"/>
      <c r="K85" s="32"/>
      <c r="L85" s="32"/>
      <c r="M85" s="32"/>
      <c r="N85" s="32"/>
      <c r="O85" s="32"/>
      <c r="P85" s="32"/>
      <c r="Q85" s="32"/>
      <c r="R85" s="32"/>
      <c r="S85" s="32"/>
      <c r="T85" s="32"/>
      <c r="U85" s="32"/>
      <c r="V85" s="32"/>
      <c r="W85" s="82">
        <f t="shared" ref="W85:AP85" si="155">W84/S84-1</f>
        <v>9.7496004262120461E-2</v>
      </c>
      <c r="X85" s="82">
        <f t="shared" si="155"/>
        <v>6.9021739130434856E-2</v>
      </c>
      <c r="Y85" s="82">
        <f t="shared" si="155"/>
        <v>3.8504464285714191E-2</v>
      </c>
      <c r="Z85" s="82">
        <f t="shared" si="155"/>
        <v>2.3213194868662246E-2</v>
      </c>
      <c r="AA85" s="82">
        <f t="shared" si="155"/>
        <v>-2.572815533980588E-2</v>
      </c>
      <c r="AB85" s="82">
        <f t="shared" si="155"/>
        <v>5.3380782918149405E-2</v>
      </c>
      <c r="AC85" s="82">
        <f t="shared" si="155"/>
        <v>8.4363245566899447E-2</v>
      </c>
      <c r="AD85" s="82">
        <f t="shared" si="155"/>
        <v>8.3582089552238781E-2</v>
      </c>
      <c r="AE85" s="82">
        <f t="shared" si="155"/>
        <v>2.8400597907324299E-2</v>
      </c>
      <c r="AF85" s="82">
        <f t="shared" si="155"/>
        <v>1.7374517374517451E-2</v>
      </c>
      <c r="AG85" s="82">
        <f t="shared" si="155"/>
        <v>1.982160555004997E-3</v>
      </c>
      <c r="AH85" s="82">
        <f t="shared" si="155"/>
        <v>8.6501377410468372E-2</v>
      </c>
      <c r="AI85" s="244">
        <f t="shared" si="155"/>
        <v>2.7131782945736482E-2</v>
      </c>
      <c r="AJ85" s="244">
        <f t="shared" si="155"/>
        <v>2.7039848197343508E-2</v>
      </c>
      <c r="AK85" s="244">
        <f t="shared" si="155"/>
        <v>4.7477744807121747E-2</v>
      </c>
      <c r="AL85" s="244">
        <f t="shared" si="155"/>
        <v>-4.5131845841784979E-2</v>
      </c>
      <c r="AM85" s="244">
        <f t="shared" si="155"/>
        <v>3.2547169811320664E-2</v>
      </c>
      <c r="AN85" s="166">
        <f t="shared" si="155"/>
        <v>1.5130360823462086E-2</v>
      </c>
      <c r="AO85" s="166">
        <f>AO86+AO87</f>
        <v>3.0000000000000002E-2</v>
      </c>
      <c r="AP85" s="166">
        <f t="shared" si="155"/>
        <v>1.892632438513342E-2</v>
      </c>
      <c r="AQ85" s="166"/>
      <c r="AR85" s="166"/>
      <c r="AS85" s="166"/>
      <c r="AT85" s="166"/>
      <c r="AU85" s="184"/>
      <c r="AV85" s="95"/>
      <c r="AW85" s="95"/>
      <c r="AX85" s="95">
        <f t="shared" ref="AX85:BG85" si="156">AX84/AV84-1</f>
        <v>3.4087387666563274E-2</v>
      </c>
      <c r="AY85" s="95">
        <f t="shared" si="156"/>
        <v>1.7970049916805397E-2</v>
      </c>
      <c r="AZ85" s="95">
        <f t="shared" si="156"/>
        <v>1.9178903206472864E-2</v>
      </c>
      <c r="BA85" s="95">
        <f t="shared" si="156"/>
        <v>8.237986270022879E-2</v>
      </c>
      <c r="BB85" s="95">
        <f t="shared" si="156"/>
        <v>4.7927080270508737E-2</v>
      </c>
      <c r="BC85" s="95">
        <f t="shared" si="156"/>
        <v>9.5741467834491001E-2</v>
      </c>
      <c r="BD85" s="95">
        <f t="shared" si="156"/>
        <v>4.2929292929293039E-2</v>
      </c>
      <c r="BE85" s="95">
        <f t="shared" si="156"/>
        <v>-5.485115766262405E-2</v>
      </c>
      <c r="BF85" s="95">
        <f t="shared" si="156"/>
        <v>8.3400591875168129E-2</v>
      </c>
      <c r="BG85" s="95">
        <f t="shared" si="156"/>
        <v>3.1204432779236013E-2</v>
      </c>
      <c r="BH85" s="95">
        <f>BH84/BF84-1</f>
        <v>1.2912838341196942E-2</v>
      </c>
      <c r="BI85" s="95">
        <f t="shared" ref="BI85:BO85" si="157">BI84/BG84-1</f>
        <v>8.3993212669683182E-2</v>
      </c>
      <c r="BJ85" s="95">
        <f t="shared" si="157"/>
        <v>2.2799705810247595E-2</v>
      </c>
      <c r="BK85" s="95">
        <f t="shared" si="157"/>
        <v>4.2003652491521049E-2</v>
      </c>
      <c r="BL85" s="95">
        <f t="shared" si="157"/>
        <v>2.7085330776605909E-2</v>
      </c>
      <c r="BM85" s="95">
        <f t="shared" si="157"/>
        <v>1.7526289434151021E-3</v>
      </c>
      <c r="BN85" s="158">
        <f t="shared" si="157"/>
        <v>2.3747311827956974E-2</v>
      </c>
      <c r="BO85" s="158">
        <f t="shared" si="157"/>
        <v>2.4788370111773483E-2</v>
      </c>
      <c r="BP85" s="200"/>
      <c r="BQ85" s="200"/>
      <c r="BR85" s="199"/>
      <c r="BS85" s="299">
        <f t="shared" ref="BS85:BY85" si="158">BS84/BR84-1</f>
        <v>2.6315789473684292E-2</v>
      </c>
      <c r="BT85" s="299">
        <f t="shared" si="158"/>
        <v>4.9405878674171344E-2</v>
      </c>
      <c r="BU85" s="299">
        <f t="shared" si="158"/>
        <v>7.151370679380209E-2</v>
      </c>
      <c r="BV85" s="299">
        <f t="shared" si="158"/>
        <v>-6.3959955506117661E-3</v>
      </c>
      <c r="BW85" s="299">
        <f t="shared" si="158"/>
        <v>5.8354324097397159E-2</v>
      </c>
      <c r="BX85" s="299">
        <f t="shared" si="158"/>
        <v>4.614570937458673E-2</v>
      </c>
      <c r="BY85" s="299">
        <f t="shared" si="158"/>
        <v>3.2103134479271933E-2</v>
      </c>
      <c r="BZ85" s="299">
        <f>BZ84/BY84-1</f>
        <v>1.4695077149154967E-2</v>
      </c>
      <c r="CA85" s="277">
        <f>CA84/BZ84-1</f>
        <v>2.4250000000000105E-2</v>
      </c>
    </row>
    <row r="86" spans="2:79">
      <c r="B86" s="73" t="s">
        <v>492</v>
      </c>
      <c r="C86" s="32"/>
      <c r="D86" s="32"/>
      <c r="E86" s="32"/>
      <c r="F86" s="32"/>
      <c r="G86" s="32"/>
      <c r="H86" s="32"/>
      <c r="I86" s="32"/>
      <c r="J86" s="32"/>
      <c r="K86" s="32"/>
      <c r="L86" s="32"/>
      <c r="M86" s="32"/>
      <c r="N86" s="32"/>
      <c r="O86" s="32"/>
      <c r="P86" s="32"/>
      <c r="Q86" s="32"/>
      <c r="R86" s="32"/>
      <c r="S86" s="32"/>
      <c r="T86" s="32"/>
      <c r="U86" s="32"/>
      <c r="V86" s="32"/>
      <c r="W86" s="82"/>
      <c r="X86" s="82"/>
      <c r="Y86" s="82"/>
      <c r="Z86" s="82"/>
      <c r="AA86" s="82"/>
      <c r="AB86" s="82"/>
      <c r="AC86" s="82"/>
      <c r="AD86" s="82"/>
      <c r="AE86" s="82"/>
      <c r="AF86" s="82"/>
      <c r="AG86" s="82"/>
      <c r="AH86" s="82"/>
      <c r="AI86" s="244">
        <f>AI34</f>
        <v>3.4000000000000002E-2</v>
      </c>
      <c r="AJ86" s="244">
        <f t="shared" ref="AJ86:AP86" si="159">AJ34</f>
        <v>3.2000000000000001E-2</v>
      </c>
      <c r="AK86" s="244">
        <f t="shared" si="159"/>
        <v>3.7999999999999999E-2</v>
      </c>
      <c r="AL86" s="244">
        <f t="shared" si="159"/>
        <v>4.9000000000000002E-2</v>
      </c>
      <c r="AM86" s="244">
        <f t="shared" si="159"/>
        <v>3.6999999999999998E-2</v>
      </c>
      <c r="AN86" s="166">
        <f t="shared" si="159"/>
        <v>0.04</v>
      </c>
      <c r="AO86" s="166">
        <f t="shared" si="159"/>
        <v>3.5000000000000003E-2</v>
      </c>
      <c r="AP86" s="166">
        <f t="shared" si="159"/>
        <v>2.5000000000000001E-2</v>
      </c>
      <c r="AQ86" s="166"/>
      <c r="AR86" s="166"/>
      <c r="AS86" s="166"/>
      <c r="AT86" s="166"/>
      <c r="AU86" s="184"/>
      <c r="AV86" s="95"/>
      <c r="AW86" s="95"/>
      <c r="AX86" s="244">
        <f t="shared" ref="AX86:BE86" si="160">AX34</f>
        <v>0.03</v>
      </c>
      <c r="AY86" s="244">
        <f t="shared" si="160"/>
        <v>3.7499999999999999E-2</v>
      </c>
      <c r="AZ86" s="244">
        <f t="shared" si="160"/>
        <v>3.2000000000000001E-2</v>
      </c>
      <c r="BA86" s="244">
        <f t="shared" si="160"/>
        <v>3.6500000000000005E-2</v>
      </c>
      <c r="BB86" s="244">
        <f t="shared" si="160"/>
        <v>4.65E-2</v>
      </c>
      <c r="BC86" s="244">
        <f t="shared" si="160"/>
        <v>0.13650000000000001</v>
      </c>
      <c r="BD86" s="244">
        <f t="shared" si="160"/>
        <v>3.3000000000000002E-2</v>
      </c>
      <c r="BE86" s="244">
        <f t="shared" si="160"/>
        <v>-5.8499999999999996E-2</v>
      </c>
      <c r="BF86" s="244">
        <f t="shared" ref="BF86:BM86" si="161">BF34</f>
        <v>7.4999999999999997E-2</v>
      </c>
      <c r="BG86" s="244">
        <f t="shared" si="161"/>
        <v>2.2499999999999999E-2</v>
      </c>
      <c r="BH86" s="244">
        <f t="shared" si="161"/>
        <v>3.4999999999999996E-3</v>
      </c>
      <c r="BI86" s="244">
        <f t="shared" si="161"/>
        <v>7.0000000000000007E-2</v>
      </c>
      <c r="BJ86" s="244">
        <f t="shared" si="161"/>
        <v>2.5500000000000002E-2</v>
      </c>
      <c r="BK86" s="244">
        <f t="shared" si="161"/>
        <v>1.2999999999999999E-2</v>
      </c>
      <c r="BL86" s="244">
        <f t="shared" si="161"/>
        <v>3.3000000000000002E-2</v>
      </c>
      <c r="BM86" s="244">
        <f t="shared" si="161"/>
        <v>4.3499999999999997E-2</v>
      </c>
      <c r="BN86" s="166">
        <f t="shared" ref="BN86:BO86" si="162">BN34</f>
        <v>3.85E-2</v>
      </c>
      <c r="BO86" s="166">
        <f t="shared" si="162"/>
        <v>3.0000000000000002E-2</v>
      </c>
      <c r="BP86" s="200"/>
      <c r="BQ86" s="200"/>
      <c r="BR86" s="244">
        <f t="shared" ref="BR86:CA86" si="163">BR34</f>
        <v>0</v>
      </c>
      <c r="BS86" s="244">
        <f t="shared" si="163"/>
        <v>0</v>
      </c>
      <c r="BT86" s="244">
        <f t="shared" si="163"/>
        <v>0</v>
      </c>
      <c r="BU86" s="244">
        <f t="shared" si="163"/>
        <v>0</v>
      </c>
      <c r="BV86" s="244">
        <f t="shared" si="163"/>
        <v>0</v>
      </c>
      <c r="BW86" s="244">
        <f t="shared" si="163"/>
        <v>0</v>
      </c>
      <c r="BX86" s="244">
        <f t="shared" si="163"/>
        <v>0</v>
      </c>
      <c r="BY86" s="244">
        <f t="shared" si="163"/>
        <v>0</v>
      </c>
      <c r="BZ86" s="244">
        <f t="shared" si="163"/>
        <v>0</v>
      </c>
      <c r="CA86" s="166">
        <f t="shared" si="163"/>
        <v>3.4250000000000003E-2</v>
      </c>
    </row>
    <row r="87" spans="2:79">
      <c r="B87" s="73" t="s">
        <v>77</v>
      </c>
      <c r="C87" s="32"/>
      <c r="D87" s="32"/>
      <c r="E87" s="32"/>
      <c r="F87" s="32"/>
      <c r="G87" s="32"/>
      <c r="H87" s="32"/>
      <c r="I87" s="32"/>
      <c r="J87" s="32"/>
      <c r="K87" s="32"/>
      <c r="L87" s="32"/>
      <c r="M87" s="32"/>
      <c r="N87" s="32"/>
      <c r="O87" s="32"/>
      <c r="P87" s="32"/>
      <c r="Q87" s="32"/>
      <c r="R87" s="32"/>
      <c r="S87" s="32"/>
      <c r="T87" s="32"/>
      <c r="U87" s="32"/>
      <c r="V87" s="32"/>
      <c r="W87" s="82"/>
      <c r="X87" s="82"/>
      <c r="Y87" s="82"/>
      <c r="Z87" s="82"/>
      <c r="AA87" s="82"/>
      <c r="AB87" s="82"/>
      <c r="AC87" s="82"/>
      <c r="AD87" s="82"/>
      <c r="AE87" s="82"/>
      <c r="AF87" s="82"/>
      <c r="AG87" s="82"/>
      <c r="AH87" s="82"/>
      <c r="AI87" s="244">
        <f>AI85-AI86</f>
        <v>-6.8682170542635201E-3</v>
      </c>
      <c r="AJ87" s="244">
        <f t="shared" ref="AJ87:AP87" si="164">AJ85-AJ86</f>
        <v>-4.9601518026564928E-3</v>
      </c>
      <c r="AK87" s="244">
        <f t="shared" si="164"/>
        <v>9.4777448071217477E-3</v>
      </c>
      <c r="AL87" s="244">
        <f t="shared" si="164"/>
        <v>-9.4131845841784981E-2</v>
      </c>
      <c r="AM87" s="244">
        <f t="shared" si="164"/>
        <v>-4.4528301886793339E-3</v>
      </c>
      <c r="AN87" s="166">
        <f t="shared" si="164"/>
        <v>-2.4869639176537915E-2</v>
      </c>
      <c r="AO87" s="245">
        <v>-5.0000000000000001E-3</v>
      </c>
      <c r="AP87" s="166">
        <f t="shared" si="164"/>
        <v>-6.0736756148665819E-3</v>
      </c>
      <c r="AQ87" s="166"/>
      <c r="AR87" s="166"/>
      <c r="AS87" s="166"/>
      <c r="AT87" s="166"/>
      <c r="AU87" s="184"/>
      <c r="AV87" s="95"/>
      <c r="AW87" s="95"/>
      <c r="AX87" s="244">
        <f t="shared" ref="AX87" si="165">AX85-AX86</f>
        <v>4.0873876665632747E-3</v>
      </c>
      <c r="AY87" s="244">
        <f t="shared" ref="AY87" si="166">AY85-AY86</f>
        <v>-1.9529950083194601E-2</v>
      </c>
      <c r="AZ87" s="244">
        <f t="shared" ref="AZ87" si="167">AZ85-AZ86</f>
        <v>-1.2821096793527137E-2</v>
      </c>
      <c r="BA87" s="244">
        <f t="shared" ref="BA87" si="168">BA85-BA86</f>
        <v>4.5879862700228785E-2</v>
      </c>
      <c r="BB87" s="244">
        <f t="shared" ref="BB87" si="169">BB85-BB86</f>
        <v>1.4270802705087376E-3</v>
      </c>
      <c r="BC87" s="244">
        <f t="shared" ref="BC87" si="170">BC85-BC86</f>
        <v>-4.0758532165509009E-2</v>
      </c>
      <c r="BD87" s="244">
        <f t="shared" ref="BD87" si="171">BD85-BD86</f>
        <v>9.9292929292930376E-3</v>
      </c>
      <c r="BE87" s="244">
        <f t="shared" ref="BE87" si="172">BE85-BE86</f>
        <v>3.648842337375946E-3</v>
      </c>
      <c r="BF87" s="244">
        <f t="shared" ref="BF87" si="173">BF85-BF86</f>
        <v>8.4005918751681313E-3</v>
      </c>
      <c r="BG87" s="244">
        <f t="shared" ref="BG87" si="174">BG85-BG86</f>
        <v>8.7044327792360141E-3</v>
      </c>
      <c r="BH87" s="244">
        <f t="shared" ref="BH87" si="175">BH85-BH86</f>
        <v>9.412838341196942E-3</v>
      </c>
      <c r="BI87" s="244">
        <f t="shared" ref="BI87" si="176">BI85-BI86</f>
        <v>1.3993212669683175E-2</v>
      </c>
      <c r="BJ87" s="244">
        <f t="shared" ref="BJ87" si="177">BJ85-BJ86</f>
        <v>-2.7002941897524071E-3</v>
      </c>
      <c r="BK87" s="244">
        <f t="shared" ref="BK87" si="178">BK85-BK86</f>
        <v>2.9003652491521051E-2</v>
      </c>
      <c r="BL87" s="244">
        <f t="shared" ref="BL87" si="179">BL85-BL86</f>
        <v>-5.9146692233940923E-3</v>
      </c>
      <c r="BM87" s="244">
        <f t="shared" ref="BM87" si="180">BM85-BM86</f>
        <v>-4.1747371056584895E-2</v>
      </c>
      <c r="BN87" s="166">
        <f t="shared" ref="BN87" si="181">BN85-BN86</f>
        <v>-1.4752688172043026E-2</v>
      </c>
      <c r="BO87" s="166">
        <f t="shared" ref="BO87" si="182">BO85-BO86</f>
        <v>-5.211629888226519E-3</v>
      </c>
      <c r="BP87" s="200"/>
      <c r="BQ87" s="200"/>
      <c r="BR87" s="244">
        <f t="shared" ref="BR87" si="183">BR85-BR86</f>
        <v>0</v>
      </c>
      <c r="BS87" s="244">
        <f t="shared" ref="BS87" si="184">BS85-BS86</f>
        <v>2.6315789473684292E-2</v>
      </c>
      <c r="BT87" s="244">
        <f t="shared" ref="BT87" si="185">BT85-BT86</f>
        <v>4.9405878674171344E-2</v>
      </c>
      <c r="BU87" s="244">
        <f t="shared" ref="BU87" si="186">BU85-BU86</f>
        <v>7.151370679380209E-2</v>
      </c>
      <c r="BV87" s="244">
        <f t="shared" ref="BV87" si="187">BV85-BV86</f>
        <v>-6.3959955506117661E-3</v>
      </c>
      <c r="BW87" s="244">
        <f t="shared" ref="BW87" si="188">BW85-BW86</f>
        <v>5.8354324097397159E-2</v>
      </c>
      <c r="BX87" s="244">
        <f t="shared" ref="BX87" si="189">BX85-BX86</f>
        <v>4.614570937458673E-2</v>
      </c>
      <c r="BY87" s="244">
        <f t="shared" ref="BY87" si="190">BY85-BY86</f>
        <v>3.2103134479271933E-2</v>
      </c>
      <c r="BZ87" s="244">
        <f t="shared" ref="BZ87" si="191">BZ85-BZ86</f>
        <v>1.4695077149154967E-2</v>
      </c>
      <c r="CA87" s="166">
        <f t="shared" ref="CA87" si="192">CA85-CA86</f>
        <v>-9.9999999999998979E-3</v>
      </c>
    </row>
    <row r="88" spans="2:79">
      <c r="B88" s="73" t="s">
        <v>488</v>
      </c>
      <c r="C88" s="32"/>
      <c r="D88" s="32"/>
      <c r="E88" s="32"/>
      <c r="F88" s="32"/>
      <c r="G88" s="32"/>
      <c r="H88" s="32"/>
      <c r="I88" s="32"/>
      <c r="J88" s="32"/>
      <c r="K88" s="32"/>
      <c r="L88" s="32"/>
      <c r="M88" s="32"/>
      <c r="N88" s="32"/>
      <c r="O88" s="32"/>
      <c r="P88" s="32"/>
      <c r="Q88" s="32"/>
      <c r="R88" s="32"/>
      <c r="S88" s="178">
        <f t="shared" ref="S88:AN88" si="193">S84/S8</f>
        <v>1.0799769850402763</v>
      </c>
      <c r="T88" s="178">
        <f t="shared" si="193"/>
        <v>1.0654313839027214</v>
      </c>
      <c r="U88" s="178">
        <f t="shared" si="193"/>
        <v>1.0749850029994001</v>
      </c>
      <c r="V88" s="178">
        <f t="shared" si="193"/>
        <v>1.0766607317355552</v>
      </c>
      <c r="W88" s="178">
        <f t="shared" si="193"/>
        <v>1.0499490316004076</v>
      </c>
      <c r="X88" s="178">
        <f t="shared" si="193"/>
        <v>1.0653896649080916</v>
      </c>
      <c r="Y88" s="178">
        <f t="shared" si="193"/>
        <v>1.0720046082949308</v>
      </c>
      <c r="Z88" s="178">
        <f t="shared" si="193"/>
        <v>1.1034255599472991</v>
      </c>
      <c r="AA88" s="178">
        <f t="shared" si="193"/>
        <v>1.1137624861265261</v>
      </c>
      <c r="AB88" s="178">
        <f t="shared" si="193"/>
        <v>1.0899526564965807</v>
      </c>
      <c r="AC88" s="178">
        <f t="shared" si="193"/>
        <v>1.0861141011840689</v>
      </c>
      <c r="AD88" s="178">
        <f t="shared" si="193"/>
        <v>1.0810005955926147</v>
      </c>
      <c r="AE88" s="178">
        <f t="shared" si="193"/>
        <v>1.0828961175236096</v>
      </c>
      <c r="AF88" s="178">
        <f t="shared" si="193"/>
        <v>1.0799180327868851</v>
      </c>
      <c r="AG88" s="178">
        <f t="shared" si="193"/>
        <v>1.0732484076433122</v>
      </c>
      <c r="AH88" s="178">
        <f t="shared" si="193"/>
        <v>1.0901050304035378</v>
      </c>
      <c r="AI88" s="303">
        <f t="shared" si="193"/>
        <v>1.0967408173823072</v>
      </c>
      <c r="AJ88" s="303">
        <f t="shared" si="193"/>
        <v>1.1034658511722732</v>
      </c>
      <c r="AK88" s="303">
        <f t="shared" si="193"/>
        <v>1.1042752867570387</v>
      </c>
      <c r="AL88" s="303">
        <f t="shared" si="193"/>
        <v>1.0797018348623852</v>
      </c>
      <c r="AM88" s="303">
        <f t="shared" si="193"/>
        <v>1.1055555555555556</v>
      </c>
      <c r="AN88" s="304">
        <f t="shared" si="193"/>
        <v>1.1347670254325153</v>
      </c>
      <c r="AO88" s="305">
        <v>1.1499999999999999</v>
      </c>
      <c r="AP88" s="304">
        <f>AP84/AP8</f>
        <v>1.1307234984369807</v>
      </c>
      <c r="AQ88" s="304"/>
      <c r="AR88" s="304"/>
      <c r="AS88" s="304"/>
      <c r="AT88" s="304"/>
      <c r="AU88" s="184"/>
      <c r="AV88" s="199"/>
      <c r="AW88" s="199"/>
      <c r="AX88" s="303">
        <f t="shared" ref="AX88:BO88" si="194">AX84/AX8</f>
        <v>1.0905228758169934</v>
      </c>
      <c r="AY88" s="303">
        <f t="shared" si="194"/>
        <v>1.0778717406624383</v>
      </c>
      <c r="AZ88" s="303">
        <f t="shared" si="194"/>
        <v>1.0820871778555521</v>
      </c>
      <c r="BA88" s="303">
        <f t="shared" si="194"/>
        <v>1.0517789072426937</v>
      </c>
      <c r="BB88" s="303">
        <f t="shared" si="194"/>
        <v>1.0585090585090584</v>
      </c>
      <c r="BC88" s="303">
        <f t="shared" si="194"/>
        <v>1.0497685185185186</v>
      </c>
      <c r="BD88" s="303">
        <f t="shared" si="194"/>
        <v>1.0727272727272728</v>
      </c>
      <c r="BE88" s="303">
        <f t="shared" si="194"/>
        <v>1.0759334797615312</v>
      </c>
      <c r="BF88" s="303">
        <f t="shared" si="194"/>
        <v>1.0492443981240229</v>
      </c>
      <c r="BG88" s="303">
        <f t="shared" si="194"/>
        <v>1.0866625691456668</v>
      </c>
      <c r="BH88" s="303">
        <f t="shared" si="194"/>
        <v>1.1015392924655685</v>
      </c>
      <c r="BI88" s="303">
        <f t="shared" si="194"/>
        <v>1.0836867401752899</v>
      </c>
      <c r="BJ88" s="303">
        <f t="shared" si="194"/>
        <v>1.0813893208916536</v>
      </c>
      <c r="BK88" s="303">
        <f t="shared" si="194"/>
        <v>1.0815055510425129</v>
      </c>
      <c r="BL88" s="303">
        <f t="shared" si="194"/>
        <v>1.1001283697047497</v>
      </c>
      <c r="BM88" s="303">
        <f t="shared" si="194"/>
        <v>1.0925723648279628</v>
      </c>
      <c r="BN88" s="304">
        <f t="shared" si="194"/>
        <v>1.1200000000000001</v>
      </c>
      <c r="BO88" s="304">
        <f t="shared" si="194"/>
        <v>1.1408985790274255</v>
      </c>
      <c r="BP88" s="200"/>
      <c r="BQ88" s="200"/>
      <c r="BR88" s="303">
        <f t="shared" ref="BR88:CA88" si="195">BR84/BR8</f>
        <v>1.0665753893547836</v>
      </c>
      <c r="BS88" s="303">
        <f t="shared" si="195"/>
        <v>1.0844354018311293</v>
      </c>
      <c r="BT88" s="303">
        <f t="shared" si="195"/>
        <v>1.0669209982514705</v>
      </c>
      <c r="BU88" s="303">
        <f t="shared" si="195"/>
        <v>1.0540817822072401</v>
      </c>
      <c r="BV88" s="303">
        <f t="shared" si="195"/>
        <v>1.0742633794347565</v>
      </c>
      <c r="BW88" s="303">
        <f t="shared" si="195"/>
        <v>1.0664128595600677</v>
      </c>
      <c r="BX88" s="303">
        <f t="shared" si="195"/>
        <v>1.0928176795580111</v>
      </c>
      <c r="BY88" s="303">
        <f t="shared" si="195"/>
        <v>1.0814461660707191</v>
      </c>
      <c r="BZ88" s="303">
        <f t="shared" si="195"/>
        <v>1.0964668519253673</v>
      </c>
      <c r="CA88" s="304">
        <f t="shared" si="195"/>
        <v>1.1299999999999999</v>
      </c>
    </row>
    <row r="89" spans="2:79">
      <c r="B89" s="73"/>
      <c r="C89" s="32"/>
      <c r="D89" s="32"/>
      <c r="E89" s="32"/>
      <c r="F89" s="32"/>
      <c r="G89" s="32"/>
      <c r="H89" s="32"/>
      <c r="I89" s="32"/>
      <c r="J89" s="32"/>
      <c r="K89" s="32"/>
      <c r="L89" s="32"/>
      <c r="M89" s="32"/>
      <c r="N89" s="32"/>
      <c r="O89" s="32"/>
      <c r="P89" s="32"/>
      <c r="Q89" s="32"/>
      <c r="R89" s="32"/>
      <c r="S89" s="178"/>
      <c r="T89" s="178"/>
      <c r="U89" s="178"/>
      <c r="V89" s="178"/>
      <c r="W89" s="178"/>
      <c r="X89" s="178"/>
      <c r="Y89" s="178"/>
      <c r="Z89" s="178"/>
      <c r="AA89" s="178"/>
      <c r="AB89" s="178"/>
      <c r="AC89" s="178"/>
      <c r="AD89" s="178"/>
      <c r="AE89" s="178"/>
      <c r="AF89" s="178"/>
      <c r="AG89" s="178"/>
      <c r="AH89" s="178"/>
      <c r="AI89" s="244">
        <f t="shared" ref="AI89:AL89" si="196">(1/AI88)/(1/AE88)-1</f>
        <v>-1.2623492842859685E-2</v>
      </c>
      <c r="AJ89" s="244">
        <f t="shared" si="196"/>
        <v>-2.1339870518305548E-2</v>
      </c>
      <c r="AK89" s="244">
        <f t="shared" si="196"/>
        <v>-2.8097051057661582E-2</v>
      </c>
      <c r="AL89" s="244">
        <f t="shared" si="196"/>
        <v>9.6352485521880027E-3</v>
      </c>
      <c r="AM89" s="244">
        <f>(1/AM88)/(1/AI88)-1</f>
        <v>-7.9731300059533439E-3</v>
      </c>
      <c r="AN89" s="166">
        <f t="shared" ref="AN89:AP89" si="197">(1/AN88)/(1/AJ88)-1</f>
        <v>-2.7583789058649888E-2</v>
      </c>
      <c r="AO89" s="166">
        <f t="shared" si="197"/>
        <v>-3.9760620211270581E-2</v>
      </c>
      <c r="AP89" s="166">
        <f t="shared" si="197"/>
        <v>-4.5123024015264246E-2</v>
      </c>
      <c r="AQ89" s="166"/>
      <c r="AR89" s="166"/>
      <c r="AS89" s="166"/>
      <c r="AT89" s="166"/>
      <c r="AU89" s="184"/>
      <c r="AV89" s="199"/>
      <c r="AW89" s="199"/>
      <c r="AX89" s="303"/>
      <c r="AY89" s="303"/>
      <c r="AZ89" s="303"/>
      <c r="BA89" s="303"/>
      <c r="BB89" s="303"/>
      <c r="BC89" s="303"/>
      <c r="BD89" s="303"/>
      <c r="BE89" s="303"/>
      <c r="BF89" s="303"/>
      <c r="BG89" s="303"/>
      <c r="BH89" s="303"/>
      <c r="BI89" s="303"/>
      <c r="BJ89" s="303"/>
      <c r="BK89" s="303"/>
      <c r="BL89" s="303"/>
      <c r="BM89" s="303"/>
      <c r="BN89" s="304"/>
      <c r="BO89" s="304"/>
      <c r="BP89" s="200"/>
      <c r="BQ89" s="200"/>
      <c r="BR89" s="303"/>
      <c r="BS89" s="303"/>
      <c r="BT89" s="303"/>
      <c r="BU89" s="303"/>
      <c r="BV89" s="303"/>
      <c r="BW89" s="303"/>
      <c r="BX89" s="303"/>
      <c r="BY89" s="303"/>
      <c r="BZ89" s="303"/>
      <c r="CA89" s="304"/>
    </row>
    <row r="90" spans="2:79" hidden="1" outlineLevel="1">
      <c r="B90" s="72" t="s">
        <v>337</v>
      </c>
      <c r="C90" s="93"/>
      <c r="D90" s="93"/>
      <c r="E90" s="93"/>
      <c r="F90" s="93"/>
      <c r="G90" s="93"/>
      <c r="H90" s="93"/>
      <c r="I90" s="93"/>
      <c r="J90" s="93"/>
      <c r="K90" s="93"/>
      <c r="L90" s="93"/>
      <c r="M90" s="93"/>
      <c r="N90" s="93"/>
      <c r="O90" s="93"/>
      <c r="P90" s="93"/>
      <c r="Q90" s="93"/>
      <c r="R90" s="93"/>
      <c r="S90" s="32"/>
      <c r="T90" s="32"/>
      <c r="U90" s="32"/>
      <c r="V90" s="32"/>
      <c r="W90" s="32"/>
      <c r="X90" s="32"/>
      <c r="Y90" s="32"/>
      <c r="Z90" s="32"/>
      <c r="AA90" s="32"/>
      <c r="AB90" s="32"/>
      <c r="AC90" s="32"/>
      <c r="AD90" s="32"/>
      <c r="AE90" s="32"/>
      <c r="AF90" s="32"/>
      <c r="AG90" s="32"/>
      <c r="AH90" s="101"/>
      <c r="AI90" s="199"/>
      <c r="AJ90" s="199"/>
      <c r="AK90" s="199"/>
      <c r="AL90" s="199"/>
      <c r="AM90" s="199"/>
      <c r="AN90" s="200"/>
      <c r="AO90" s="200"/>
      <c r="AP90" s="200"/>
      <c r="AQ90" s="200"/>
      <c r="AR90" s="200"/>
      <c r="AS90" s="200"/>
      <c r="AT90" s="200"/>
      <c r="AU90" s="184"/>
      <c r="AV90" s="199"/>
      <c r="AW90" s="199"/>
      <c r="AX90" s="199"/>
      <c r="AY90" s="199"/>
      <c r="AZ90" s="199"/>
      <c r="BA90" s="199"/>
      <c r="BB90" s="199"/>
      <c r="BC90" s="199"/>
      <c r="BD90" s="199"/>
      <c r="BE90" s="199"/>
      <c r="BF90" s="199"/>
      <c r="BG90" s="199"/>
      <c r="BH90" s="199"/>
      <c r="BI90" s="199"/>
      <c r="BJ90" s="199"/>
      <c r="BK90" s="199"/>
      <c r="BL90" s="199"/>
      <c r="BM90" s="199"/>
      <c r="BN90" s="200"/>
      <c r="BO90" s="200"/>
      <c r="BP90" s="200"/>
      <c r="BQ90" s="200"/>
      <c r="BR90" s="199"/>
      <c r="BS90" s="199"/>
      <c r="BT90" s="199"/>
      <c r="BU90" s="199"/>
      <c r="BV90" s="199"/>
      <c r="BW90" s="199"/>
      <c r="BX90" s="199"/>
      <c r="BY90" s="199"/>
      <c r="BZ90" s="199"/>
      <c r="CA90" s="200"/>
    </row>
    <row r="91" spans="2:79" hidden="1" outlineLevel="1">
      <c r="B91" s="73" t="s">
        <v>324</v>
      </c>
      <c r="C91" s="108">
        <v>1.2999999999999999E-2</v>
      </c>
      <c r="D91" s="108">
        <v>1.7999999999999999E-2</v>
      </c>
      <c r="E91" s="108">
        <v>1.4E-2</v>
      </c>
      <c r="F91" s="108">
        <v>1.4999999999999999E-2</v>
      </c>
      <c r="G91" s="108">
        <v>1.4999999999999999E-2</v>
      </c>
      <c r="H91" s="108">
        <v>2.8000000000000001E-2</v>
      </c>
      <c r="I91" s="108">
        <v>4.2999999999999997E-2</v>
      </c>
      <c r="J91" s="108">
        <v>3.4000000000000002E-2</v>
      </c>
      <c r="K91" s="108">
        <v>3.2000000000000001E-2</v>
      </c>
      <c r="L91" s="108">
        <v>2E-3</v>
      </c>
      <c r="M91" s="108">
        <v>1.7999999999999999E-2</v>
      </c>
      <c r="N91" s="108">
        <v>2.5000000000000001E-2</v>
      </c>
      <c r="O91" s="108">
        <v>0.03</v>
      </c>
      <c r="P91" s="108">
        <v>0.02</v>
      </c>
      <c r="Q91" s="108">
        <v>-3.5000000000000003E-2</v>
      </c>
      <c r="R91" s="108">
        <v>-0.26200000000000001</v>
      </c>
      <c r="S91" s="106">
        <v>-0.125</v>
      </c>
      <c r="T91" s="106">
        <v>-9.6000000000000002E-2</v>
      </c>
      <c r="U91" s="100">
        <v>-6.9000000000000006E-2</v>
      </c>
      <c r="V91" s="100">
        <v>0.309</v>
      </c>
      <c r="W91" s="106">
        <v>-3.6999999999999998E-2</v>
      </c>
      <c r="X91" s="106">
        <v>-0.123</v>
      </c>
      <c r="Y91" s="100">
        <v>-9.7000000000000003E-2</v>
      </c>
      <c r="Z91" s="106">
        <v>-0.109</v>
      </c>
      <c r="AA91" s="106">
        <v>6.7000000000000004E-2</v>
      </c>
      <c r="AB91" s="106">
        <v>0.128</v>
      </c>
      <c r="AC91" s="100">
        <v>0.11899999999999999</v>
      </c>
      <c r="AD91" s="106">
        <v>9.8000000000000004E-2</v>
      </c>
      <c r="AE91" s="106">
        <v>4.8000000000000001E-2</v>
      </c>
      <c r="AF91" s="106">
        <v>5.1999999999999998E-2</v>
      </c>
      <c r="AG91" s="100">
        <v>3.5999999999999997E-2</v>
      </c>
      <c r="AH91" s="106">
        <v>2.3E-2</v>
      </c>
      <c r="AI91" s="106">
        <v>2.1000000000000001E-2</v>
      </c>
      <c r="AJ91" s="106">
        <v>1.0999999999999999E-2</v>
      </c>
      <c r="AK91" s="100">
        <v>5.0000000000000001E-3</v>
      </c>
      <c r="AL91" s="35">
        <v>1.7000000000000001E-2</v>
      </c>
      <c r="AM91" s="35">
        <v>0.01</v>
      </c>
      <c r="AN91" s="181"/>
      <c r="AO91" s="181"/>
      <c r="AP91" s="181"/>
      <c r="AQ91" s="181"/>
      <c r="AR91" s="181"/>
      <c r="AS91" s="181"/>
      <c r="AT91" s="181"/>
      <c r="AU91" s="184"/>
      <c r="AV91" s="95">
        <f t="shared" ref="AV91:AV93" si="198">AVERAGE(C91:D91)</f>
        <v>1.55E-2</v>
      </c>
      <c r="AW91" s="95">
        <f t="shared" ref="AW91:AW93" si="199">AVERAGE(E91:F91)</f>
        <v>1.4499999999999999E-2</v>
      </c>
      <c r="AX91" s="95">
        <f t="shared" ref="AX91:AX93" si="200">AVERAGE(G91:H91)</f>
        <v>2.1499999999999998E-2</v>
      </c>
      <c r="AY91" s="95">
        <f t="shared" ref="AY91:AY93" si="201">AVERAGE(I91:J91)</f>
        <v>3.85E-2</v>
      </c>
      <c r="AZ91" s="95">
        <f t="shared" ref="AZ91:AZ93" si="202">AVERAGE(K91:L91)</f>
        <v>1.7000000000000001E-2</v>
      </c>
      <c r="BA91" s="95">
        <f t="shared" ref="BA91:BA93" si="203">AVERAGE(M91:N91)</f>
        <v>2.1499999999999998E-2</v>
      </c>
      <c r="BB91" s="95">
        <f t="shared" ref="BB91:BB93" si="204">AVERAGE(O91:P91)</f>
        <v>2.5000000000000001E-2</v>
      </c>
      <c r="BC91" s="95">
        <f t="shared" ref="BC91:BC93" si="205">AVERAGE(Q91:R91)</f>
        <v>-0.14850000000000002</v>
      </c>
      <c r="BD91" s="95">
        <f t="shared" ref="BD91:BD93" si="206">AVERAGE(S91:T91)</f>
        <v>-0.1105</v>
      </c>
      <c r="BE91" s="95">
        <f t="shared" ref="BE91:BE93" si="207">AVERAGE(U91:V91)</f>
        <v>0.12</v>
      </c>
      <c r="BF91" s="95">
        <f t="shared" ref="BF91:BF93" si="208">AVERAGE(W91:X91)</f>
        <v>-0.08</v>
      </c>
      <c r="BG91" s="95">
        <f t="shared" ref="BG91:BG93" si="209">AVERAGE(Y91:Z91)</f>
        <v>-0.10300000000000001</v>
      </c>
      <c r="BH91" s="95">
        <f t="shared" ref="BH91:BH93" si="210">AVERAGE(AA91:AB91)</f>
        <v>9.7500000000000003E-2</v>
      </c>
      <c r="BI91" s="95">
        <f t="shared" ref="BI91:BI93" si="211">AVERAGE(AC91:AD91)</f>
        <v>0.1085</v>
      </c>
      <c r="BJ91" s="95">
        <f t="shared" ref="BJ91:BJ93" si="212">AVERAGE(AE91:AF91)</f>
        <v>0.05</v>
      </c>
      <c r="BK91" s="95">
        <f t="shared" ref="BK91:BK93" si="213">AVERAGE(AG91:AH91)</f>
        <v>2.9499999999999998E-2</v>
      </c>
      <c r="BL91" s="95">
        <f t="shared" ref="BL91:BL93" si="214">AVERAGE(AI91:AJ91)</f>
        <v>1.6E-2</v>
      </c>
      <c r="BM91" s="95">
        <f t="shared" ref="BM91:BM93" si="215">AVERAGE(AK91:AL91)</f>
        <v>1.1000000000000001E-2</v>
      </c>
      <c r="BN91" s="158"/>
      <c r="BO91" s="158"/>
      <c r="BP91" s="200"/>
      <c r="BQ91" s="200"/>
      <c r="BR91" s="199"/>
      <c r="BS91" s="299">
        <f>AVERAGE(AX91:AY91)</f>
        <v>0.03</v>
      </c>
      <c r="BT91" s="299">
        <f>AVERAGE(AZ91:BA91)</f>
        <v>1.925E-2</v>
      </c>
      <c r="BU91" s="299">
        <f>AVERAGE(BB91:BC91)</f>
        <v>-6.1750000000000013E-2</v>
      </c>
      <c r="BV91" s="299">
        <f>AVERAGE(BD91:BE91)</f>
        <v>4.7499999999999973E-3</v>
      </c>
      <c r="BW91" s="299">
        <f>AVERAGE(BF91:BG91)</f>
        <v>-9.1499999999999998E-2</v>
      </c>
      <c r="BX91" s="299">
        <f>AVERAGE(BH91:BI91)</f>
        <v>0.10300000000000001</v>
      </c>
      <c r="BY91" s="299">
        <f>AVERAGE(BH91:BI91)</f>
        <v>0.10300000000000001</v>
      </c>
      <c r="BZ91" s="299">
        <f>AVERAGE(BJ91:BK91)</f>
        <v>3.9750000000000001E-2</v>
      </c>
      <c r="CA91" s="277">
        <f>AVERAGE(BL91:BM91)</f>
        <v>1.3500000000000002E-2</v>
      </c>
    </row>
    <row r="92" spans="2:79" hidden="1" outlineLevel="1">
      <c r="B92" s="73" t="s">
        <v>323</v>
      </c>
      <c r="C92" s="108">
        <v>-0.01</v>
      </c>
      <c r="D92" s="108">
        <v>0</v>
      </c>
      <c r="E92" s="108">
        <v>5.0000000000000001E-3</v>
      </c>
      <c r="F92" s="108">
        <v>1E-3</v>
      </c>
      <c r="G92" s="108">
        <v>-0.01</v>
      </c>
      <c r="H92" s="108">
        <v>-1.7999999999999999E-2</v>
      </c>
      <c r="I92" s="108">
        <v>-1.7999999999999999E-2</v>
      </c>
      <c r="J92" s="108">
        <v>6.0000000000000001E-3</v>
      </c>
      <c r="K92" s="108">
        <v>1.7000000000000001E-2</v>
      </c>
      <c r="L92" s="108">
        <v>0.04</v>
      </c>
      <c r="M92" s="108">
        <v>3.9E-2</v>
      </c>
      <c r="N92" s="108">
        <v>1.2E-2</v>
      </c>
      <c r="O92" s="108">
        <v>1.7999999999999999E-2</v>
      </c>
      <c r="P92" s="108">
        <v>-5.0000000000000001E-3</v>
      </c>
      <c r="Q92" s="108">
        <v>0.108</v>
      </c>
      <c r="R92" s="108">
        <v>0.38500000000000001</v>
      </c>
      <c r="S92" s="106">
        <v>0.13600000000000001</v>
      </c>
      <c r="T92" s="106">
        <v>7.2999999999999995E-2</v>
      </c>
      <c r="U92" s="100">
        <v>-0.02</v>
      </c>
      <c r="V92" s="100">
        <v>-0.27500000000000002</v>
      </c>
      <c r="W92" s="106">
        <v>8.2000000000000003E-2</v>
      </c>
      <c r="X92" s="106">
        <v>0.14000000000000001</v>
      </c>
      <c r="Y92" s="100">
        <v>7.6999999999999999E-2</v>
      </c>
      <c r="Z92" s="106">
        <v>6.3E-2</v>
      </c>
      <c r="AA92" s="106">
        <v>-0.14299999999999999</v>
      </c>
      <c r="AB92" s="106">
        <v>-0.158</v>
      </c>
      <c r="AC92" s="100">
        <v>-0.14399999999999999</v>
      </c>
      <c r="AD92" s="106">
        <v>-0.111</v>
      </c>
      <c r="AE92" s="106">
        <v>-8.8999999999999996E-2</v>
      </c>
      <c r="AF92" s="106">
        <v>-4.2000000000000003E-2</v>
      </c>
      <c r="AG92" s="100">
        <v>-2.5999999999999999E-2</v>
      </c>
      <c r="AH92" s="106">
        <v>-6.0000000000000001E-3</v>
      </c>
      <c r="AI92" s="106">
        <v>6.0000000000000001E-3</v>
      </c>
      <c r="AJ92" s="106">
        <v>6.0000000000000001E-3</v>
      </c>
      <c r="AK92" s="100">
        <v>1.4E-2</v>
      </c>
      <c r="AL92" s="35">
        <v>1E-3</v>
      </c>
      <c r="AM92" s="35">
        <v>0</v>
      </c>
      <c r="AN92" s="181"/>
      <c r="AO92" s="181"/>
      <c r="AP92" s="181"/>
      <c r="AQ92" s="181"/>
      <c r="AR92" s="181"/>
      <c r="AS92" s="181"/>
      <c r="AT92" s="181"/>
      <c r="AU92" s="184"/>
      <c r="AV92" s="95">
        <f t="shared" si="198"/>
        <v>-5.0000000000000001E-3</v>
      </c>
      <c r="AW92" s="95">
        <f t="shared" si="199"/>
        <v>3.0000000000000001E-3</v>
      </c>
      <c r="AX92" s="95">
        <f t="shared" si="200"/>
        <v>-1.3999999999999999E-2</v>
      </c>
      <c r="AY92" s="95">
        <f t="shared" si="201"/>
        <v>-5.9999999999999993E-3</v>
      </c>
      <c r="AZ92" s="95">
        <f t="shared" si="202"/>
        <v>2.8500000000000001E-2</v>
      </c>
      <c r="BA92" s="95">
        <f t="shared" si="203"/>
        <v>2.5500000000000002E-2</v>
      </c>
      <c r="BB92" s="95">
        <f t="shared" si="204"/>
        <v>6.4999999999999988E-3</v>
      </c>
      <c r="BC92" s="95">
        <f t="shared" si="205"/>
        <v>0.2465</v>
      </c>
      <c r="BD92" s="95">
        <f t="shared" si="206"/>
        <v>0.10450000000000001</v>
      </c>
      <c r="BE92" s="95">
        <f t="shared" si="207"/>
        <v>-0.14750000000000002</v>
      </c>
      <c r="BF92" s="95">
        <f t="shared" si="208"/>
        <v>0.11100000000000002</v>
      </c>
      <c r="BG92" s="95">
        <f t="shared" si="209"/>
        <v>7.0000000000000007E-2</v>
      </c>
      <c r="BH92" s="95">
        <f t="shared" si="210"/>
        <v>-0.15049999999999999</v>
      </c>
      <c r="BI92" s="95">
        <f t="shared" si="211"/>
        <v>-0.1275</v>
      </c>
      <c r="BJ92" s="95">
        <f t="shared" si="212"/>
        <v>-6.5500000000000003E-2</v>
      </c>
      <c r="BK92" s="95">
        <f t="shared" si="213"/>
        <v>-1.6E-2</v>
      </c>
      <c r="BL92" s="95">
        <f t="shared" si="214"/>
        <v>6.0000000000000001E-3</v>
      </c>
      <c r="BM92" s="95">
        <f t="shared" si="215"/>
        <v>7.4999999999999997E-3</v>
      </c>
      <c r="BN92" s="158"/>
      <c r="BO92" s="158"/>
      <c r="BP92" s="200"/>
      <c r="BQ92" s="200"/>
      <c r="BR92" s="199"/>
      <c r="BS92" s="299">
        <f t="shared" ref="BS92:BS93" si="216">AVERAGE(AX92:AY92)</f>
        <v>-9.9999999999999985E-3</v>
      </c>
      <c r="BT92" s="299">
        <f t="shared" ref="BT92:BT93" si="217">AVERAGE(AZ92:BA92)</f>
        <v>2.7000000000000003E-2</v>
      </c>
      <c r="BU92" s="299">
        <f t="shared" ref="BU92:BU93" si="218">AVERAGE(BB92:BC92)</f>
        <v>0.1265</v>
      </c>
      <c r="BV92" s="299">
        <f t="shared" ref="BV92:BV93" si="219">AVERAGE(BD92:BE92)</f>
        <v>-2.1500000000000005E-2</v>
      </c>
      <c r="BW92" s="299">
        <f t="shared" ref="BW92:BW93" si="220">AVERAGE(BF92:BG92)</f>
        <v>9.0500000000000011E-2</v>
      </c>
      <c r="BX92" s="299">
        <f t="shared" ref="BX92:BX93" si="221">AVERAGE(BH92:BI92)</f>
        <v>-0.13900000000000001</v>
      </c>
      <c r="BY92" s="299">
        <f t="shared" ref="BY92:BY93" si="222">AVERAGE(BH92:BI92)</f>
        <v>-0.13900000000000001</v>
      </c>
      <c r="BZ92" s="299">
        <f t="shared" ref="BZ92:BZ93" si="223">AVERAGE(BJ92:BK92)</f>
        <v>-4.0750000000000001E-2</v>
      </c>
      <c r="CA92" s="277">
        <f t="shared" ref="CA92:CA93" si="224">AVERAGE(BL92:BM92)</f>
        <v>6.7499999999999999E-3</v>
      </c>
    </row>
    <row r="93" spans="2:79" hidden="1" outlineLevel="1">
      <c r="B93" s="73" t="s">
        <v>322</v>
      </c>
      <c r="C93" s="108">
        <v>3.0000000000000001E-3</v>
      </c>
      <c r="D93" s="108">
        <v>1.7999999999999999E-2</v>
      </c>
      <c r="E93" s="108">
        <v>1.9E-2</v>
      </c>
      <c r="F93" s="108">
        <v>1.6E-2</v>
      </c>
      <c r="G93" s="108">
        <v>5.0000000000000001E-3</v>
      </c>
      <c r="H93" s="108">
        <v>0.01</v>
      </c>
      <c r="I93" s="108">
        <v>2.5000000000000001E-2</v>
      </c>
      <c r="J93" s="108">
        <v>0.04</v>
      </c>
      <c r="K93" s="108">
        <v>4.9000000000000002E-2</v>
      </c>
      <c r="L93" s="108">
        <v>4.2000000000000003E-2</v>
      </c>
      <c r="M93" s="108">
        <v>5.8000000000000003E-2</v>
      </c>
      <c r="N93" s="108">
        <v>3.6999999999999998E-2</v>
      </c>
      <c r="O93" s="108">
        <v>4.8000000000000001E-2</v>
      </c>
      <c r="P93" s="108">
        <v>1.4999999999999999E-2</v>
      </c>
      <c r="Q93" s="108">
        <v>7.2999999999999995E-2</v>
      </c>
      <c r="R93" s="108">
        <v>2.1999999999999999E-2</v>
      </c>
      <c r="S93" s="106">
        <v>-6.0000000000000001E-3</v>
      </c>
      <c r="T93" s="106">
        <v>-0.03</v>
      </c>
      <c r="U93" s="100">
        <v>-0.09</v>
      </c>
      <c r="V93" s="100">
        <v>-0.01</v>
      </c>
      <c r="W93" s="106">
        <v>4.1000000000000002E-2</v>
      </c>
      <c r="X93" s="106">
        <v>-1E-3</v>
      </c>
      <c r="Y93" s="100">
        <v>-2.8000000000000001E-2</v>
      </c>
      <c r="Z93" s="106">
        <v>-5.3999999999999999E-2</v>
      </c>
      <c r="AA93" s="106">
        <v>-8.5999999999999993E-2</v>
      </c>
      <c r="AB93" s="106">
        <v>-0.05</v>
      </c>
      <c r="AC93" s="100">
        <v>-4.1000000000000002E-2</v>
      </c>
      <c r="AD93" s="106">
        <v>-2.4E-2</v>
      </c>
      <c r="AE93" s="106">
        <v>-4.4999999999999998E-2</v>
      </c>
      <c r="AF93" s="106">
        <v>8.0000000000000002E-3</v>
      </c>
      <c r="AG93" s="100">
        <v>8.9999999999999993E-3</v>
      </c>
      <c r="AH93" s="106">
        <v>1.7000000000000001E-2</v>
      </c>
      <c r="AI93" s="106">
        <v>2.7E-2</v>
      </c>
      <c r="AJ93" s="106">
        <v>1.6E-2</v>
      </c>
      <c r="AK93" s="100">
        <v>1.9E-2</v>
      </c>
      <c r="AL93" s="35">
        <v>1.7999999999999999E-2</v>
      </c>
      <c r="AM93" s="35">
        <v>8.9999999999999993E-3</v>
      </c>
      <c r="AN93" s="181"/>
      <c r="AO93" s="181"/>
      <c r="AP93" s="181"/>
      <c r="AQ93" s="181"/>
      <c r="AR93" s="181"/>
      <c r="AS93" s="181"/>
      <c r="AT93" s="181"/>
      <c r="AU93" s="184"/>
      <c r="AV93" s="95">
        <f t="shared" si="198"/>
        <v>1.0499999999999999E-2</v>
      </c>
      <c r="AW93" s="95">
        <f t="shared" si="199"/>
        <v>1.7500000000000002E-2</v>
      </c>
      <c r="AX93" s="95">
        <f t="shared" si="200"/>
        <v>7.4999999999999997E-3</v>
      </c>
      <c r="AY93" s="95">
        <f t="shared" si="201"/>
        <v>3.2500000000000001E-2</v>
      </c>
      <c r="AZ93" s="95">
        <f t="shared" si="202"/>
        <v>4.5499999999999999E-2</v>
      </c>
      <c r="BA93" s="95">
        <f t="shared" si="203"/>
        <v>4.7500000000000001E-2</v>
      </c>
      <c r="BB93" s="95">
        <f t="shared" si="204"/>
        <v>3.15E-2</v>
      </c>
      <c r="BC93" s="95">
        <f t="shared" si="205"/>
        <v>4.7500000000000001E-2</v>
      </c>
      <c r="BD93" s="95">
        <f t="shared" si="206"/>
        <v>-1.7999999999999999E-2</v>
      </c>
      <c r="BE93" s="95">
        <f t="shared" si="207"/>
        <v>-4.9999999999999996E-2</v>
      </c>
      <c r="BF93" s="95">
        <f t="shared" si="208"/>
        <v>0.02</v>
      </c>
      <c r="BG93" s="95">
        <f t="shared" si="209"/>
        <v>-4.1000000000000002E-2</v>
      </c>
      <c r="BH93" s="95">
        <f t="shared" si="210"/>
        <v>-6.8000000000000005E-2</v>
      </c>
      <c r="BI93" s="95">
        <f t="shared" si="211"/>
        <v>-3.2500000000000001E-2</v>
      </c>
      <c r="BJ93" s="95">
        <f t="shared" si="212"/>
        <v>-1.8499999999999999E-2</v>
      </c>
      <c r="BK93" s="95">
        <f t="shared" si="213"/>
        <v>1.3000000000000001E-2</v>
      </c>
      <c r="BL93" s="95">
        <f t="shared" si="214"/>
        <v>2.1499999999999998E-2</v>
      </c>
      <c r="BM93" s="95">
        <f t="shared" si="215"/>
        <v>1.8499999999999999E-2</v>
      </c>
      <c r="BN93" s="158"/>
      <c r="BO93" s="158"/>
      <c r="BP93" s="200"/>
      <c r="BQ93" s="200"/>
      <c r="BR93" s="199"/>
      <c r="BS93" s="299">
        <f t="shared" si="216"/>
        <v>0.02</v>
      </c>
      <c r="BT93" s="299">
        <f t="shared" si="217"/>
        <v>4.65E-2</v>
      </c>
      <c r="BU93" s="299">
        <f t="shared" si="218"/>
        <v>3.95E-2</v>
      </c>
      <c r="BV93" s="299">
        <f t="shared" si="219"/>
        <v>-3.3999999999999996E-2</v>
      </c>
      <c r="BW93" s="299">
        <f t="shared" si="220"/>
        <v>-1.0500000000000001E-2</v>
      </c>
      <c r="BX93" s="299">
        <f t="shared" si="221"/>
        <v>-5.0250000000000003E-2</v>
      </c>
      <c r="BY93" s="299">
        <f t="shared" si="222"/>
        <v>-5.0250000000000003E-2</v>
      </c>
      <c r="BZ93" s="299">
        <f t="shared" si="223"/>
        <v>-2.749999999999999E-3</v>
      </c>
      <c r="CA93" s="277">
        <f t="shared" si="224"/>
        <v>1.9999999999999997E-2</v>
      </c>
    </row>
    <row r="94" spans="2:79" hidden="1" outlineLevel="1">
      <c r="B94" s="73"/>
      <c r="C94" s="108"/>
      <c r="D94" s="108"/>
      <c r="E94" s="108"/>
      <c r="F94" s="108"/>
      <c r="G94" s="108"/>
      <c r="H94" s="108"/>
      <c r="I94" s="108"/>
      <c r="J94" s="108"/>
      <c r="K94" s="108"/>
      <c r="L94" s="108"/>
      <c r="M94" s="108"/>
      <c r="N94" s="108"/>
      <c r="O94" s="108"/>
      <c r="P94" s="108"/>
      <c r="Q94" s="108"/>
      <c r="R94" s="108"/>
      <c r="S94" s="102"/>
      <c r="T94" s="102"/>
      <c r="U94" s="102"/>
      <c r="V94" s="102"/>
      <c r="W94" s="102"/>
      <c r="X94" s="102"/>
      <c r="Y94" s="102"/>
      <c r="Z94" s="102"/>
      <c r="AA94" s="102"/>
      <c r="AB94" s="102"/>
      <c r="AC94" s="102"/>
      <c r="AD94" s="102"/>
      <c r="AE94" s="102"/>
      <c r="AF94" s="102"/>
      <c r="AG94" s="102"/>
      <c r="AH94" s="102"/>
      <c r="AI94" s="299"/>
      <c r="AJ94" s="299"/>
      <c r="AK94" s="299"/>
      <c r="AL94" s="299"/>
      <c r="AM94" s="299"/>
      <c r="AN94" s="277"/>
      <c r="AO94" s="277"/>
      <c r="AP94" s="277"/>
      <c r="AQ94" s="277"/>
      <c r="AR94" s="277"/>
      <c r="AS94" s="277"/>
      <c r="AT94" s="277"/>
      <c r="AU94" s="184"/>
      <c r="AV94" s="199"/>
      <c r="AW94" s="199"/>
      <c r="AX94" s="199"/>
      <c r="AY94" s="199"/>
      <c r="AZ94" s="199"/>
      <c r="BA94" s="199"/>
      <c r="BB94" s="199"/>
      <c r="BC94" s="199"/>
      <c r="BD94" s="199"/>
      <c r="BE94" s="199"/>
      <c r="BF94" s="199"/>
      <c r="BG94" s="199"/>
      <c r="BH94" s="199"/>
      <c r="BI94" s="199"/>
      <c r="BJ94" s="199"/>
      <c r="BK94" s="199"/>
      <c r="BL94" s="199"/>
      <c r="BM94" s="199"/>
      <c r="BN94" s="200"/>
      <c r="BO94" s="200"/>
      <c r="BP94" s="200"/>
      <c r="BQ94" s="200"/>
      <c r="BR94" s="199"/>
      <c r="BS94" s="199"/>
      <c r="BT94" s="199"/>
      <c r="BU94" s="199"/>
      <c r="BV94" s="199"/>
      <c r="BW94" s="199"/>
      <c r="BX94" s="199"/>
      <c r="BY94" s="199"/>
      <c r="BZ94" s="199"/>
      <c r="CA94" s="200"/>
    </row>
    <row r="95" spans="2:79" hidden="1" outlineLevel="1">
      <c r="B95" s="72" t="s">
        <v>321</v>
      </c>
      <c r="C95" s="108"/>
      <c r="D95" s="108"/>
      <c r="E95" s="108"/>
      <c r="F95" s="108"/>
      <c r="G95" s="108"/>
      <c r="H95" s="108"/>
      <c r="I95" s="108"/>
      <c r="J95" s="108"/>
      <c r="K95" s="108"/>
      <c r="L95" s="108"/>
      <c r="M95" s="108"/>
      <c r="N95" s="108"/>
      <c r="O95" s="108"/>
      <c r="P95" s="108"/>
      <c r="Q95" s="108"/>
      <c r="R95" s="108"/>
      <c r="S95" s="102"/>
      <c r="T95" s="102"/>
      <c r="U95" s="102"/>
      <c r="V95" s="102"/>
      <c r="W95" s="102"/>
      <c r="X95" s="102"/>
      <c r="Y95" s="102"/>
      <c r="Z95" s="102"/>
      <c r="AA95" s="102"/>
      <c r="AB95" s="102"/>
      <c r="AC95" s="102"/>
      <c r="AD95" s="102"/>
      <c r="AE95" s="102"/>
      <c r="AF95" s="102"/>
      <c r="AG95" s="102"/>
      <c r="AH95" s="102"/>
      <c r="AI95" s="299"/>
      <c r="AJ95" s="299"/>
      <c r="AK95" s="299"/>
      <c r="AL95" s="299"/>
      <c r="AM95" s="299"/>
      <c r="AN95" s="277"/>
      <c r="AO95" s="277"/>
      <c r="AP95" s="277"/>
      <c r="AQ95" s="277"/>
      <c r="AR95" s="277"/>
      <c r="AS95" s="277"/>
      <c r="AT95" s="277"/>
      <c r="AU95" s="184"/>
      <c r="AV95" s="199"/>
      <c r="AW95" s="199"/>
      <c r="AX95" s="199"/>
      <c r="AY95" s="199"/>
      <c r="AZ95" s="199"/>
      <c r="BA95" s="199"/>
      <c r="BB95" s="199"/>
      <c r="BC95" s="199"/>
      <c r="BD95" s="199"/>
      <c r="BE95" s="199"/>
      <c r="BF95" s="199"/>
      <c r="BG95" s="199"/>
      <c r="BH95" s="199"/>
      <c r="BI95" s="199"/>
      <c r="BJ95" s="199"/>
      <c r="BK95" s="199"/>
      <c r="BL95" s="199"/>
      <c r="BM95" s="199"/>
      <c r="BN95" s="200"/>
      <c r="BO95" s="200"/>
      <c r="BP95" s="200"/>
      <c r="BQ95" s="200"/>
      <c r="BR95" s="199"/>
      <c r="BS95" s="199"/>
      <c r="BT95" s="199"/>
      <c r="BU95" s="199"/>
      <c r="BV95" s="199"/>
      <c r="BW95" s="199"/>
      <c r="BX95" s="199"/>
      <c r="BY95" s="199"/>
      <c r="BZ95" s="199"/>
      <c r="CA95" s="200"/>
    </row>
    <row r="96" spans="2:79" hidden="1" outlineLevel="1">
      <c r="B96" s="73" t="s">
        <v>320</v>
      </c>
      <c r="C96" s="108">
        <v>-5.0000000000000001E-3</v>
      </c>
      <c r="D96" s="108">
        <v>1E-3</v>
      </c>
      <c r="E96" s="108">
        <v>8.0000000000000002E-3</v>
      </c>
      <c r="F96" s="108">
        <v>1.2999999999999999E-2</v>
      </c>
      <c r="G96" s="108">
        <v>1E-3</v>
      </c>
      <c r="H96" s="108">
        <v>-1E-3</v>
      </c>
      <c r="I96" s="108">
        <v>-1.0999999999999999E-2</v>
      </c>
      <c r="J96" s="108">
        <v>-1.7999999999999999E-2</v>
      </c>
      <c r="K96" s="108">
        <v>-1.7999999999999999E-2</v>
      </c>
      <c r="L96" s="108">
        <v>-7.0000000000000001E-3</v>
      </c>
      <c r="M96" s="108">
        <v>-6.0000000000000001E-3</v>
      </c>
      <c r="N96" s="108">
        <v>-3.0000000000000001E-3</v>
      </c>
      <c r="O96" s="108">
        <v>5.0000000000000001E-3</v>
      </c>
      <c r="P96" s="108">
        <v>5.0000000000000001E-3</v>
      </c>
      <c r="Q96" s="108">
        <v>5.0999999999999997E-2</v>
      </c>
      <c r="R96" s="108">
        <v>2.3E-2</v>
      </c>
      <c r="S96" s="106">
        <v>8.0000000000000002E-3</v>
      </c>
      <c r="T96" s="106">
        <v>2E-3</v>
      </c>
      <c r="U96" s="106">
        <v>-2.4E-2</v>
      </c>
      <c r="V96" s="106">
        <v>-5.0000000000000001E-3</v>
      </c>
      <c r="W96" s="106">
        <v>1.0999999999999999E-2</v>
      </c>
      <c r="X96" s="106">
        <v>1.7000000000000001E-2</v>
      </c>
      <c r="Y96" s="106">
        <v>3.5999999999999997E-2</v>
      </c>
      <c r="Z96" s="106">
        <v>3.5000000000000003E-2</v>
      </c>
      <c r="AA96" s="106">
        <v>5.2999999999999999E-2</v>
      </c>
      <c r="AB96" s="106">
        <v>8.5999999999999993E-2</v>
      </c>
      <c r="AC96" s="106">
        <v>9.5000000000000001E-2</v>
      </c>
      <c r="AD96" s="106">
        <v>9.1999999999999998E-2</v>
      </c>
      <c r="AE96" s="106">
        <v>6.3E-2</v>
      </c>
      <c r="AF96" s="106">
        <v>1.7000000000000001E-2</v>
      </c>
      <c r="AG96" s="106">
        <v>-6.0000000000000001E-3</v>
      </c>
      <c r="AH96" s="106">
        <v>-2.3E-2</v>
      </c>
      <c r="AI96" s="106">
        <v>-2.1000000000000001E-2</v>
      </c>
      <c r="AJ96" s="106">
        <v>-1.2E-2</v>
      </c>
      <c r="AK96" s="106">
        <v>-3.0000000000000001E-3</v>
      </c>
      <c r="AL96" s="106">
        <v>7.0000000000000001E-3</v>
      </c>
      <c r="AM96" s="106">
        <v>1.4E-2</v>
      </c>
      <c r="AN96" s="185"/>
      <c r="AO96" s="185"/>
      <c r="AP96" s="185"/>
      <c r="AQ96" s="185"/>
      <c r="AR96" s="185"/>
      <c r="AS96" s="185"/>
      <c r="AT96" s="185"/>
      <c r="AU96" s="184"/>
      <c r="AV96" s="95">
        <f t="shared" ref="AV96" si="225">AVERAGE(C96:D96)</f>
        <v>-2E-3</v>
      </c>
      <c r="AW96" s="95">
        <f t="shared" ref="AW96" si="226">AVERAGE(E96:F96)</f>
        <v>1.0499999999999999E-2</v>
      </c>
      <c r="AX96" s="95">
        <f t="shared" ref="AX96" si="227">AVERAGE(G96:H96)</f>
        <v>0</v>
      </c>
      <c r="AY96" s="95">
        <f t="shared" ref="AY96" si="228">AVERAGE(I96:J96)</f>
        <v>-1.4499999999999999E-2</v>
      </c>
      <c r="AZ96" s="95">
        <f t="shared" ref="AZ96" si="229">AVERAGE(K96:L96)</f>
        <v>-1.2499999999999999E-2</v>
      </c>
      <c r="BA96" s="95">
        <f t="shared" ref="BA96" si="230">AVERAGE(M96:N96)</f>
        <v>-4.5000000000000005E-3</v>
      </c>
      <c r="BB96" s="95">
        <f t="shared" ref="BB96" si="231">AVERAGE(O96:P96)</f>
        <v>5.0000000000000001E-3</v>
      </c>
      <c r="BC96" s="95">
        <f t="shared" ref="BC96" si="232">AVERAGE(Q96:R96)</f>
        <v>3.6999999999999998E-2</v>
      </c>
      <c r="BD96" s="95">
        <f t="shared" ref="BD96" si="233">AVERAGE(S96:T96)</f>
        <v>5.0000000000000001E-3</v>
      </c>
      <c r="BE96" s="95">
        <f t="shared" ref="BE96" si="234">AVERAGE(U96:V96)</f>
        <v>-1.4500000000000001E-2</v>
      </c>
      <c r="BF96" s="95">
        <f t="shared" ref="BF96" si="235">AVERAGE(W96:X96)</f>
        <v>1.4E-2</v>
      </c>
      <c r="BG96" s="95">
        <f t="shared" ref="BG96" si="236">AVERAGE(Y96:Z96)</f>
        <v>3.5500000000000004E-2</v>
      </c>
      <c r="BH96" s="95">
        <f t="shared" ref="BH96" si="237">AVERAGE(AA96:AB96)</f>
        <v>6.9499999999999992E-2</v>
      </c>
      <c r="BI96" s="95">
        <f t="shared" ref="BI96" si="238">AVERAGE(AC96:AD96)</f>
        <v>9.35E-2</v>
      </c>
      <c r="BJ96" s="95">
        <f t="shared" ref="BJ96" si="239">AVERAGE(AE96:AF96)</f>
        <v>0.04</v>
      </c>
      <c r="BK96" s="95">
        <f t="shared" ref="BK96" si="240">AVERAGE(AG96:AH96)</f>
        <v>-1.4499999999999999E-2</v>
      </c>
      <c r="BL96" s="95">
        <f t="shared" ref="BL96" si="241">AVERAGE(AI96:AJ96)</f>
        <v>-1.6500000000000001E-2</v>
      </c>
      <c r="BM96" s="95">
        <f t="shared" ref="BM96" si="242">AVERAGE(AK96:AL96)</f>
        <v>2E-3</v>
      </c>
      <c r="BN96" s="158"/>
      <c r="BO96" s="158"/>
      <c r="BP96" s="200"/>
      <c r="BQ96" s="200"/>
      <c r="BR96" s="199"/>
      <c r="BS96" s="299">
        <f>AVERAGE(AX96:AY96)</f>
        <v>-7.2499999999999995E-3</v>
      </c>
      <c r="BT96" s="299">
        <f>AVERAGE(AZ96:BA96)</f>
        <v>-8.5000000000000006E-3</v>
      </c>
      <c r="BU96" s="299">
        <f>AVERAGE(BB96:BC96)</f>
        <v>2.0999999999999998E-2</v>
      </c>
      <c r="BV96" s="299">
        <f>AVERAGE(BD96:BE96)</f>
        <v>-4.7500000000000007E-3</v>
      </c>
      <c r="BW96" s="299">
        <f>AVERAGE(BF96:BG96)</f>
        <v>2.4750000000000001E-2</v>
      </c>
      <c r="BX96" s="299">
        <f>AVERAGE(BH96:BI96)</f>
        <v>8.1499999999999989E-2</v>
      </c>
      <c r="BY96" s="299">
        <f>AVERAGE(BH96:BI96)</f>
        <v>8.1499999999999989E-2</v>
      </c>
      <c r="BZ96" s="299">
        <f>AVERAGE(BJ96:BK96)</f>
        <v>1.2750000000000001E-2</v>
      </c>
      <c r="CA96" s="277">
        <f>AVERAGE(BL96:BM96)</f>
        <v>-7.2500000000000004E-3</v>
      </c>
    </row>
    <row r="97" spans="2:79" hidden="1" outlineLevel="1">
      <c r="B97" s="73" t="s">
        <v>319</v>
      </c>
      <c r="C97" s="108"/>
      <c r="D97" s="108"/>
      <c r="E97" s="108"/>
      <c r="F97" s="108"/>
      <c r="G97" s="108"/>
      <c r="H97" s="108"/>
      <c r="I97" s="108"/>
      <c r="J97" s="108"/>
      <c r="K97" s="108">
        <v>-1.7000000000000001E-2</v>
      </c>
      <c r="L97" s="108">
        <v>-5.0000000000000001E-3</v>
      </c>
      <c r="M97" s="108">
        <v>-5.0000000000000001E-3</v>
      </c>
      <c r="N97" s="108">
        <v>-2E-3</v>
      </c>
      <c r="O97" s="108">
        <v>5.0000000000000001E-3</v>
      </c>
      <c r="P97" s="108">
        <v>8.0000000000000002E-3</v>
      </c>
      <c r="Q97" s="108">
        <v>5.5E-2</v>
      </c>
      <c r="R97" s="108">
        <v>2.5999999999999999E-2</v>
      </c>
      <c r="S97" s="106">
        <v>6.0000000000000001E-3</v>
      </c>
      <c r="T97" s="106">
        <v>-2E-3</v>
      </c>
      <c r="U97" s="106">
        <v>-2.7E-2</v>
      </c>
      <c r="V97" s="106">
        <v>-6.0000000000000001E-3</v>
      </c>
      <c r="W97" s="106">
        <v>1.0999999999999999E-2</v>
      </c>
      <c r="X97" s="106">
        <v>1.7000000000000001E-2</v>
      </c>
      <c r="Y97" s="106">
        <v>3.5999999999999997E-2</v>
      </c>
      <c r="Z97" s="106">
        <v>3.5000000000000003E-2</v>
      </c>
      <c r="AA97" s="106"/>
      <c r="AB97" s="95"/>
      <c r="AC97" s="106"/>
      <c r="AD97" s="95"/>
      <c r="AE97" s="106"/>
      <c r="AF97" s="95"/>
      <c r="AG97" s="106"/>
      <c r="AH97" s="106"/>
      <c r="AI97" s="106"/>
      <c r="AJ97" s="95"/>
      <c r="AK97" s="106"/>
      <c r="AL97" s="95"/>
      <c r="AM97" s="95"/>
      <c r="AN97" s="158"/>
      <c r="AO97" s="158"/>
      <c r="AP97" s="158"/>
      <c r="AQ97" s="158"/>
      <c r="AR97" s="158"/>
      <c r="AS97" s="158"/>
      <c r="AT97" s="158"/>
      <c r="AU97" s="184"/>
      <c r="AV97" s="199"/>
      <c r="AW97" s="199"/>
      <c r="AX97" s="199"/>
      <c r="AY97" s="199"/>
      <c r="AZ97" s="199"/>
      <c r="BA97" s="199"/>
      <c r="BB97" s="199"/>
      <c r="BC97" s="199"/>
      <c r="BD97" s="199"/>
      <c r="BE97" s="199"/>
      <c r="BF97" s="199"/>
      <c r="BG97" s="199"/>
      <c r="BH97" s="199"/>
      <c r="BI97" s="199"/>
      <c r="BJ97" s="199"/>
      <c r="BK97" s="199"/>
      <c r="BL97" s="199"/>
      <c r="BM97" s="199"/>
      <c r="BN97" s="200"/>
      <c r="BO97" s="200"/>
      <c r="BP97" s="200"/>
      <c r="BQ97" s="200"/>
      <c r="BR97" s="199"/>
      <c r="BS97" s="199"/>
      <c r="BT97" s="199"/>
      <c r="BU97" s="199"/>
      <c r="BV97" s="199"/>
      <c r="BW97" s="199"/>
      <c r="BX97" s="199"/>
      <c r="BY97" s="199"/>
      <c r="BZ97" s="199"/>
      <c r="CA97" s="200"/>
    </row>
    <row r="98" spans="2:79" hidden="1" outlineLevel="1">
      <c r="B98" s="73"/>
      <c r="C98" s="108"/>
      <c r="D98" s="108"/>
      <c r="E98" s="108"/>
      <c r="F98" s="108"/>
      <c r="G98" s="108"/>
      <c r="H98" s="108"/>
      <c r="I98" s="108"/>
      <c r="J98" s="108"/>
      <c r="K98" s="82"/>
      <c r="L98" s="82"/>
      <c r="M98" s="82"/>
      <c r="N98" s="82"/>
      <c r="O98" s="82"/>
      <c r="P98" s="82"/>
      <c r="Q98" s="82"/>
      <c r="R98" s="82"/>
      <c r="S98" s="95"/>
      <c r="T98" s="95"/>
      <c r="U98" s="95"/>
      <c r="V98" s="95"/>
      <c r="W98" s="95"/>
      <c r="X98" s="95"/>
      <c r="Y98" s="95"/>
      <c r="Z98" s="95"/>
      <c r="AA98" s="95"/>
      <c r="AB98" s="95"/>
      <c r="AC98" s="95"/>
      <c r="AD98" s="95"/>
      <c r="AE98" s="95"/>
      <c r="AF98" s="95"/>
      <c r="AG98" s="95"/>
      <c r="AH98" s="106"/>
      <c r="AI98" s="95"/>
      <c r="AJ98" s="95"/>
      <c r="AK98" s="95"/>
      <c r="AL98" s="95"/>
      <c r="AM98" s="95"/>
      <c r="AN98" s="158"/>
      <c r="AO98" s="158"/>
      <c r="AP98" s="158"/>
      <c r="AQ98" s="158"/>
      <c r="AR98" s="158"/>
      <c r="AS98" s="158"/>
      <c r="AT98" s="158"/>
      <c r="AU98" s="184"/>
      <c r="AV98" s="199"/>
      <c r="AW98" s="199"/>
      <c r="AX98" s="199"/>
      <c r="AY98" s="199"/>
      <c r="AZ98" s="199"/>
      <c r="BA98" s="199"/>
      <c r="BB98" s="199"/>
      <c r="BC98" s="199"/>
      <c r="BD98" s="199"/>
      <c r="BE98" s="199"/>
      <c r="BF98" s="199"/>
      <c r="BG98" s="199"/>
      <c r="BH98" s="199"/>
      <c r="BI98" s="199"/>
      <c r="BJ98" s="199"/>
      <c r="BK98" s="199"/>
      <c r="BL98" s="199"/>
      <c r="BM98" s="199"/>
      <c r="BN98" s="200"/>
      <c r="BO98" s="200"/>
      <c r="BP98" s="200"/>
      <c r="BQ98" s="200"/>
      <c r="BR98" s="199"/>
      <c r="BS98" s="199"/>
      <c r="BT98" s="199"/>
      <c r="BU98" s="199"/>
      <c r="BV98" s="199"/>
      <c r="BW98" s="199"/>
      <c r="BX98" s="199"/>
      <c r="BY98" s="199"/>
      <c r="BZ98" s="199"/>
      <c r="CA98" s="200"/>
    </row>
    <row r="99" spans="2:79" hidden="1" outlineLevel="1">
      <c r="B99" s="73" t="s">
        <v>335</v>
      </c>
      <c r="C99" s="108"/>
      <c r="D99" s="108"/>
      <c r="E99" s="108"/>
      <c r="F99" s="108"/>
      <c r="G99" s="108"/>
      <c r="H99" s="108"/>
      <c r="I99" s="108"/>
      <c r="J99" s="108"/>
      <c r="K99" s="82"/>
      <c r="L99" s="82"/>
      <c r="M99" s="82"/>
      <c r="N99" s="82"/>
      <c r="O99" s="82"/>
      <c r="P99" s="82"/>
      <c r="Q99" s="82"/>
      <c r="R99" s="82"/>
      <c r="S99" s="100">
        <v>0.122</v>
      </c>
      <c r="T99" s="100">
        <v>0.11600000000000001</v>
      </c>
      <c r="U99" s="100">
        <v>0.11941964285714286</v>
      </c>
      <c r="V99" s="100">
        <v>0.12522907758094073</v>
      </c>
      <c r="W99" s="100">
        <v>0.13106796116504854</v>
      </c>
      <c r="X99" s="100">
        <v>0.13879003558718861</v>
      </c>
      <c r="Y99" s="100">
        <v>0.13594841483073616</v>
      </c>
      <c r="Z99" s="100">
        <v>0.14099999999999999</v>
      </c>
      <c r="AA99" s="100">
        <v>0.14200298953662183</v>
      </c>
      <c r="AB99" s="100">
        <v>0.12306949806949807</v>
      </c>
      <c r="AC99" s="100">
        <v>0.11496531219028741</v>
      </c>
      <c r="AD99" s="106">
        <v>0.127</v>
      </c>
      <c r="AE99" s="100">
        <v>0.13200000000000001</v>
      </c>
      <c r="AF99" s="100">
        <v>0.126</v>
      </c>
      <c r="AG99" s="100">
        <v>0.124</v>
      </c>
      <c r="AH99" s="106">
        <v>0.14299999999999999</v>
      </c>
      <c r="AI99" s="100">
        <v>0.15</v>
      </c>
      <c r="AJ99" s="100">
        <v>0.14000000000000001</v>
      </c>
      <c r="AK99" s="100">
        <v>0.14799999999999999</v>
      </c>
      <c r="AL99" s="35">
        <v>0.16</v>
      </c>
      <c r="AM99" s="35">
        <v>0.16800000000000001</v>
      </c>
      <c r="AN99" s="181"/>
      <c r="AO99" s="181"/>
      <c r="AP99" s="181"/>
      <c r="AQ99" s="181"/>
      <c r="AR99" s="181"/>
      <c r="AS99" s="181"/>
      <c r="AT99" s="181"/>
      <c r="AU99" s="184"/>
      <c r="AV99" s="95"/>
      <c r="AW99" s="95"/>
      <c r="AX99" s="95"/>
      <c r="AY99" s="95"/>
      <c r="AZ99" s="95"/>
      <c r="BA99" s="95"/>
      <c r="BB99" s="95"/>
      <c r="BC99" s="95"/>
      <c r="BD99" s="95">
        <f t="shared" ref="BD99" si="243">AVERAGE(S99:T99)</f>
        <v>0.11899999999999999</v>
      </c>
      <c r="BE99" s="95">
        <f t="shared" ref="BE99" si="244">AVERAGE(U99:V99)</f>
        <v>0.12232436021904181</v>
      </c>
      <c r="BF99" s="95">
        <f t="shared" ref="BF99" si="245">AVERAGE(W99:X99)</f>
        <v>0.13492899837611858</v>
      </c>
      <c r="BG99" s="95">
        <f t="shared" ref="BG99" si="246">AVERAGE(Y99:Z99)</f>
        <v>0.13847420741536809</v>
      </c>
      <c r="BH99" s="95">
        <f t="shared" ref="BH99" si="247">AVERAGE(AA99:AB99)</f>
        <v>0.13253624380305995</v>
      </c>
      <c r="BI99" s="95">
        <f t="shared" ref="BI99" si="248">AVERAGE(AC99:AD99)</f>
        <v>0.12098265609514371</v>
      </c>
      <c r="BJ99" s="95">
        <f t="shared" ref="BJ99" si="249">AVERAGE(AE99:AF99)</f>
        <v>0.129</v>
      </c>
      <c r="BK99" s="95">
        <f t="shared" ref="BK99" si="250">AVERAGE(AG99:AH99)</f>
        <v>0.13350000000000001</v>
      </c>
      <c r="BL99" s="95">
        <f t="shared" ref="BL99" si="251">AVERAGE(AI99:AJ99)</f>
        <v>0.14500000000000002</v>
      </c>
      <c r="BM99" s="95">
        <f t="shared" ref="BM99" si="252">AVERAGE(AK99:AL99)</f>
        <v>0.154</v>
      </c>
      <c r="BN99" s="158"/>
      <c r="BO99" s="158"/>
      <c r="BP99" s="200"/>
      <c r="BQ99" s="200"/>
      <c r="BR99" s="199"/>
      <c r="BS99" s="299"/>
      <c r="BT99" s="299"/>
      <c r="BU99" s="299"/>
      <c r="BV99" s="299">
        <f>AVERAGE(BD99:BE99)</f>
        <v>0.1206621801095209</v>
      </c>
      <c r="BW99" s="299">
        <f>AVERAGE(BF99:BG99)</f>
        <v>0.13670160289574335</v>
      </c>
      <c r="BX99" s="299">
        <f>AVERAGE(BH99:BI99)</f>
        <v>0.12675944994910182</v>
      </c>
      <c r="BY99" s="299">
        <f>AVERAGE(BH99:BI99)</f>
        <v>0.12675944994910182</v>
      </c>
      <c r="BZ99" s="299">
        <f>AVERAGE(BJ99:BK99)</f>
        <v>0.13125000000000001</v>
      </c>
      <c r="CA99" s="277">
        <f>AVERAGE(BL99:BM99)</f>
        <v>0.14950000000000002</v>
      </c>
    </row>
    <row r="100" spans="2:79" hidden="1" outlineLevel="1">
      <c r="B100" s="73"/>
      <c r="C100" s="108"/>
      <c r="D100" s="108"/>
      <c r="E100" s="108"/>
      <c r="F100" s="108"/>
      <c r="G100" s="108"/>
      <c r="H100" s="108"/>
      <c r="I100" s="108"/>
      <c r="J100" s="108"/>
      <c r="K100" s="82"/>
      <c r="L100" s="82"/>
      <c r="M100" s="82"/>
      <c r="N100" s="82"/>
      <c r="O100" s="82"/>
      <c r="P100" s="82"/>
      <c r="Q100" s="82"/>
      <c r="R100" s="82"/>
      <c r="S100" s="95"/>
      <c r="T100" s="95"/>
      <c r="U100" s="95"/>
      <c r="V100" s="95"/>
      <c r="W100" s="95"/>
      <c r="X100" s="95"/>
      <c r="Y100" s="95"/>
      <c r="Z100" s="95"/>
      <c r="AA100" s="95"/>
      <c r="AB100" s="95"/>
      <c r="AC100" s="95"/>
      <c r="AD100" s="95"/>
      <c r="AE100" s="95"/>
      <c r="AF100" s="95"/>
      <c r="AG100" s="95"/>
      <c r="AH100" s="106"/>
      <c r="AI100" s="95"/>
      <c r="AJ100" s="95"/>
      <c r="AK100" s="95"/>
      <c r="AL100" s="95"/>
      <c r="AM100" s="95"/>
      <c r="AN100" s="158"/>
      <c r="AO100" s="158"/>
      <c r="AP100" s="158"/>
      <c r="AQ100" s="158"/>
      <c r="AR100" s="158"/>
      <c r="AS100" s="158"/>
      <c r="AT100" s="158"/>
      <c r="AU100" s="184"/>
      <c r="AV100" s="199"/>
      <c r="AW100" s="199"/>
      <c r="AX100" s="199"/>
      <c r="AY100" s="199"/>
      <c r="AZ100" s="199"/>
      <c r="BA100" s="199"/>
      <c r="BB100" s="199"/>
      <c r="BC100" s="199"/>
      <c r="BD100" s="199"/>
      <c r="BE100" s="199"/>
      <c r="BF100" s="199"/>
      <c r="BG100" s="199"/>
      <c r="BH100" s="199"/>
      <c r="BI100" s="199"/>
      <c r="BJ100" s="199"/>
      <c r="BK100" s="199"/>
      <c r="BL100" s="199"/>
      <c r="BM100" s="199"/>
      <c r="BN100" s="200"/>
      <c r="BO100" s="200"/>
      <c r="BP100" s="200"/>
      <c r="BQ100" s="200"/>
      <c r="BR100" s="199"/>
      <c r="BS100" s="199"/>
      <c r="BT100" s="199"/>
      <c r="BU100" s="199"/>
      <c r="BV100" s="199"/>
      <c r="BW100" s="199"/>
      <c r="BX100" s="199"/>
      <c r="BY100" s="199"/>
      <c r="BZ100" s="199"/>
      <c r="CA100" s="200"/>
    </row>
    <row r="101" spans="2:79" hidden="1" outlineLevel="1">
      <c r="B101" s="72" t="s">
        <v>318</v>
      </c>
      <c r="C101" s="108"/>
      <c r="D101" s="108"/>
      <c r="E101" s="108"/>
      <c r="F101" s="108"/>
      <c r="G101" s="108"/>
      <c r="H101" s="108"/>
      <c r="I101" s="108"/>
      <c r="J101" s="108"/>
      <c r="K101" s="82"/>
      <c r="L101" s="82"/>
      <c r="M101" s="82"/>
      <c r="N101" s="82"/>
      <c r="O101" s="82"/>
      <c r="P101" s="82"/>
      <c r="Q101" s="82"/>
      <c r="R101" s="82"/>
      <c r="S101" s="95"/>
      <c r="T101" s="95"/>
      <c r="U101" s="95"/>
      <c r="V101" s="95"/>
      <c r="W101" s="95"/>
      <c r="X101" s="95"/>
      <c r="Y101" s="95"/>
      <c r="Z101" s="95"/>
      <c r="AA101" s="95"/>
      <c r="AB101" s="95"/>
      <c r="AC101" s="95"/>
      <c r="AD101" s="95"/>
      <c r="AE101" s="95"/>
      <c r="AF101" s="95"/>
      <c r="AG101" s="95"/>
      <c r="AH101" s="106"/>
      <c r="AI101" s="95"/>
      <c r="AJ101" s="95"/>
      <c r="AK101" s="95"/>
      <c r="AL101" s="95"/>
      <c r="AM101" s="95"/>
      <c r="AN101" s="158"/>
      <c r="AO101" s="158"/>
      <c r="AP101" s="158"/>
      <c r="AQ101" s="158"/>
      <c r="AR101" s="158"/>
      <c r="AS101" s="158"/>
      <c r="AT101" s="158"/>
      <c r="AU101" s="184"/>
      <c r="AV101" s="199"/>
      <c r="AW101" s="199"/>
      <c r="AX101" s="199"/>
      <c r="AY101" s="199"/>
      <c r="AZ101" s="199"/>
      <c r="BA101" s="199"/>
      <c r="BB101" s="199"/>
      <c r="BC101" s="199"/>
      <c r="BD101" s="199"/>
      <c r="BE101" s="199"/>
      <c r="BF101" s="199"/>
      <c r="BG101" s="199"/>
      <c r="BH101" s="199"/>
      <c r="BI101" s="199"/>
      <c r="BJ101" s="199"/>
      <c r="BK101" s="199"/>
      <c r="BL101" s="199"/>
      <c r="BM101" s="199"/>
      <c r="BN101" s="200"/>
      <c r="BO101" s="200"/>
      <c r="BP101" s="200"/>
      <c r="BQ101" s="200"/>
      <c r="BR101" s="199"/>
      <c r="BS101" s="199"/>
      <c r="BT101" s="199"/>
      <c r="BU101" s="199"/>
      <c r="BV101" s="199"/>
      <c r="BW101" s="199"/>
      <c r="BX101" s="199"/>
      <c r="BY101" s="199"/>
      <c r="BZ101" s="199"/>
      <c r="CA101" s="200"/>
    </row>
    <row r="102" spans="2:79" hidden="1" outlineLevel="1">
      <c r="B102" s="73" t="s">
        <v>340</v>
      </c>
      <c r="C102" s="108"/>
      <c r="D102" s="108"/>
      <c r="E102" s="108"/>
      <c r="F102" s="108"/>
      <c r="G102" s="108"/>
      <c r="H102" s="108"/>
      <c r="I102" s="108"/>
      <c r="J102" s="108"/>
      <c r="K102" s="82"/>
      <c r="L102" s="82"/>
      <c r="M102" s="82"/>
      <c r="N102" s="82"/>
      <c r="O102" s="108">
        <v>0.45</v>
      </c>
      <c r="P102" s="108">
        <v>0.47</v>
      </c>
      <c r="Q102" s="108">
        <v>0.44</v>
      </c>
      <c r="R102" s="108">
        <v>0.47</v>
      </c>
      <c r="S102" s="100">
        <v>0.48</v>
      </c>
      <c r="T102" s="100">
        <v>0.5</v>
      </c>
      <c r="U102" s="100">
        <v>0.47</v>
      </c>
      <c r="V102" s="100">
        <v>0.45</v>
      </c>
      <c r="W102" s="100">
        <v>0.46</v>
      </c>
      <c r="X102" s="106">
        <v>0.4</v>
      </c>
      <c r="Y102" s="100">
        <v>0.34</v>
      </c>
      <c r="Z102" s="106">
        <v>0.37</v>
      </c>
      <c r="AA102" s="100">
        <v>0.4</v>
      </c>
      <c r="AB102" s="106">
        <v>0.43</v>
      </c>
      <c r="AC102" s="100">
        <v>0.37</v>
      </c>
      <c r="AD102" s="106">
        <v>0.39</v>
      </c>
      <c r="AE102" s="100">
        <v>0.38</v>
      </c>
      <c r="AF102" s="106">
        <v>0.43</v>
      </c>
      <c r="AG102" s="100">
        <v>0.34</v>
      </c>
      <c r="AH102" s="106">
        <v>0.36</v>
      </c>
      <c r="AI102" s="100">
        <v>0.37</v>
      </c>
      <c r="AJ102" s="106">
        <v>0.43</v>
      </c>
      <c r="AK102" s="100">
        <v>0.4</v>
      </c>
      <c r="AL102" s="106">
        <v>0.44</v>
      </c>
      <c r="AM102" s="106">
        <v>0.43</v>
      </c>
      <c r="AN102" s="185"/>
      <c r="AO102" s="185"/>
      <c r="AP102" s="185"/>
      <c r="AQ102" s="185"/>
      <c r="AR102" s="185"/>
      <c r="AS102" s="185"/>
      <c r="AT102" s="185"/>
      <c r="AU102" s="184"/>
      <c r="AV102" s="95"/>
      <c r="AW102" s="95"/>
      <c r="AX102" s="95"/>
      <c r="AY102" s="95"/>
      <c r="AZ102" s="95"/>
      <c r="BA102" s="95"/>
      <c r="BB102" s="95">
        <f t="shared" ref="BB102:BB103" si="253">AVERAGE(O102:P102)</f>
        <v>0.45999999999999996</v>
      </c>
      <c r="BC102" s="95">
        <f t="shared" ref="BC102:BC103" si="254">AVERAGE(Q102:R102)</f>
        <v>0.45499999999999996</v>
      </c>
      <c r="BD102" s="95">
        <f t="shared" ref="BD102:BD103" si="255">AVERAGE(S102:T102)</f>
        <v>0.49</v>
      </c>
      <c r="BE102" s="95">
        <f t="shared" ref="BE102:BE103" si="256">AVERAGE(U102:V102)</f>
        <v>0.45999999999999996</v>
      </c>
      <c r="BF102" s="95">
        <f t="shared" ref="BF102:BF103" si="257">AVERAGE(W102:X102)</f>
        <v>0.43000000000000005</v>
      </c>
      <c r="BG102" s="95">
        <f t="shared" ref="BG102:BG103" si="258">AVERAGE(Y102:Z102)</f>
        <v>0.35499999999999998</v>
      </c>
      <c r="BH102" s="95">
        <f t="shared" ref="BH102:BH103" si="259">AVERAGE(AA102:AB102)</f>
        <v>0.41500000000000004</v>
      </c>
      <c r="BI102" s="95">
        <f t="shared" ref="BI102:BI103" si="260">AVERAGE(AC102:AD102)</f>
        <v>0.38</v>
      </c>
      <c r="BJ102" s="95">
        <f t="shared" ref="BJ102:BJ103" si="261">AVERAGE(AE102:AF102)</f>
        <v>0.40500000000000003</v>
      </c>
      <c r="BK102" s="95">
        <f t="shared" ref="BK102:BK103" si="262">AVERAGE(AG102:AH102)</f>
        <v>0.35</v>
      </c>
      <c r="BL102" s="95">
        <f t="shared" ref="BL102:BL103" si="263">AVERAGE(AI102:AJ102)</f>
        <v>0.4</v>
      </c>
      <c r="BM102" s="95">
        <f t="shared" ref="BM102:BM103" si="264">AVERAGE(AK102:AL102)</f>
        <v>0.42000000000000004</v>
      </c>
      <c r="BN102" s="158"/>
      <c r="BO102" s="158"/>
      <c r="BP102" s="200"/>
      <c r="BQ102" s="200"/>
      <c r="BR102" s="199"/>
      <c r="BS102" s="299"/>
      <c r="BT102" s="299"/>
      <c r="BU102" s="299">
        <f>AVERAGE(BB102:BC102)</f>
        <v>0.45749999999999996</v>
      </c>
      <c r="BV102" s="299">
        <f>AVERAGE(BD102:BE102)</f>
        <v>0.47499999999999998</v>
      </c>
      <c r="BW102" s="299">
        <f>AVERAGE(BF102:BG102)</f>
        <v>0.39250000000000002</v>
      </c>
      <c r="BX102" s="299">
        <f>AVERAGE(BH102:BI102)</f>
        <v>0.39750000000000002</v>
      </c>
      <c r="BY102" s="299">
        <f>AVERAGE(BH102:BI102)</f>
        <v>0.39750000000000002</v>
      </c>
      <c r="BZ102" s="299">
        <f>AVERAGE(BJ102:BK102)</f>
        <v>0.3775</v>
      </c>
      <c r="CA102" s="277">
        <f>AVERAGE(BL102:BM102)</f>
        <v>0.41000000000000003</v>
      </c>
    </row>
    <row r="103" spans="2:79" hidden="1" outlineLevel="1">
      <c r="B103" s="73" t="s">
        <v>341</v>
      </c>
      <c r="C103" s="108">
        <v>0.64</v>
      </c>
      <c r="D103" s="108">
        <v>0.65</v>
      </c>
      <c r="E103" s="108">
        <v>0.67</v>
      </c>
      <c r="F103" s="108">
        <v>0.68</v>
      </c>
      <c r="G103" s="108"/>
      <c r="H103" s="108"/>
      <c r="I103" s="108"/>
      <c r="J103" s="108"/>
      <c r="K103" s="108">
        <v>0.65</v>
      </c>
      <c r="L103" s="108">
        <v>0.65</v>
      </c>
      <c r="M103" s="108">
        <v>0.67</v>
      </c>
      <c r="N103" s="108">
        <v>0.66</v>
      </c>
      <c r="O103" s="103">
        <v>0.81</v>
      </c>
      <c r="P103" s="103">
        <v>0.81</v>
      </c>
      <c r="Q103" s="103"/>
      <c r="R103" s="103">
        <v>0.82</v>
      </c>
      <c r="S103" s="100">
        <v>0.83</v>
      </c>
      <c r="T103" s="100">
        <v>0.83</v>
      </c>
      <c r="U103" s="100">
        <v>0.82</v>
      </c>
      <c r="V103" s="100">
        <v>0.8</v>
      </c>
      <c r="W103" s="100">
        <v>0.77</v>
      </c>
      <c r="X103" s="106">
        <v>0.75</v>
      </c>
      <c r="Y103" s="100">
        <v>0.71</v>
      </c>
      <c r="Z103" s="106">
        <v>0.75</v>
      </c>
      <c r="AA103" s="100">
        <v>0.75</v>
      </c>
      <c r="AB103" s="106">
        <v>0.76</v>
      </c>
      <c r="AC103" s="100">
        <v>0.73</v>
      </c>
      <c r="AD103" s="100">
        <v>0.76</v>
      </c>
      <c r="AE103" s="100">
        <v>0.77</v>
      </c>
      <c r="AF103" s="106">
        <v>0.78</v>
      </c>
      <c r="AG103" s="100">
        <v>0.77</v>
      </c>
      <c r="AH103" s="106">
        <v>0.78</v>
      </c>
      <c r="AI103" s="100">
        <v>0.79</v>
      </c>
      <c r="AJ103" s="106">
        <v>0.8</v>
      </c>
      <c r="AK103" s="100">
        <v>0.79</v>
      </c>
      <c r="AL103" s="106">
        <v>0.81</v>
      </c>
      <c r="AM103" s="106">
        <v>0.81</v>
      </c>
      <c r="AN103" s="185"/>
      <c r="AO103" s="185"/>
      <c r="AP103" s="185"/>
      <c r="AQ103" s="185"/>
      <c r="AR103" s="185"/>
      <c r="AS103" s="185"/>
      <c r="AT103" s="185"/>
      <c r="AU103" s="184"/>
      <c r="AV103" s="95">
        <f t="shared" ref="AV103" si="265">AVERAGE(C103:D103)</f>
        <v>0.64500000000000002</v>
      </c>
      <c r="AW103" s="95">
        <f t="shared" ref="AW103" si="266">AVERAGE(E103:F103)</f>
        <v>0.67500000000000004</v>
      </c>
      <c r="AX103" s="95"/>
      <c r="AY103" s="95"/>
      <c r="AZ103" s="95">
        <f t="shared" ref="AZ103" si="267">AVERAGE(K103:L103)</f>
        <v>0.65</v>
      </c>
      <c r="BA103" s="95">
        <f t="shared" ref="BA103" si="268">AVERAGE(M103:N103)</f>
        <v>0.66500000000000004</v>
      </c>
      <c r="BB103" s="95">
        <f t="shared" si="253"/>
        <v>0.81</v>
      </c>
      <c r="BC103" s="95">
        <f t="shared" si="254"/>
        <v>0.82</v>
      </c>
      <c r="BD103" s="95">
        <f t="shared" si="255"/>
        <v>0.83</v>
      </c>
      <c r="BE103" s="95">
        <f t="shared" si="256"/>
        <v>0.81</v>
      </c>
      <c r="BF103" s="95">
        <f t="shared" si="257"/>
        <v>0.76</v>
      </c>
      <c r="BG103" s="95">
        <f t="shared" si="258"/>
        <v>0.73</v>
      </c>
      <c r="BH103" s="95">
        <f t="shared" si="259"/>
        <v>0.755</v>
      </c>
      <c r="BI103" s="95">
        <f t="shared" si="260"/>
        <v>0.745</v>
      </c>
      <c r="BJ103" s="95">
        <f t="shared" si="261"/>
        <v>0.77500000000000002</v>
      </c>
      <c r="BK103" s="95">
        <f t="shared" si="262"/>
        <v>0.77500000000000002</v>
      </c>
      <c r="BL103" s="95">
        <f t="shared" si="263"/>
        <v>0.79500000000000004</v>
      </c>
      <c r="BM103" s="95">
        <f t="shared" si="264"/>
        <v>0.8</v>
      </c>
      <c r="BN103" s="158"/>
      <c r="BO103" s="158"/>
      <c r="BP103" s="200"/>
      <c r="BQ103" s="200"/>
      <c r="BR103" s="199"/>
      <c r="BS103" s="299"/>
      <c r="BT103" s="299"/>
      <c r="BU103" s="299">
        <f>AVERAGE(BB103:BC103)</f>
        <v>0.81499999999999995</v>
      </c>
      <c r="BV103" s="299">
        <f>AVERAGE(BD103:BE103)</f>
        <v>0.82000000000000006</v>
      </c>
      <c r="BW103" s="299">
        <f>AVERAGE(BF103:BG103)</f>
        <v>0.745</v>
      </c>
      <c r="BX103" s="299">
        <f>AVERAGE(BH103:BI103)</f>
        <v>0.75</v>
      </c>
      <c r="BY103" s="299">
        <f>AVERAGE(BH103:BI103)</f>
        <v>0.75</v>
      </c>
      <c r="BZ103" s="299">
        <f>AVERAGE(BJ103:BK103)</f>
        <v>0.77500000000000002</v>
      </c>
      <c r="CA103" s="277">
        <f>AVERAGE(BL103:BM103)</f>
        <v>0.7975000000000001</v>
      </c>
    </row>
    <row r="104" spans="2:79" hidden="1" outlineLevel="1">
      <c r="B104" s="73"/>
      <c r="C104" s="92"/>
      <c r="D104" s="92"/>
      <c r="E104" s="92"/>
      <c r="F104" s="92"/>
      <c r="G104" s="92"/>
      <c r="H104" s="92"/>
      <c r="I104" s="92"/>
      <c r="J104" s="92"/>
      <c r="K104" s="32"/>
      <c r="L104" s="32"/>
      <c r="M104" s="32"/>
      <c r="N104" s="32"/>
      <c r="O104" s="92"/>
      <c r="P104" s="92"/>
      <c r="Q104" s="92"/>
      <c r="R104" s="92"/>
      <c r="S104" s="100"/>
      <c r="T104" s="100"/>
      <c r="U104" s="100"/>
      <c r="V104" s="100"/>
      <c r="W104" s="100"/>
      <c r="X104" s="104"/>
      <c r="Y104" s="100"/>
      <c r="Z104" s="104"/>
      <c r="AA104" s="100"/>
      <c r="AB104" s="104"/>
      <c r="AC104" s="100"/>
      <c r="AD104" s="104"/>
      <c r="AE104" s="100"/>
      <c r="AF104" s="104"/>
      <c r="AG104" s="100"/>
      <c r="AH104" s="104"/>
      <c r="AI104" s="100"/>
      <c r="AJ104" s="104"/>
      <c r="AK104" s="100"/>
      <c r="AL104" s="104"/>
      <c r="AM104" s="104"/>
      <c r="AN104" s="184"/>
      <c r="AO104" s="184"/>
      <c r="AP104" s="184"/>
      <c r="AQ104" s="184"/>
      <c r="AR104" s="184"/>
      <c r="AS104" s="184"/>
      <c r="AT104" s="184"/>
      <c r="AU104" s="184"/>
      <c r="AV104" s="199"/>
      <c r="AW104" s="199"/>
      <c r="AX104" s="199"/>
      <c r="AY104" s="199"/>
      <c r="AZ104" s="199"/>
      <c r="BA104" s="199"/>
      <c r="BB104" s="199"/>
      <c r="BC104" s="199"/>
      <c r="BD104" s="199"/>
      <c r="BE104" s="199"/>
      <c r="BF104" s="199"/>
      <c r="BG104" s="199"/>
      <c r="BH104" s="199"/>
      <c r="BI104" s="199"/>
      <c r="BJ104" s="199"/>
      <c r="BK104" s="199"/>
      <c r="BL104" s="199"/>
      <c r="BM104" s="199"/>
      <c r="BN104" s="200"/>
      <c r="BO104" s="200"/>
      <c r="BP104" s="200"/>
      <c r="BQ104" s="200"/>
      <c r="BR104" s="199"/>
      <c r="BS104" s="299"/>
      <c r="BT104" s="299"/>
      <c r="BU104" s="299"/>
      <c r="BV104" s="299"/>
      <c r="BW104" s="299"/>
      <c r="BX104" s="299"/>
      <c r="BY104" s="299"/>
      <c r="BZ104" s="299"/>
      <c r="CA104" s="277"/>
    </row>
    <row r="105" spans="2:79" hidden="1" outlineLevel="1">
      <c r="B105" s="73" t="s">
        <v>339</v>
      </c>
      <c r="C105" s="92"/>
      <c r="D105" s="92"/>
      <c r="E105" s="92"/>
      <c r="F105" s="92"/>
      <c r="G105" s="92"/>
      <c r="H105" s="92"/>
      <c r="I105" s="92"/>
      <c r="J105" s="92"/>
      <c r="K105" s="123">
        <v>2</v>
      </c>
      <c r="L105" s="123">
        <v>2</v>
      </c>
      <c r="M105" s="123">
        <v>2</v>
      </c>
      <c r="N105" s="123">
        <v>2</v>
      </c>
      <c r="O105" s="123">
        <v>2</v>
      </c>
      <c r="P105" s="123">
        <v>2</v>
      </c>
      <c r="Q105" s="123">
        <v>1.9</v>
      </c>
      <c r="R105" s="123">
        <v>1.7</v>
      </c>
      <c r="S105" s="124">
        <v>1.8</v>
      </c>
      <c r="T105" s="124">
        <v>1.9</v>
      </c>
      <c r="U105" s="124">
        <v>1.9</v>
      </c>
      <c r="V105" s="124">
        <v>1.8</v>
      </c>
      <c r="W105" s="124">
        <v>1.8</v>
      </c>
      <c r="X105" s="124">
        <v>1.8</v>
      </c>
      <c r="Y105" s="124">
        <v>1.8</v>
      </c>
      <c r="Z105" s="124">
        <v>1.8</v>
      </c>
      <c r="AA105" s="124">
        <v>1.9</v>
      </c>
      <c r="AB105" s="124">
        <v>1.9</v>
      </c>
      <c r="AC105" s="124">
        <v>1.9</v>
      </c>
      <c r="AD105" s="124">
        <v>1.9</v>
      </c>
      <c r="AE105" s="124"/>
      <c r="AF105" s="124"/>
      <c r="AG105" s="124">
        <v>1.5</v>
      </c>
      <c r="AH105" s="124">
        <v>1.6</v>
      </c>
      <c r="AI105" s="124">
        <v>1.8</v>
      </c>
      <c r="AJ105" s="124">
        <v>2</v>
      </c>
      <c r="AK105" s="124">
        <v>2.1</v>
      </c>
      <c r="AL105" s="124">
        <v>2.1</v>
      </c>
      <c r="AM105" s="124">
        <v>2.1</v>
      </c>
      <c r="AN105" s="184"/>
      <c r="AO105" s="184"/>
      <c r="AP105" s="184"/>
      <c r="AQ105" s="184"/>
      <c r="AR105" s="184"/>
      <c r="AS105" s="184"/>
      <c r="AT105" s="184"/>
      <c r="AU105" s="184"/>
      <c r="AV105" s="199"/>
      <c r="AW105" s="199"/>
      <c r="AX105" s="199"/>
      <c r="AY105" s="199"/>
      <c r="AZ105" s="199"/>
      <c r="BA105" s="199"/>
      <c r="BB105" s="199"/>
      <c r="BC105" s="199"/>
      <c r="BD105" s="199"/>
      <c r="BE105" s="199"/>
      <c r="BF105" s="199"/>
      <c r="BG105" s="199"/>
      <c r="BH105" s="199"/>
      <c r="BI105" s="199"/>
      <c r="BJ105" s="199"/>
      <c r="BK105" s="199"/>
      <c r="BL105" s="199"/>
      <c r="BM105" s="199"/>
      <c r="BN105" s="200"/>
      <c r="BO105" s="200"/>
      <c r="BP105" s="200"/>
      <c r="BQ105" s="200"/>
      <c r="BR105" s="199"/>
      <c r="BS105" s="199"/>
      <c r="BT105" s="199"/>
      <c r="BU105" s="199"/>
      <c r="BV105" s="199"/>
      <c r="BW105" s="199"/>
      <c r="BX105" s="199"/>
      <c r="BY105" s="199"/>
      <c r="BZ105" s="199"/>
      <c r="CA105" s="200"/>
    </row>
    <row r="106" spans="2:79" hidden="1" outlineLevel="1">
      <c r="B106" s="73" t="s">
        <v>342</v>
      </c>
      <c r="C106" s="92"/>
      <c r="D106" s="92"/>
      <c r="E106" s="92"/>
      <c r="F106" s="92"/>
      <c r="G106" s="92"/>
      <c r="H106" s="92"/>
      <c r="I106" s="92"/>
      <c r="J106" s="92"/>
      <c r="K106" s="32"/>
      <c r="L106" s="32"/>
      <c r="M106" s="32"/>
      <c r="N106" s="32"/>
      <c r="O106" s="103">
        <v>0.59699999999999998</v>
      </c>
      <c r="P106" s="103">
        <v>0.57299999999999995</v>
      </c>
      <c r="Q106" s="103">
        <v>0.57699999999999996</v>
      </c>
      <c r="R106" s="103">
        <v>0.59</v>
      </c>
      <c r="S106" s="106">
        <v>0.59099999999999997</v>
      </c>
      <c r="T106" s="106">
        <v>0.59599999999999997</v>
      </c>
      <c r="U106" s="106">
        <v>0.59899999999999998</v>
      </c>
      <c r="V106" s="106">
        <v>0.59299999999999997</v>
      </c>
      <c r="W106" s="106">
        <v>0.60499999999999998</v>
      </c>
      <c r="X106" s="106">
        <v>0.61</v>
      </c>
      <c r="Y106" s="106">
        <v>0.59799999999999998</v>
      </c>
      <c r="Z106" s="106">
        <v>0.59599999999999997</v>
      </c>
      <c r="AA106" s="106">
        <v>0.6</v>
      </c>
      <c r="AB106" s="106">
        <v>0.58399999999999996</v>
      </c>
      <c r="AC106" s="106">
        <v>0.57699999999999996</v>
      </c>
      <c r="AD106" s="106">
        <v>0.59</v>
      </c>
      <c r="AE106" s="106">
        <v>0.58799999999999997</v>
      </c>
      <c r="AF106" s="106">
        <v>0.57899999999999996</v>
      </c>
      <c r="AG106" s="106">
        <v>0.52100000000000002</v>
      </c>
      <c r="AH106" s="106">
        <v>0.6</v>
      </c>
      <c r="AI106" s="106">
        <v>0.60399999999999998</v>
      </c>
      <c r="AJ106" s="106">
        <v>0.60299999999999998</v>
      </c>
      <c r="AK106" s="106">
        <v>0.60599999999999998</v>
      </c>
      <c r="AL106" s="106">
        <v>0.624</v>
      </c>
      <c r="AM106" s="106"/>
      <c r="AN106" s="184"/>
      <c r="AO106" s="184"/>
      <c r="AP106" s="184"/>
      <c r="AQ106" s="184"/>
      <c r="AR106" s="184"/>
      <c r="AS106" s="184"/>
      <c r="AT106" s="184"/>
      <c r="AU106" s="184"/>
      <c r="AV106" s="95"/>
      <c r="AW106" s="95"/>
      <c r="AX106" s="95"/>
      <c r="AY106" s="95"/>
      <c r="AZ106" s="95"/>
      <c r="BA106" s="95"/>
      <c r="BB106" s="95">
        <f t="shared" ref="BB106" si="269">AVERAGE(O106:P106)</f>
        <v>0.58499999999999996</v>
      </c>
      <c r="BC106" s="95">
        <f t="shared" ref="BC106" si="270">AVERAGE(Q106:R106)</f>
        <v>0.58349999999999991</v>
      </c>
      <c r="BD106" s="95">
        <f t="shared" ref="BD106" si="271">AVERAGE(S106:T106)</f>
        <v>0.59349999999999992</v>
      </c>
      <c r="BE106" s="95">
        <f t="shared" ref="BE106" si="272">AVERAGE(U106:V106)</f>
        <v>0.59599999999999997</v>
      </c>
      <c r="BF106" s="95">
        <f t="shared" ref="BF106" si="273">AVERAGE(W106:X106)</f>
        <v>0.60749999999999993</v>
      </c>
      <c r="BG106" s="95">
        <f t="shared" ref="BG106" si="274">AVERAGE(Y106:Z106)</f>
        <v>0.59699999999999998</v>
      </c>
      <c r="BH106" s="95">
        <f t="shared" ref="BH106" si="275">AVERAGE(AA106:AB106)</f>
        <v>0.59199999999999997</v>
      </c>
      <c r="BI106" s="95">
        <f t="shared" ref="BI106" si="276">AVERAGE(AC106:AD106)</f>
        <v>0.58349999999999991</v>
      </c>
      <c r="BJ106" s="95">
        <f t="shared" ref="BJ106" si="277">AVERAGE(AE106:AF106)</f>
        <v>0.58349999999999991</v>
      </c>
      <c r="BK106" s="95">
        <f t="shared" ref="BK106" si="278">AVERAGE(AG106:AH106)</f>
        <v>0.5605</v>
      </c>
      <c r="BL106" s="95">
        <f t="shared" ref="BL106" si="279">AVERAGE(AI106:AJ106)</f>
        <v>0.60349999999999993</v>
      </c>
      <c r="BM106" s="95">
        <f t="shared" ref="BM106" si="280">AVERAGE(AK106:AL106)</f>
        <v>0.61499999999999999</v>
      </c>
      <c r="BN106" s="158"/>
      <c r="BO106" s="158"/>
      <c r="BP106" s="200"/>
      <c r="BQ106" s="200"/>
      <c r="BR106" s="199"/>
      <c r="BS106" s="299"/>
      <c r="BT106" s="299"/>
      <c r="BU106" s="299">
        <f>AVERAGE(BB106:BC106)</f>
        <v>0.58424999999999994</v>
      </c>
      <c r="BV106" s="299">
        <f>AVERAGE(BD106:BE106)</f>
        <v>0.59474999999999989</v>
      </c>
      <c r="BW106" s="299">
        <f>AVERAGE(BF106:BG106)</f>
        <v>0.60224999999999995</v>
      </c>
      <c r="BX106" s="299">
        <f>AVERAGE(BH106:BI106)</f>
        <v>0.58774999999999999</v>
      </c>
      <c r="BY106" s="299">
        <f>AVERAGE(BH106:BI106)</f>
        <v>0.58774999999999999</v>
      </c>
      <c r="BZ106" s="299">
        <f>AVERAGE(BJ106:BK106)</f>
        <v>0.57199999999999995</v>
      </c>
      <c r="CA106" s="277">
        <f>AVERAGE(BL106:BM106)</f>
        <v>0.60924999999999996</v>
      </c>
    </row>
    <row r="107" spans="2:79" ht="9" hidden="1" customHeight="1" outlineLevel="1">
      <c r="B107" s="73"/>
      <c r="C107" s="92"/>
      <c r="D107" s="92"/>
      <c r="E107" s="92"/>
      <c r="F107" s="92"/>
      <c r="G107" s="92"/>
      <c r="H107" s="92"/>
      <c r="I107" s="92"/>
      <c r="J107" s="92"/>
      <c r="K107" s="32"/>
      <c r="L107" s="32"/>
      <c r="M107" s="32"/>
      <c r="N107" s="32"/>
      <c r="O107" s="32"/>
      <c r="P107" s="32"/>
      <c r="Q107" s="32"/>
      <c r="R107" s="32"/>
      <c r="S107" s="106"/>
      <c r="T107" s="106"/>
      <c r="U107" s="106"/>
      <c r="V107" s="106"/>
      <c r="W107" s="106"/>
      <c r="X107" s="60"/>
      <c r="Y107" s="106"/>
      <c r="Z107" s="60"/>
      <c r="AA107" s="106"/>
      <c r="AB107" s="104"/>
      <c r="AC107" s="106"/>
      <c r="AD107" s="60"/>
      <c r="AE107" s="106"/>
      <c r="AF107" s="104"/>
      <c r="AG107" s="106"/>
      <c r="AH107" s="104"/>
      <c r="AI107" s="106"/>
      <c r="AJ107" s="104"/>
      <c r="AK107" s="106"/>
      <c r="AL107" s="106"/>
      <c r="AM107" s="106"/>
      <c r="AN107" s="185"/>
      <c r="AO107" s="185"/>
      <c r="AP107" s="185"/>
      <c r="AQ107" s="185"/>
      <c r="AR107" s="185"/>
      <c r="AS107" s="185"/>
      <c r="AT107" s="185"/>
      <c r="AU107" s="184"/>
      <c r="AV107" s="199"/>
      <c r="AW107" s="199"/>
      <c r="AX107" s="199"/>
      <c r="AY107" s="199"/>
      <c r="AZ107" s="199"/>
      <c r="BA107" s="199"/>
      <c r="BB107" s="199"/>
      <c r="BC107" s="199"/>
      <c r="BD107" s="199"/>
      <c r="BE107" s="199"/>
      <c r="BF107" s="199"/>
      <c r="BG107" s="199"/>
      <c r="BH107" s="199"/>
      <c r="BI107" s="199"/>
      <c r="BJ107" s="199"/>
      <c r="BK107" s="199"/>
      <c r="BL107" s="199"/>
      <c r="BM107" s="199"/>
      <c r="BN107" s="200"/>
      <c r="BO107" s="200"/>
      <c r="BP107" s="200"/>
      <c r="BQ107" s="200"/>
      <c r="BR107" s="199"/>
      <c r="BS107" s="199"/>
      <c r="BT107" s="199"/>
      <c r="BU107" s="199"/>
      <c r="BV107" s="199"/>
      <c r="BW107" s="199"/>
      <c r="BX107" s="199"/>
      <c r="BY107" s="199"/>
      <c r="BZ107" s="199"/>
      <c r="CA107" s="200"/>
    </row>
    <row r="108" spans="2:79" collapsed="1">
      <c r="B108" s="2" t="s">
        <v>310</v>
      </c>
      <c r="C108" s="97"/>
      <c r="D108" s="97"/>
      <c r="E108" s="97"/>
      <c r="F108" s="97"/>
      <c r="G108" s="97"/>
      <c r="H108" s="97"/>
      <c r="I108" s="97"/>
      <c r="J108" s="97"/>
      <c r="K108" s="97"/>
      <c r="L108" s="97"/>
      <c r="M108" s="97"/>
      <c r="N108" s="97"/>
      <c r="O108" s="97"/>
      <c r="P108" s="97"/>
      <c r="Q108" s="97"/>
      <c r="R108" s="97"/>
      <c r="S108" s="97"/>
      <c r="T108" s="97"/>
      <c r="U108" s="97"/>
      <c r="V108" s="97"/>
      <c r="W108" s="97"/>
      <c r="X108" s="97"/>
      <c r="Y108" s="97"/>
      <c r="Z108" s="97"/>
      <c r="AA108" s="97"/>
      <c r="AB108" s="97"/>
      <c r="AC108" s="97"/>
      <c r="AD108" s="97"/>
      <c r="AE108" s="97"/>
      <c r="AF108" s="97"/>
      <c r="AG108" s="97"/>
      <c r="AH108" s="97"/>
      <c r="AI108" s="251"/>
      <c r="AJ108" s="251"/>
      <c r="AK108" s="251"/>
      <c r="AL108" s="251"/>
      <c r="AM108" s="251"/>
      <c r="AN108" s="251"/>
      <c r="AO108" s="251"/>
      <c r="AP108" s="251"/>
      <c r="AQ108" s="251"/>
      <c r="AR108" s="251"/>
      <c r="AS108" s="251"/>
      <c r="AT108" s="251"/>
      <c r="AU108" s="350"/>
      <c r="AV108" s="167"/>
      <c r="AW108" s="167"/>
      <c r="AX108" s="167"/>
      <c r="AY108" s="167"/>
      <c r="AZ108" s="167"/>
      <c r="BA108" s="167"/>
      <c r="BB108" s="167"/>
      <c r="BC108" s="167"/>
      <c r="BD108" s="167"/>
      <c r="BE108" s="167"/>
      <c r="BF108" s="167"/>
      <c r="BG108" s="167"/>
      <c r="BH108" s="167"/>
      <c r="BI108" s="167"/>
      <c r="BJ108" s="167"/>
      <c r="BK108" s="167"/>
      <c r="BL108" s="167"/>
      <c r="BM108" s="167"/>
      <c r="BN108" s="167"/>
      <c r="BO108" s="167"/>
      <c r="BP108" s="200"/>
      <c r="BQ108" s="200"/>
      <c r="BR108" s="167"/>
      <c r="BS108" s="167"/>
      <c r="BT108" s="167"/>
      <c r="BU108" s="167"/>
      <c r="BV108" s="167"/>
      <c r="BW108" s="167"/>
      <c r="BX108" s="167"/>
      <c r="BY108" s="167"/>
      <c r="BZ108" s="167"/>
      <c r="CA108" s="167"/>
    </row>
    <row r="109" spans="2:79" hidden="1" outlineLevel="1">
      <c r="B109" s="72" t="s">
        <v>336</v>
      </c>
      <c r="C109" s="92"/>
      <c r="D109" s="92"/>
      <c r="E109" s="92"/>
      <c r="F109" s="92"/>
      <c r="G109" s="92"/>
      <c r="H109" s="92"/>
      <c r="I109" s="92"/>
      <c r="J109" s="92"/>
      <c r="K109" s="32"/>
      <c r="L109" s="32"/>
      <c r="M109" s="32"/>
      <c r="N109" s="32"/>
      <c r="O109" s="32"/>
      <c r="P109" s="32"/>
      <c r="Q109" s="32"/>
      <c r="R109" s="32"/>
      <c r="S109" s="32"/>
      <c r="T109" s="32"/>
      <c r="U109" s="32"/>
      <c r="V109" s="32"/>
      <c r="W109" s="32"/>
      <c r="X109" s="32"/>
      <c r="Y109" s="32"/>
      <c r="Z109" s="32"/>
      <c r="AA109" s="32"/>
      <c r="AB109" s="32"/>
      <c r="AC109" s="32"/>
      <c r="AD109" s="32"/>
      <c r="AE109" s="32"/>
      <c r="AF109" s="32"/>
      <c r="AG109" s="32"/>
      <c r="AH109" s="32"/>
      <c r="AI109" s="199"/>
      <c r="AJ109" s="199"/>
      <c r="AK109" s="199"/>
      <c r="AL109" s="199"/>
      <c r="AM109" s="199"/>
      <c r="AN109" s="200"/>
      <c r="AO109" s="200"/>
      <c r="AP109" s="200"/>
      <c r="AQ109" s="200"/>
      <c r="AR109" s="200"/>
      <c r="AS109" s="200"/>
      <c r="AT109" s="200"/>
      <c r="AU109" s="200"/>
      <c r="AV109" s="199"/>
      <c r="AW109" s="199"/>
      <c r="AX109" s="199"/>
      <c r="AY109" s="199"/>
      <c r="AZ109" s="199"/>
      <c r="BA109" s="199"/>
      <c r="BB109" s="199"/>
      <c r="BC109" s="199"/>
      <c r="BD109" s="199"/>
      <c r="BE109" s="199"/>
      <c r="BF109" s="199"/>
      <c r="BG109" s="199"/>
      <c r="BH109" s="199"/>
      <c r="BI109" s="199"/>
      <c r="BJ109" s="199"/>
      <c r="BK109" s="199"/>
      <c r="BL109" s="199"/>
      <c r="BM109" s="199"/>
      <c r="BN109" s="200"/>
      <c r="BO109" s="200"/>
      <c r="BP109" s="200"/>
      <c r="BQ109" s="200"/>
      <c r="BR109" s="200"/>
      <c r="BS109" s="200"/>
      <c r="BT109" s="200"/>
      <c r="BU109" s="200"/>
      <c r="BV109" s="200"/>
      <c r="BW109" s="200"/>
      <c r="BX109" s="200"/>
      <c r="BY109" s="200"/>
      <c r="BZ109" s="199"/>
      <c r="CA109" s="200"/>
    </row>
    <row r="110" spans="2:79" hidden="1" outlineLevel="1">
      <c r="B110" s="73" t="s">
        <v>324</v>
      </c>
      <c r="C110" s="117"/>
      <c r="D110" s="117"/>
      <c r="E110" s="117"/>
      <c r="F110" s="117"/>
      <c r="G110" s="108">
        <v>1.7000000000000001E-2</v>
      </c>
      <c r="H110" s="108">
        <v>1.4999999999999999E-2</v>
      </c>
      <c r="I110" s="108">
        <v>-1E-3</v>
      </c>
      <c r="J110" s="108">
        <v>2.4E-2</v>
      </c>
      <c r="K110" s="108">
        <v>1.7999999999999999E-2</v>
      </c>
      <c r="L110" s="108">
        <v>4.3999999999999997E-2</v>
      </c>
      <c r="M110" s="108">
        <v>5.8000000000000003E-2</v>
      </c>
      <c r="N110" s="108">
        <v>3.9E-2</v>
      </c>
      <c r="O110" s="108">
        <v>1.2999999999999999E-2</v>
      </c>
      <c r="P110" s="108">
        <v>-0.01</v>
      </c>
      <c r="Q110" s="108">
        <v>-2.5999999999999999E-2</v>
      </c>
      <c r="R110" s="108">
        <v>3.5999999999999997E-2</v>
      </c>
      <c r="S110" s="113">
        <v>-1.7999999999999999E-2</v>
      </c>
      <c r="T110" s="106">
        <v>2.5999999999999999E-2</v>
      </c>
      <c r="U110" s="106">
        <v>6.0999999999999999E-2</v>
      </c>
      <c r="V110" s="106">
        <v>-4.2000000000000003E-2</v>
      </c>
      <c r="W110" s="106">
        <v>-0.23200000000000001</v>
      </c>
      <c r="X110" s="106">
        <v>-7.3999999999999996E-2</v>
      </c>
      <c r="Y110" s="106">
        <v>-8.7999999999999995E-2</v>
      </c>
      <c r="Z110" s="106">
        <v>3.6999999999999998E-2</v>
      </c>
      <c r="AA110" s="106">
        <v>0.34599999999999997</v>
      </c>
      <c r="AB110" s="106">
        <v>4.4999999999999998E-2</v>
      </c>
      <c r="AC110" s="106">
        <v>6.8000000000000005E-2</v>
      </c>
      <c r="AD110" s="106">
        <v>-5.0999999999999997E-2</v>
      </c>
      <c r="AE110" s="106">
        <v>-4.2999999999999997E-2</v>
      </c>
      <c r="AF110" s="106">
        <v>-1.4E-2</v>
      </c>
      <c r="AG110" s="106">
        <v>-2.3E-2</v>
      </c>
      <c r="AH110" s="106">
        <v>8.9999999999999993E-3</v>
      </c>
      <c r="AI110" s="106">
        <v>3.4000000000000002E-2</v>
      </c>
      <c r="AJ110" s="106">
        <v>2.1999999999999999E-2</v>
      </c>
      <c r="AK110" s="106">
        <v>2.5999999999999999E-2</v>
      </c>
      <c r="AL110" s="106">
        <v>2.4E-2</v>
      </c>
      <c r="AM110" s="106">
        <v>-3.0000000000000001E-3</v>
      </c>
      <c r="AN110" s="185"/>
      <c r="AO110" s="185"/>
      <c r="AP110" s="185"/>
      <c r="AQ110" s="185"/>
      <c r="AR110" s="185"/>
      <c r="AS110" s="185"/>
      <c r="AT110" s="185"/>
      <c r="AU110" s="185"/>
      <c r="AV110" s="95"/>
      <c r="AW110" s="95"/>
      <c r="AX110" s="95">
        <f t="shared" ref="AX110:AX112" si="281">AVERAGE(G110:H110)</f>
        <v>1.6E-2</v>
      </c>
      <c r="AY110" s="95">
        <f t="shared" ref="AY110:AY112" si="282">AVERAGE(I110:J110)</f>
        <v>1.15E-2</v>
      </c>
      <c r="AZ110" s="95">
        <f t="shared" ref="AZ110:AZ112" si="283">AVERAGE(K110:L110)</f>
        <v>3.1E-2</v>
      </c>
      <c r="BA110" s="95">
        <f t="shared" ref="BA110:BA112" si="284">AVERAGE(M110:N110)</f>
        <v>4.8500000000000001E-2</v>
      </c>
      <c r="BB110" s="95">
        <f t="shared" ref="BB110:BB112" si="285">AVERAGE(O110:P110)</f>
        <v>1.4999999999999996E-3</v>
      </c>
      <c r="BC110" s="95">
        <f t="shared" ref="BC110:BC112" si="286">AVERAGE(Q110:R110)</f>
        <v>4.9999999999999992E-3</v>
      </c>
      <c r="BD110" s="95">
        <f t="shared" ref="BD110:BD112" si="287">AVERAGE(S110:T110)</f>
        <v>4.0000000000000001E-3</v>
      </c>
      <c r="BE110" s="95">
        <f t="shared" ref="BE110:BE112" si="288">AVERAGE(U110:V110)</f>
        <v>9.499999999999998E-3</v>
      </c>
      <c r="BF110" s="95">
        <f t="shared" ref="BF110:BF112" si="289">AVERAGE(W110:X110)</f>
        <v>-0.153</v>
      </c>
      <c r="BG110" s="95">
        <f t="shared" ref="BG110:BG112" si="290">AVERAGE(Y110:Z110)</f>
        <v>-2.5499999999999998E-2</v>
      </c>
      <c r="BH110" s="95">
        <f t="shared" ref="BH110:BH112" si="291">AVERAGE(AA110:AB110)</f>
        <v>0.19549999999999998</v>
      </c>
      <c r="BI110" s="95">
        <f t="shared" ref="BI110:BI112" si="292">AVERAGE(AC110:AD110)</f>
        <v>8.5000000000000041E-3</v>
      </c>
      <c r="BJ110" s="95">
        <f t="shared" ref="BJ110:BJ112" si="293">AVERAGE(AE110:AF110)</f>
        <v>-2.8499999999999998E-2</v>
      </c>
      <c r="BK110" s="95">
        <f t="shared" ref="BK110:BK112" si="294">AVERAGE(AG110:AH110)</f>
        <v>-7.0000000000000001E-3</v>
      </c>
      <c r="BL110" s="95">
        <f t="shared" ref="BL110:BL112" si="295">AVERAGE(AI110:AJ110)</f>
        <v>2.8000000000000001E-2</v>
      </c>
      <c r="BM110" s="95">
        <f t="shared" ref="BM110:BM112" si="296">AVERAGE(AK110:AL110)</f>
        <v>2.5000000000000001E-2</v>
      </c>
      <c r="BN110" s="158"/>
      <c r="BO110" s="158"/>
      <c r="BP110" s="158"/>
      <c r="BQ110" s="158"/>
      <c r="BR110" s="158"/>
      <c r="BS110" s="158"/>
      <c r="BT110" s="158"/>
      <c r="BU110" s="158"/>
      <c r="BV110" s="158"/>
      <c r="BW110" s="158"/>
      <c r="BX110" s="158"/>
      <c r="BY110" s="158"/>
      <c r="BZ110" s="299">
        <f>AVERAGE(BJ110:BK110)</f>
        <v>-1.7749999999999998E-2</v>
      </c>
      <c r="CA110" s="277">
        <f>AVERAGE(BL110:BM110)</f>
        <v>2.6500000000000003E-2</v>
      </c>
    </row>
    <row r="111" spans="2:79" hidden="1" outlineLevel="1">
      <c r="B111" s="73" t="s">
        <v>323</v>
      </c>
      <c r="C111" s="117"/>
      <c r="D111" s="117"/>
      <c r="E111" s="117"/>
      <c r="F111" s="117"/>
      <c r="G111" s="108">
        <v>5.0999999999999997E-2</v>
      </c>
      <c r="H111" s="108">
        <v>2.8000000000000001E-2</v>
      </c>
      <c r="I111" s="108">
        <v>4.1000000000000002E-2</v>
      </c>
      <c r="J111" s="108">
        <v>2.4E-2</v>
      </c>
      <c r="K111" s="108">
        <v>4.1000000000000002E-2</v>
      </c>
      <c r="L111" s="108">
        <v>4.2999999999999997E-2</v>
      </c>
      <c r="M111" s="108">
        <v>4.9000000000000002E-2</v>
      </c>
      <c r="N111" s="108">
        <v>4.3999999999999997E-2</v>
      </c>
      <c r="O111" s="108">
        <v>2.5000000000000001E-2</v>
      </c>
      <c r="P111" s="108">
        <v>8.9999999999999993E-3</v>
      </c>
      <c r="Q111" s="108">
        <v>5.5E-2</v>
      </c>
      <c r="R111" s="108">
        <v>0.10299999999999999</v>
      </c>
      <c r="S111" s="113">
        <v>0.11700000000000001</v>
      </c>
      <c r="T111" s="106">
        <v>9.1999999999999998E-2</v>
      </c>
      <c r="U111" s="106">
        <v>9.8000000000000004E-2</v>
      </c>
      <c r="V111" s="106">
        <v>-4.5999999999999999E-2</v>
      </c>
      <c r="W111" s="106">
        <v>2.4E-2</v>
      </c>
      <c r="X111" s="106">
        <v>5.0999999999999997E-2</v>
      </c>
      <c r="Y111" s="106">
        <v>3.0000000000000001E-3</v>
      </c>
      <c r="Z111" s="106">
        <v>0.04</v>
      </c>
      <c r="AA111" s="106">
        <v>-3.7999999999999999E-2</v>
      </c>
      <c r="AB111" s="106">
        <v>-7.0999999999999994E-2</v>
      </c>
      <c r="AC111" s="106">
        <v>-5.8000000000000003E-2</v>
      </c>
      <c r="AD111" s="106">
        <v>-5.6000000000000001E-2</v>
      </c>
      <c r="AE111" s="106">
        <v>-3.4000000000000002E-2</v>
      </c>
      <c r="AF111" s="106">
        <v>-3.4000000000000002E-2</v>
      </c>
      <c r="AG111" s="106">
        <v>-1.7999999999999999E-2</v>
      </c>
      <c r="AH111" s="106">
        <v>4.0000000000000001E-3</v>
      </c>
      <c r="AI111" s="106">
        <v>8.9999999999999993E-3</v>
      </c>
      <c r="AJ111" s="106">
        <v>3.0000000000000001E-3</v>
      </c>
      <c r="AK111" s="106">
        <v>2.1999999999999999E-2</v>
      </c>
      <c r="AL111" s="106">
        <v>-1.4999999999999999E-2</v>
      </c>
      <c r="AM111" s="106">
        <v>-3.5000000000000003E-2</v>
      </c>
      <c r="AN111" s="185"/>
      <c r="AO111" s="185"/>
      <c r="AP111" s="185"/>
      <c r="AQ111" s="185"/>
      <c r="AR111" s="185"/>
      <c r="AS111" s="185"/>
      <c r="AT111" s="185"/>
      <c r="AU111" s="185"/>
      <c r="AV111" s="95"/>
      <c r="AW111" s="95"/>
      <c r="AX111" s="95">
        <f t="shared" si="281"/>
        <v>3.95E-2</v>
      </c>
      <c r="AY111" s="95">
        <f t="shared" si="282"/>
        <v>3.2500000000000001E-2</v>
      </c>
      <c r="AZ111" s="95">
        <f t="shared" si="283"/>
        <v>4.1999999999999996E-2</v>
      </c>
      <c r="BA111" s="95">
        <f t="shared" si="284"/>
        <v>4.65E-2</v>
      </c>
      <c r="BB111" s="95">
        <f t="shared" si="285"/>
        <v>1.7000000000000001E-2</v>
      </c>
      <c r="BC111" s="95">
        <f t="shared" si="286"/>
        <v>7.9000000000000001E-2</v>
      </c>
      <c r="BD111" s="95">
        <f t="shared" si="287"/>
        <v>0.10450000000000001</v>
      </c>
      <c r="BE111" s="95">
        <f t="shared" si="288"/>
        <v>2.6000000000000002E-2</v>
      </c>
      <c r="BF111" s="95">
        <f t="shared" si="289"/>
        <v>3.7499999999999999E-2</v>
      </c>
      <c r="BG111" s="95">
        <f t="shared" si="290"/>
        <v>2.1500000000000002E-2</v>
      </c>
      <c r="BH111" s="95">
        <f t="shared" si="291"/>
        <v>-5.4499999999999993E-2</v>
      </c>
      <c r="BI111" s="95">
        <f t="shared" si="292"/>
        <v>-5.7000000000000002E-2</v>
      </c>
      <c r="BJ111" s="95">
        <f t="shared" si="293"/>
        <v>-3.4000000000000002E-2</v>
      </c>
      <c r="BK111" s="95">
        <f t="shared" si="294"/>
        <v>-6.9999999999999993E-3</v>
      </c>
      <c r="BL111" s="95">
        <f t="shared" si="295"/>
        <v>6.0000000000000001E-3</v>
      </c>
      <c r="BM111" s="95">
        <f t="shared" si="296"/>
        <v>3.4999999999999996E-3</v>
      </c>
      <c r="BN111" s="158"/>
      <c r="BO111" s="158"/>
      <c r="BP111" s="158"/>
      <c r="BQ111" s="158"/>
      <c r="BR111" s="158"/>
      <c r="BS111" s="158"/>
      <c r="BT111" s="158"/>
      <c r="BU111" s="158"/>
      <c r="BV111" s="158"/>
      <c r="BW111" s="158"/>
      <c r="BX111" s="158"/>
      <c r="BY111" s="158"/>
      <c r="BZ111" s="299">
        <f>AVERAGE(BJ111:BK111)</f>
        <v>-2.0500000000000001E-2</v>
      </c>
      <c r="CA111" s="277">
        <f>AVERAGE(BL111:BM111)</f>
        <v>4.7499999999999999E-3</v>
      </c>
    </row>
    <row r="112" spans="2:79" hidden="1" outlineLevel="1">
      <c r="B112" s="73" t="s">
        <v>322</v>
      </c>
      <c r="C112" s="117"/>
      <c r="D112" s="117"/>
      <c r="E112" s="117"/>
      <c r="F112" s="117"/>
      <c r="G112" s="108">
        <v>6.8000000000000005E-2</v>
      </c>
      <c r="H112" s="108">
        <v>4.2999999999999997E-2</v>
      </c>
      <c r="I112" s="108">
        <v>0.04</v>
      </c>
      <c r="J112" s="108">
        <v>4.9000000000000002E-2</v>
      </c>
      <c r="K112" s="108">
        <v>0.06</v>
      </c>
      <c r="L112" s="108">
        <v>8.7999999999999995E-2</v>
      </c>
      <c r="M112" s="108">
        <v>0.11</v>
      </c>
      <c r="N112" s="108">
        <v>8.4000000000000005E-2</v>
      </c>
      <c r="O112" s="108">
        <v>3.9E-2</v>
      </c>
      <c r="P112" s="108">
        <v>-1E-3</v>
      </c>
      <c r="Q112" s="108">
        <v>2.8000000000000001E-2</v>
      </c>
      <c r="R112" s="108">
        <v>0.14299999999999999</v>
      </c>
      <c r="S112" s="113">
        <v>9.7000000000000003E-2</v>
      </c>
      <c r="T112" s="106">
        <v>0.12</v>
      </c>
      <c r="U112" s="106">
        <v>0.16500000000000001</v>
      </c>
      <c r="V112" s="106">
        <v>-8.5999999999999993E-2</v>
      </c>
      <c r="W112" s="106">
        <v>-0.21299999999999999</v>
      </c>
      <c r="X112" s="106">
        <v>-2.8000000000000001E-2</v>
      </c>
      <c r="Y112" s="106">
        <v>-8.5000000000000006E-2</v>
      </c>
      <c r="Z112" s="106">
        <v>7.8E-2</v>
      </c>
      <c r="AA112" s="106">
        <v>0.29499999999999998</v>
      </c>
      <c r="AB112" s="106">
        <v>-2.9000000000000001E-2</v>
      </c>
      <c r="AC112" s="106">
        <v>6.0000000000000001E-3</v>
      </c>
      <c r="AD112" s="106">
        <v>-0.104</v>
      </c>
      <c r="AE112" s="106">
        <v>-7.5999999999999998E-2</v>
      </c>
      <c r="AF112" s="106">
        <v>-4.8000000000000001E-2</v>
      </c>
      <c r="AG112" s="106">
        <v>-4.1000000000000002E-2</v>
      </c>
      <c r="AH112" s="106">
        <v>1.2E-2</v>
      </c>
      <c r="AI112" s="106">
        <v>4.3999999999999997E-2</v>
      </c>
      <c r="AJ112" s="106">
        <v>2.5000000000000001E-2</v>
      </c>
      <c r="AK112" s="106">
        <v>4.9000000000000002E-2</v>
      </c>
      <c r="AL112" s="106">
        <v>8.9999999999999993E-3</v>
      </c>
      <c r="AM112" s="106">
        <v>-3.7999999999999999E-2</v>
      </c>
      <c r="AN112" s="185"/>
      <c r="AO112" s="185"/>
      <c r="AP112" s="185"/>
      <c r="AQ112" s="185"/>
      <c r="AR112" s="185"/>
      <c r="AS112" s="185"/>
      <c r="AT112" s="185"/>
      <c r="AU112" s="185"/>
      <c r="AV112" s="95"/>
      <c r="AW112" s="95"/>
      <c r="AX112" s="95">
        <f t="shared" si="281"/>
        <v>5.5500000000000001E-2</v>
      </c>
      <c r="AY112" s="95">
        <f t="shared" si="282"/>
        <v>4.4499999999999998E-2</v>
      </c>
      <c r="AZ112" s="95">
        <f t="shared" si="283"/>
        <v>7.3999999999999996E-2</v>
      </c>
      <c r="BA112" s="95">
        <f t="shared" si="284"/>
        <v>9.7000000000000003E-2</v>
      </c>
      <c r="BB112" s="95">
        <f t="shared" si="285"/>
        <v>1.9E-2</v>
      </c>
      <c r="BC112" s="95">
        <f t="shared" si="286"/>
        <v>8.5499999999999993E-2</v>
      </c>
      <c r="BD112" s="95">
        <f t="shared" si="287"/>
        <v>0.1085</v>
      </c>
      <c r="BE112" s="95">
        <f t="shared" si="288"/>
        <v>3.9500000000000007E-2</v>
      </c>
      <c r="BF112" s="95">
        <f t="shared" si="289"/>
        <v>-0.1205</v>
      </c>
      <c r="BG112" s="95">
        <f t="shared" si="290"/>
        <v>-3.5000000000000031E-3</v>
      </c>
      <c r="BH112" s="95">
        <f t="shared" si="291"/>
        <v>0.13299999999999998</v>
      </c>
      <c r="BI112" s="95">
        <f t="shared" si="292"/>
        <v>-4.8999999999999995E-2</v>
      </c>
      <c r="BJ112" s="95">
        <f t="shared" si="293"/>
        <v>-6.2E-2</v>
      </c>
      <c r="BK112" s="95">
        <f t="shared" si="294"/>
        <v>-1.4500000000000001E-2</v>
      </c>
      <c r="BL112" s="95">
        <f t="shared" si="295"/>
        <v>3.4500000000000003E-2</v>
      </c>
      <c r="BM112" s="95">
        <f t="shared" si="296"/>
        <v>2.9000000000000001E-2</v>
      </c>
      <c r="BN112" s="158"/>
      <c r="BO112" s="158"/>
      <c r="BP112" s="158"/>
      <c r="BQ112" s="158"/>
      <c r="BR112" s="158"/>
      <c r="BS112" s="158"/>
      <c r="BT112" s="158"/>
      <c r="BU112" s="158"/>
      <c r="BV112" s="158"/>
      <c r="BW112" s="158"/>
      <c r="BX112" s="158"/>
      <c r="BY112" s="158"/>
      <c r="BZ112" s="299">
        <f>AVERAGE(BJ112:BK112)</f>
        <v>-3.8249999999999999E-2</v>
      </c>
      <c r="CA112" s="277">
        <f>AVERAGE(BL112:BM112)</f>
        <v>3.175E-2</v>
      </c>
    </row>
    <row r="113" spans="2:79" hidden="1" outlineLevel="1">
      <c r="B113" s="73"/>
      <c r="C113" s="93"/>
      <c r="D113" s="93"/>
      <c r="E113" s="93"/>
      <c r="F113" s="93"/>
      <c r="G113" s="93"/>
      <c r="H113" s="93"/>
      <c r="I113" s="93"/>
      <c r="J113" s="93"/>
      <c r="K113" s="108"/>
      <c r="L113" s="108"/>
      <c r="M113" s="108"/>
      <c r="N113" s="108"/>
      <c r="O113" s="82"/>
      <c r="P113" s="82"/>
      <c r="Q113" s="82"/>
      <c r="R113" s="82"/>
      <c r="S113" s="82"/>
      <c r="T113" s="102"/>
      <c r="U113" s="102"/>
      <c r="V113" s="102"/>
      <c r="W113" s="103"/>
      <c r="X113" s="103"/>
      <c r="Y113" s="103"/>
      <c r="Z113" s="103"/>
      <c r="AA113" s="102"/>
      <c r="AB113" s="102"/>
      <c r="AC113" s="102"/>
      <c r="AD113" s="102"/>
      <c r="AE113" s="102"/>
      <c r="AF113" s="102"/>
      <c r="AG113" s="102"/>
      <c r="AH113" s="102"/>
      <c r="AI113" s="299"/>
      <c r="AJ113" s="299"/>
      <c r="AK113" s="299"/>
      <c r="AL113" s="299"/>
      <c r="AM113" s="299"/>
      <c r="AN113" s="277"/>
      <c r="AO113" s="277"/>
      <c r="AP113" s="277"/>
      <c r="AQ113" s="277"/>
      <c r="AR113" s="277"/>
      <c r="AS113" s="277"/>
      <c r="AT113" s="277"/>
      <c r="AU113" s="277"/>
      <c r="AV113" s="199"/>
      <c r="AW113" s="199"/>
      <c r="AX113" s="199"/>
      <c r="AY113" s="199"/>
      <c r="AZ113" s="199"/>
      <c r="BA113" s="199"/>
      <c r="BB113" s="199"/>
      <c r="BC113" s="199"/>
      <c r="BD113" s="199"/>
      <c r="BE113" s="199"/>
      <c r="BF113" s="199"/>
      <c r="BG113" s="199"/>
      <c r="BH113" s="199"/>
      <c r="BI113" s="199"/>
      <c r="BJ113" s="199"/>
      <c r="BK113" s="199"/>
      <c r="BL113" s="199"/>
      <c r="BM113" s="199"/>
      <c r="BN113" s="200"/>
      <c r="BO113" s="200"/>
      <c r="BP113" s="200"/>
      <c r="BQ113" s="200"/>
      <c r="BR113" s="200"/>
      <c r="BS113" s="200"/>
      <c r="BT113" s="200"/>
      <c r="BU113" s="200"/>
      <c r="BV113" s="200"/>
      <c r="BW113" s="200"/>
      <c r="BX113" s="200"/>
      <c r="BY113" s="200"/>
      <c r="BZ113" s="199"/>
      <c r="CA113" s="200"/>
    </row>
    <row r="114" spans="2:79" hidden="1" outlineLevel="1">
      <c r="B114" s="72" t="s">
        <v>318</v>
      </c>
      <c r="C114" s="93"/>
      <c r="D114" s="93"/>
      <c r="E114" s="93"/>
      <c r="F114" s="93"/>
      <c r="G114" s="93"/>
      <c r="H114" s="93"/>
      <c r="I114" s="93"/>
      <c r="J114" s="93"/>
      <c r="K114" s="108"/>
      <c r="L114" s="108"/>
      <c r="M114" s="108"/>
      <c r="N114" s="108"/>
      <c r="O114" s="82"/>
      <c r="P114" s="82"/>
      <c r="Q114" s="82"/>
      <c r="R114" s="82"/>
      <c r="S114" s="82"/>
      <c r="T114" s="102"/>
      <c r="U114" s="102"/>
      <c r="V114" s="102"/>
      <c r="W114" s="103"/>
      <c r="X114" s="103"/>
      <c r="Y114" s="103"/>
      <c r="Z114" s="103"/>
      <c r="AA114" s="102"/>
      <c r="AB114" s="102"/>
      <c r="AC114" s="102"/>
      <c r="AD114" s="102"/>
      <c r="AE114" s="102"/>
      <c r="AF114" s="102"/>
      <c r="AG114" s="102"/>
      <c r="AH114" s="102"/>
      <c r="AI114" s="299"/>
      <c r="AJ114" s="299"/>
      <c r="AK114" s="299"/>
      <c r="AL114" s="299"/>
      <c r="AM114" s="299"/>
      <c r="AN114" s="277"/>
      <c r="AO114" s="277"/>
      <c r="AP114" s="277"/>
      <c r="AQ114" s="277"/>
      <c r="AR114" s="277"/>
      <c r="AS114" s="277"/>
      <c r="AT114" s="277"/>
      <c r="AU114" s="277"/>
      <c r="AV114" s="199"/>
      <c r="AW114" s="199"/>
      <c r="AX114" s="199"/>
      <c r="AY114" s="199"/>
      <c r="AZ114" s="199"/>
      <c r="BA114" s="199"/>
      <c r="BB114" s="199"/>
      <c r="BC114" s="199"/>
      <c r="BD114" s="199"/>
      <c r="BE114" s="199"/>
      <c r="BF114" s="199"/>
      <c r="BG114" s="199"/>
      <c r="BH114" s="199"/>
      <c r="BI114" s="199"/>
      <c r="BJ114" s="199"/>
      <c r="BK114" s="199"/>
      <c r="BL114" s="199"/>
      <c r="BM114" s="199"/>
      <c r="BN114" s="200"/>
      <c r="BO114" s="200"/>
      <c r="BP114" s="200"/>
      <c r="BQ114" s="200"/>
      <c r="BR114" s="200"/>
      <c r="BS114" s="200"/>
      <c r="BT114" s="200"/>
      <c r="BU114" s="200"/>
      <c r="BV114" s="200"/>
      <c r="BW114" s="200"/>
      <c r="BX114" s="200"/>
      <c r="BY114" s="200"/>
      <c r="BZ114" s="199"/>
      <c r="CA114" s="200"/>
    </row>
    <row r="115" spans="2:79" hidden="1" outlineLevel="1">
      <c r="B115" s="73" t="s">
        <v>207</v>
      </c>
      <c r="C115" s="93"/>
      <c r="D115" s="93"/>
      <c r="E115" s="93"/>
      <c r="F115" s="93"/>
      <c r="G115" s="93"/>
      <c r="H115" s="93"/>
      <c r="I115" s="93"/>
      <c r="J115" s="93"/>
      <c r="K115" s="102"/>
      <c r="L115" s="102"/>
      <c r="M115" s="102"/>
      <c r="N115" s="102"/>
      <c r="O115" s="108">
        <v>0.59</v>
      </c>
      <c r="P115" s="108">
        <v>0.59</v>
      </c>
      <c r="Q115" s="108">
        <v>0.63</v>
      </c>
      <c r="R115" s="108">
        <v>0.57999999999999996</v>
      </c>
      <c r="S115" s="113">
        <v>0.6</v>
      </c>
      <c r="T115" s="106">
        <v>0.6</v>
      </c>
      <c r="U115" s="106">
        <v>0.63</v>
      </c>
      <c r="V115" s="106">
        <v>0.62</v>
      </c>
      <c r="W115" s="106">
        <v>0.59</v>
      </c>
      <c r="X115" s="106">
        <v>0.59</v>
      </c>
      <c r="Y115" s="106">
        <v>0.65</v>
      </c>
      <c r="Z115" s="106">
        <v>0.64</v>
      </c>
      <c r="AA115" s="106">
        <v>0.64</v>
      </c>
      <c r="AB115" s="106">
        <v>0.6</v>
      </c>
      <c r="AC115" s="106">
        <v>0.65</v>
      </c>
      <c r="AD115" s="106">
        <v>0.62</v>
      </c>
      <c r="AE115" s="106">
        <v>0.62</v>
      </c>
      <c r="AF115" s="106">
        <v>0.6</v>
      </c>
      <c r="AG115" s="106">
        <v>0.61</v>
      </c>
      <c r="AH115" s="106">
        <v>0.62</v>
      </c>
      <c r="AI115" s="106">
        <v>0.62</v>
      </c>
      <c r="AJ115" s="106">
        <v>0.57999999999999996</v>
      </c>
      <c r="AK115" s="106">
        <v>0.63</v>
      </c>
      <c r="AL115" s="106">
        <v>0.62</v>
      </c>
      <c r="AM115" s="106">
        <v>0.62</v>
      </c>
      <c r="AN115" s="185"/>
      <c r="AO115" s="185"/>
      <c r="AP115" s="185"/>
      <c r="AQ115" s="185"/>
      <c r="AR115" s="185"/>
      <c r="AS115" s="185"/>
      <c r="AT115" s="185"/>
      <c r="AU115" s="185"/>
      <c r="AV115" s="95"/>
      <c r="AW115" s="95"/>
      <c r="AX115" s="95"/>
      <c r="AY115" s="95"/>
      <c r="AZ115" s="95"/>
      <c r="BA115" s="95" t="e">
        <f t="shared" ref="BA115:BA116" si="297">AVERAGE(M115:N115)</f>
        <v>#DIV/0!</v>
      </c>
      <c r="BB115" s="95">
        <f t="shared" ref="BB115:BB116" si="298">AVERAGE(O115:P115)</f>
        <v>0.59</v>
      </c>
      <c r="BC115" s="95">
        <f t="shared" ref="BC115:BC116" si="299">AVERAGE(Q115:R115)</f>
        <v>0.60499999999999998</v>
      </c>
      <c r="BD115" s="95">
        <f t="shared" ref="BD115:BD116" si="300">AVERAGE(S115:T115)</f>
        <v>0.6</v>
      </c>
      <c r="BE115" s="95">
        <f t="shared" ref="BE115:BE116" si="301">AVERAGE(U115:V115)</f>
        <v>0.625</v>
      </c>
      <c r="BF115" s="95">
        <f t="shared" ref="BF115:BF116" si="302">AVERAGE(W115:X115)</f>
        <v>0.59</v>
      </c>
      <c r="BG115" s="95">
        <f t="shared" ref="BG115:BG116" si="303">AVERAGE(Y115:Z115)</f>
        <v>0.64500000000000002</v>
      </c>
      <c r="BH115" s="95">
        <f t="shared" ref="BH115:BH116" si="304">AVERAGE(AA115:AB115)</f>
        <v>0.62</v>
      </c>
      <c r="BI115" s="95">
        <f t="shared" ref="BI115:BI116" si="305">AVERAGE(AC115:AD115)</f>
        <v>0.63500000000000001</v>
      </c>
      <c r="BJ115" s="95">
        <f t="shared" ref="BJ115:BJ116" si="306">AVERAGE(AE115:AF115)</f>
        <v>0.61</v>
      </c>
      <c r="BK115" s="95">
        <f t="shared" ref="BK115:BK116" si="307">AVERAGE(AG115:AH115)</f>
        <v>0.61499999999999999</v>
      </c>
      <c r="BL115" s="95">
        <f t="shared" ref="BL115:BL116" si="308">AVERAGE(AI115:AJ115)</f>
        <v>0.6</v>
      </c>
      <c r="BM115" s="95">
        <f t="shared" ref="BM115:BM116" si="309">AVERAGE(AK115:AL115)</f>
        <v>0.625</v>
      </c>
      <c r="BN115" s="158"/>
      <c r="BO115" s="158"/>
      <c r="BP115" s="158"/>
      <c r="BQ115" s="158"/>
      <c r="BR115" s="158"/>
      <c r="BS115" s="158"/>
      <c r="BT115" s="158"/>
      <c r="BU115" s="158"/>
      <c r="BV115" s="158"/>
      <c r="BW115" s="158"/>
      <c r="BX115" s="158"/>
      <c r="BY115" s="158"/>
      <c r="BZ115" s="299">
        <f>AVERAGE(BJ115:BK115)</f>
        <v>0.61250000000000004</v>
      </c>
      <c r="CA115" s="277">
        <f>AVERAGE(BL115:BM115)</f>
        <v>0.61250000000000004</v>
      </c>
    </row>
    <row r="116" spans="2:79" hidden="1" outlineLevel="1">
      <c r="B116" s="73" t="s">
        <v>196</v>
      </c>
      <c r="C116" s="93"/>
      <c r="D116" s="93"/>
      <c r="E116" s="93"/>
      <c r="F116" s="93"/>
      <c r="G116" s="93"/>
      <c r="H116" s="93"/>
      <c r="I116" s="93"/>
      <c r="J116" s="93"/>
      <c r="K116" s="108">
        <v>0.79</v>
      </c>
      <c r="L116" s="108">
        <v>0.78</v>
      </c>
      <c r="M116" s="108">
        <v>0.8</v>
      </c>
      <c r="N116" s="108">
        <v>0.8</v>
      </c>
      <c r="O116" s="108">
        <v>0.79</v>
      </c>
      <c r="P116" s="108">
        <v>0.77</v>
      </c>
      <c r="Q116" s="108">
        <v>0.8</v>
      </c>
      <c r="R116" s="108">
        <v>0.77</v>
      </c>
      <c r="S116" s="113">
        <v>0.8</v>
      </c>
      <c r="T116" s="106">
        <v>0.78</v>
      </c>
      <c r="U116" s="106">
        <v>0.82</v>
      </c>
      <c r="V116" s="106">
        <v>0.83</v>
      </c>
      <c r="W116" s="106">
        <v>0.84</v>
      </c>
      <c r="X116" s="106">
        <v>0.8</v>
      </c>
      <c r="Y116" s="106">
        <v>0.83</v>
      </c>
      <c r="Z116" s="106">
        <v>0.83</v>
      </c>
      <c r="AA116" s="106">
        <v>0.83</v>
      </c>
      <c r="AB116" s="106">
        <v>0.81</v>
      </c>
      <c r="AC116" s="106">
        <v>0.83</v>
      </c>
      <c r="AD116" s="106">
        <v>0.83</v>
      </c>
      <c r="AE116" s="106">
        <v>0.82</v>
      </c>
      <c r="AF116" s="106">
        <v>0.8</v>
      </c>
      <c r="AG116" s="106">
        <v>0.82</v>
      </c>
      <c r="AH116" s="106">
        <v>0.82</v>
      </c>
      <c r="AI116" s="106">
        <v>0.83</v>
      </c>
      <c r="AJ116" s="106">
        <v>0.8</v>
      </c>
      <c r="AK116" s="106">
        <v>0.83</v>
      </c>
      <c r="AL116" s="106">
        <v>0.82</v>
      </c>
      <c r="AM116" s="106">
        <v>0.83</v>
      </c>
      <c r="AN116" s="185"/>
      <c r="AO116" s="185"/>
      <c r="AP116" s="185"/>
      <c r="AQ116" s="185"/>
      <c r="AR116" s="185"/>
      <c r="AS116" s="185"/>
      <c r="AT116" s="185"/>
      <c r="AU116" s="185"/>
      <c r="AV116" s="95"/>
      <c r="AW116" s="95"/>
      <c r="AX116" s="95"/>
      <c r="AY116" s="95"/>
      <c r="AZ116" s="95">
        <f t="shared" ref="AZ116" si="310">AVERAGE(K116:L116)</f>
        <v>0.78500000000000003</v>
      </c>
      <c r="BA116" s="95">
        <f t="shared" si="297"/>
        <v>0.8</v>
      </c>
      <c r="BB116" s="95">
        <f t="shared" si="298"/>
        <v>0.78</v>
      </c>
      <c r="BC116" s="95">
        <f t="shared" si="299"/>
        <v>0.78500000000000003</v>
      </c>
      <c r="BD116" s="95">
        <f t="shared" si="300"/>
        <v>0.79</v>
      </c>
      <c r="BE116" s="95">
        <f t="shared" si="301"/>
        <v>0.82499999999999996</v>
      </c>
      <c r="BF116" s="95">
        <f t="shared" si="302"/>
        <v>0.82000000000000006</v>
      </c>
      <c r="BG116" s="95">
        <f t="shared" si="303"/>
        <v>0.83</v>
      </c>
      <c r="BH116" s="95">
        <f t="shared" si="304"/>
        <v>0.82000000000000006</v>
      </c>
      <c r="BI116" s="95">
        <f t="shared" si="305"/>
        <v>0.83</v>
      </c>
      <c r="BJ116" s="95">
        <f t="shared" si="306"/>
        <v>0.81</v>
      </c>
      <c r="BK116" s="95">
        <f t="shared" si="307"/>
        <v>0.82</v>
      </c>
      <c r="BL116" s="95">
        <f t="shared" si="308"/>
        <v>0.81499999999999995</v>
      </c>
      <c r="BM116" s="95">
        <f t="shared" si="309"/>
        <v>0.82499999999999996</v>
      </c>
      <c r="BN116" s="158"/>
      <c r="BO116" s="158"/>
      <c r="BP116" s="158"/>
      <c r="BQ116" s="158"/>
      <c r="BR116" s="158"/>
      <c r="BS116" s="158"/>
      <c r="BT116" s="158"/>
      <c r="BU116" s="158"/>
      <c r="BV116" s="158"/>
      <c r="BW116" s="158"/>
      <c r="BX116" s="158"/>
      <c r="BY116" s="158"/>
      <c r="BZ116" s="299">
        <f>AVERAGE(BJ116:BK116)</f>
        <v>0.81499999999999995</v>
      </c>
      <c r="CA116" s="277">
        <f>AVERAGE(BL116:BM116)</f>
        <v>0.82</v>
      </c>
    </row>
    <row r="117" spans="2:79" hidden="1" outlineLevel="1">
      <c r="B117" s="73"/>
      <c r="C117" s="93"/>
      <c r="D117" s="93"/>
      <c r="E117" s="93"/>
      <c r="F117" s="93"/>
      <c r="G117" s="93"/>
      <c r="H117" s="93"/>
      <c r="I117" s="93"/>
      <c r="J117" s="93"/>
      <c r="K117" s="82"/>
      <c r="L117" s="82"/>
      <c r="M117" s="82"/>
      <c r="N117" s="82"/>
      <c r="O117" s="108"/>
      <c r="P117" s="108"/>
      <c r="Q117" s="108"/>
      <c r="R117" s="108"/>
      <c r="S117" s="113"/>
      <c r="T117" s="111"/>
      <c r="U117" s="111"/>
      <c r="V117" s="111"/>
      <c r="W117" s="106"/>
      <c r="X117" s="106"/>
      <c r="Y117" s="106"/>
      <c r="Z117" s="106"/>
      <c r="AA117" s="111"/>
      <c r="AB117" s="111"/>
      <c r="AC117" s="111"/>
      <c r="AD117" s="111"/>
      <c r="AE117" s="111"/>
      <c r="AF117" s="111"/>
      <c r="AG117" s="111"/>
      <c r="AH117" s="106"/>
      <c r="AI117" s="106"/>
      <c r="AJ117" s="106"/>
      <c r="AK117" s="106"/>
      <c r="AL117" s="106"/>
      <c r="AM117" s="106"/>
      <c r="AN117" s="185"/>
      <c r="AO117" s="185"/>
      <c r="AP117" s="185"/>
      <c r="AQ117" s="185"/>
      <c r="AR117" s="185"/>
      <c r="AS117" s="185"/>
      <c r="AT117" s="185"/>
      <c r="AU117" s="185"/>
      <c r="AV117" s="199"/>
      <c r="AW117" s="199"/>
      <c r="AX117" s="199"/>
      <c r="AY117" s="199"/>
      <c r="AZ117" s="199"/>
      <c r="BA117" s="199"/>
      <c r="BB117" s="199"/>
      <c r="BC117" s="199"/>
      <c r="BD117" s="199"/>
      <c r="BE117" s="199"/>
      <c r="BF117" s="199"/>
      <c r="BG117" s="199"/>
      <c r="BH117" s="199"/>
      <c r="BI117" s="199"/>
      <c r="BJ117" s="199"/>
      <c r="BK117" s="199"/>
      <c r="BL117" s="199"/>
      <c r="BM117" s="199"/>
      <c r="BN117" s="200"/>
      <c r="BO117" s="200"/>
      <c r="BP117" s="200"/>
      <c r="BQ117" s="200"/>
      <c r="BR117" s="200"/>
      <c r="BS117" s="200"/>
      <c r="BT117" s="200"/>
      <c r="BU117" s="200"/>
      <c r="BV117" s="200"/>
      <c r="BW117" s="200"/>
      <c r="BX117" s="200"/>
      <c r="BY117" s="200"/>
      <c r="BZ117" s="299"/>
      <c r="CA117" s="277"/>
    </row>
    <row r="118" spans="2:79" hidden="1" outlineLevel="1">
      <c r="B118" s="73" t="s">
        <v>338</v>
      </c>
      <c r="C118" s="93"/>
      <c r="D118" s="93"/>
      <c r="E118" s="93"/>
      <c r="F118" s="93"/>
      <c r="G118" s="93"/>
      <c r="H118" s="93"/>
      <c r="I118" s="93"/>
      <c r="J118" s="93"/>
      <c r="K118" s="108">
        <v>1.591</v>
      </c>
      <c r="L118" s="108">
        <v>1.4390000000000001</v>
      </c>
      <c r="M118" s="108">
        <v>1.67</v>
      </c>
      <c r="N118" s="108">
        <v>0.83499999999999996</v>
      </c>
      <c r="O118" s="108">
        <v>0.21199999999999999</v>
      </c>
      <c r="P118" s="108">
        <v>0.24399999999999999</v>
      </c>
      <c r="Q118" s="108">
        <v>0.73199999999999998</v>
      </c>
      <c r="R118" s="108">
        <v>1.8089999999999999</v>
      </c>
      <c r="S118" s="113">
        <v>1.752</v>
      </c>
      <c r="T118" s="113">
        <v>0.91</v>
      </c>
      <c r="U118" s="113">
        <v>0.34799999999999998</v>
      </c>
      <c r="V118" s="113">
        <v>4.5999999999999999E-2</v>
      </c>
      <c r="W118" s="113">
        <v>1.238</v>
      </c>
      <c r="X118" s="113">
        <v>0.29299999999999998</v>
      </c>
      <c r="Y118" s="113">
        <v>0.21199999999999999</v>
      </c>
      <c r="Z118" s="113">
        <v>0.14699999999999999</v>
      </c>
      <c r="AA118" s="113">
        <v>-0.51800000000000002</v>
      </c>
      <c r="AB118" s="113">
        <v>-5.3999999999999999E-2</v>
      </c>
      <c r="AC118" s="113">
        <v>-1.9E-2</v>
      </c>
      <c r="AD118" s="113">
        <v>-4.3999999999999997E-2</v>
      </c>
      <c r="AE118" s="113">
        <v>-0.02</v>
      </c>
      <c r="AF118" s="113">
        <v>1E-3</v>
      </c>
      <c r="AG118" s="113">
        <v>-4.5999999999999999E-2</v>
      </c>
      <c r="AH118" s="113">
        <v>5.0000000000000001E-3</v>
      </c>
      <c r="AI118" s="113">
        <v>0.17399999999999999</v>
      </c>
      <c r="AJ118" s="113">
        <v>6.2E-2</v>
      </c>
      <c r="AK118" s="113">
        <v>8.0000000000000002E-3</v>
      </c>
      <c r="AL118" s="113">
        <v>-5.3999999999999999E-2</v>
      </c>
      <c r="AM118" s="113">
        <v>0.123</v>
      </c>
      <c r="AN118" s="186"/>
      <c r="AO118" s="186"/>
      <c r="AP118" s="186"/>
      <c r="AQ118" s="186"/>
      <c r="AR118" s="186"/>
      <c r="AS118" s="186"/>
      <c r="AT118" s="186"/>
      <c r="AU118" s="186"/>
      <c r="AV118" s="95"/>
      <c r="AW118" s="95"/>
      <c r="AX118" s="95"/>
      <c r="AY118" s="95"/>
      <c r="AZ118" s="95">
        <f t="shared" ref="AZ118" si="311">AVERAGE(K118:L118)</f>
        <v>1.5150000000000001</v>
      </c>
      <c r="BA118" s="95">
        <f t="shared" ref="BA118" si="312">AVERAGE(M118:N118)</f>
        <v>1.2524999999999999</v>
      </c>
      <c r="BB118" s="95">
        <f t="shared" ref="BB118:BB119" si="313">AVERAGE(O118:P118)</f>
        <v>0.22799999999999998</v>
      </c>
      <c r="BC118" s="95">
        <f t="shared" ref="BC118:BC119" si="314">AVERAGE(Q118:R118)</f>
        <v>1.2705</v>
      </c>
      <c r="BD118" s="95">
        <f t="shared" ref="BD118:BD119" si="315">AVERAGE(S118:T118)</f>
        <v>1.331</v>
      </c>
      <c r="BE118" s="95">
        <f t="shared" ref="BE118:BE119" si="316">AVERAGE(U118:V118)</f>
        <v>0.19699999999999998</v>
      </c>
      <c r="BF118" s="95">
        <f t="shared" ref="BF118:BF119" si="317">AVERAGE(W118:X118)</f>
        <v>0.76549999999999996</v>
      </c>
      <c r="BG118" s="95">
        <f t="shared" ref="BG118:BG119" si="318">AVERAGE(Y118:Z118)</f>
        <v>0.17949999999999999</v>
      </c>
      <c r="BH118" s="95">
        <f t="shared" ref="BH118:BH119" si="319">AVERAGE(AA118:AB118)</f>
        <v>-0.28600000000000003</v>
      </c>
      <c r="BI118" s="95">
        <f t="shared" ref="BI118:BI119" si="320">AVERAGE(AC118:AD118)</f>
        <v>-3.15E-2</v>
      </c>
      <c r="BJ118" s="95">
        <f t="shared" ref="BJ118:BJ119" si="321">AVERAGE(AE118:AF118)</f>
        <v>-9.4999999999999998E-3</v>
      </c>
      <c r="BK118" s="95">
        <f t="shared" ref="BK118:BK119" si="322">AVERAGE(AG118:AH118)</f>
        <v>-2.0500000000000001E-2</v>
      </c>
      <c r="BL118" s="95">
        <f t="shared" ref="BL118:BL119" si="323">AVERAGE(AI118:AJ118)</f>
        <v>0.11799999999999999</v>
      </c>
      <c r="BM118" s="95">
        <f t="shared" ref="BM118:BM119" si="324">AVERAGE(AK118:AL118)</f>
        <v>-2.3E-2</v>
      </c>
      <c r="BN118" s="158"/>
      <c r="BO118" s="158"/>
      <c r="BP118" s="158"/>
      <c r="BQ118" s="158"/>
      <c r="BR118" s="158"/>
      <c r="BS118" s="158"/>
      <c r="BT118" s="158"/>
      <c r="BU118" s="158"/>
      <c r="BV118" s="158"/>
      <c r="BW118" s="158"/>
      <c r="BX118" s="158"/>
      <c r="BY118" s="158"/>
      <c r="BZ118" s="299">
        <f>AVERAGE(BJ118:BK118)</f>
        <v>-1.4999999999999999E-2</v>
      </c>
      <c r="CA118" s="277">
        <f>AVERAGE(BL118:BM118)</f>
        <v>4.7500000000000001E-2</v>
      </c>
    </row>
    <row r="119" spans="2:79" hidden="1" outlineLevel="1">
      <c r="B119" s="73" t="s">
        <v>343</v>
      </c>
      <c r="C119" s="93"/>
      <c r="D119" s="93"/>
      <c r="E119" s="93"/>
      <c r="F119" s="93"/>
      <c r="G119" s="93"/>
      <c r="H119" s="93"/>
      <c r="I119" s="93"/>
      <c r="J119" s="93"/>
      <c r="K119" s="93"/>
      <c r="L119" s="93"/>
      <c r="M119" s="93"/>
      <c r="N119" s="93"/>
      <c r="O119" s="108">
        <v>4.1000000000000002E-2</v>
      </c>
      <c r="P119" s="108">
        <v>6.0999999999999999E-2</v>
      </c>
      <c r="Q119" s="108">
        <v>6.5000000000000002E-2</v>
      </c>
      <c r="R119" s="108">
        <v>8.4000000000000005E-2</v>
      </c>
      <c r="S119" s="113">
        <v>0.49199999999999999</v>
      </c>
      <c r="T119" s="106">
        <v>0.501</v>
      </c>
      <c r="U119" s="106">
        <v>0.51</v>
      </c>
      <c r="V119" s="106">
        <v>0.50800000000000001</v>
      </c>
      <c r="W119" s="106">
        <v>0.498</v>
      </c>
      <c r="X119" s="106">
        <v>0.52100000000000002</v>
      </c>
      <c r="Y119" s="106">
        <v>0.51900000000000002</v>
      </c>
      <c r="Z119" s="106">
        <v>0.52100000000000002</v>
      </c>
      <c r="AA119" s="106">
        <v>0.52</v>
      </c>
      <c r="AB119" s="106">
        <v>0.53300000000000003</v>
      </c>
      <c r="AC119" s="106">
        <v>0.53900000000000003</v>
      </c>
      <c r="AD119" s="106">
        <v>0.54500000000000004</v>
      </c>
      <c r="AE119" s="106">
        <v>0.54700000000000004</v>
      </c>
      <c r="AF119" s="106">
        <v>0.56499999999999995</v>
      </c>
      <c r="AG119" s="106">
        <v>0.56999999999999995</v>
      </c>
      <c r="AH119" s="106">
        <v>0.57999999999999996</v>
      </c>
      <c r="AI119" s="106">
        <v>0.58299999999999996</v>
      </c>
      <c r="AJ119" s="106">
        <v>0.58199999999999996</v>
      </c>
      <c r="AK119" s="106">
        <v>0.58399999999999996</v>
      </c>
      <c r="AL119" s="106">
        <v>0.58099999999999996</v>
      </c>
      <c r="AM119" s="106"/>
      <c r="AN119" s="185"/>
      <c r="AO119" s="185"/>
      <c r="AP119" s="185"/>
      <c r="AQ119" s="185"/>
      <c r="AR119" s="185"/>
      <c r="AS119" s="185"/>
      <c r="AT119" s="185"/>
      <c r="AU119" s="185"/>
      <c r="AV119" s="95"/>
      <c r="AW119" s="95"/>
      <c r="AX119" s="95"/>
      <c r="AY119" s="95"/>
      <c r="AZ119" s="95"/>
      <c r="BA119" s="95"/>
      <c r="BB119" s="95">
        <f t="shared" si="313"/>
        <v>5.1000000000000004E-2</v>
      </c>
      <c r="BC119" s="95">
        <f t="shared" si="314"/>
        <v>7.4500000000000011E-2</v>
      </c>
      <c r="BD119" s="95">
        <f t="shared" si="315"/>
        <v>0.4965</v>
      </c>
      <c r="BE119" s="95">
        <f t="shared" si="316"/>
        <v>0.50900000000000001</v>
      </c>
      <c r="BF119" s="95">
        <f t="shared" si="317"/>
        <v>0.50950000000000006</v>
      </c>
      <c r="BG119" s="95">
        <f t="shared" si="318"/>
        <v>0.52</v>
      </c>
      <c r="BH119" s="95">
        <f t="shared" si="319"/>
        <v>0.52649999999999997</v>
      </c>
      <c r="BI119" s="95">
        <f t="shared" si="320"/>
        <v>0.54200000000000004</v>
      </c>
      <c r="BJ119" s="95">
        <f t="shared" si="321"/>
        <v>0.55600000000000005</v>
      </c>
      <c r="BK119" s="95">
        <f t="shared" si="322"/>
        <v>0.57499999999999996</v>
      </c>
      <c r="BL119" s="95">
        <f t="shared" si="323"/>
        <v>0.58250000000000002</v>
      </c>
      <c r="BM119" s="95">
        <f t="shared" si="324"/>
        <v>0.58250000000000002</v>
      </c>
      <c r="BN119" s="158"/>
      <c r="BO119" s="158"/>
      <c r="BP119" s="158"/>
      <c r="BQ119" s="158"/>
      <c r="BR119" s="158"/>
      <c r="BS119" s="158"/>
      <c r="BT119" s="158"/>
      <c r="BU119" s="158"/>
      <c r="BV119" s="158"/>
      <c r="BW119" s="158"/>
      <c r="BX119" s="158"/>
      <c r="BY119" s="158"/>
      <c r="BZ119" s="299">
        <f>AVERAGE(BJ119:BK119)</f>
        <v>0.5655</v>
      </c>
      <c r="CA119" s="277">
        <f>AVERAGE(BL119:BM119)</f>
        <v>0.58250000000000002</v>
      </c>
    </row>
    <row r="120" spans="2:79" hidden="1" outlineLevel="1">
      <c r="B120" s="73"/>
      <c r="C120" s="32"/>
      <c r="D120" s="32"/>
      <c r="E120" s="32"/>
      <c r="F120" s="32"/>
      <c r="G120" s="32"/>
      <c r="H120" s="32"/>
      <c r="I120" s="32"/>
      <c r="J120" s="32"/>
      <c r="K120" s="32"/>
      <c r="L120" s="32"/>
      <c r="M120" s="32"/>
      <c r="N120" s="32"/>
      <c r="O120" s="32"/>
      <c r="P120" s="32"/>
      <c r="Q120" s="32"/>
      <c r="R120" s="32"/>
      <c r="S120" s="112"/>
      <c r="T120" s="112"/>
      <c r="U120" s="112"/>
      <c r="V120" s="112"/>
      <c r="W120" s="112"/>
      <c r="X120" s="112"/>
      <c r="Y120" s="112"/>
      <c r="Z120" s="112"/>
      <c r="AA120" s="112"/>
      <c r="AB120" s="112"/>
      <c r="AC120" s="112"/>
      <c r="AD120" s="112"/>
      <c r="AE120" s="112"/>
      <c r="AF120" s="112"/>
      <c r="AG120" s="112"/>
      <c r="AH120" s="104"/>
      <c r="AI120" s="104"/>
      <c r="AJ120" s="104"/>
      <c r="AK120" s="104"/>
      <c r="AL120" s="104"/>
      <c r="AM120" s="104"/>
      <c r="AN120" s="186"/>
      <c r="AO120" s="186"/>
      <c r="AP120" s="186"/>
      <c r="AQ120" s="186"/>
      <c r="AR120" s="186"/>
      <c r="AS120" s="186"/>
      <c r="AT120" s="186"/>
      <c r="AU120" s="186"/>
      <c r="AV120" s="199"/>
      <c r="AW120" s="199"/>
      <c r="AX120" s="199"/>
      <c r="AY120" s="199"/>
      <c r="AZ120" s="199"/>
      <c r="BA120" s="199"/>
      <c r="BB120" s="199"/>
      <c r="BC120" s="199"/>
      <c r="BD120" s="199"/>
      <c r="BE120" s="199"/>
      <c r="BF120" s="199"/>
      <c r="BG120" s="199"/>
      <c r="BH120" s="199"/>
      <c r="BI120" s="199"/>
      <c r="BJ120" s="199"/>
      <c r="BK120" s="199"/>
      <c r="BL120" s="199"/>
      <c r="BM120" s="199"/>
      <c r="BN120" s="200"/>
      <c r="BO120" s="200"/>
      <c r="BP120" s="200"/>
      <c r="BQ120" s="200"/>
      <c r="BR120" s="200"/>
      <c r="BS120" s="200"/>
      <c r="BT120" s="200"/>
      <c r="BU120" s="200"/>
      <c r="BV120" s="200"/>
      <c r="BW120" s="200"/>
      <c r="BX120" s="200"/>
      <c r="BY120" s="200"/>
      <c r="BZ120" s="299"/>
      <c r="CA120" s="277"/>
    </row>
    <row r="121" spans="2:79" collapsed="1">
      <c r="B121" s="2" t="s">
        <v>41</v>
      </c>
      <c r="C121" s="97"/>
      <c r="D121" s="97"/>
      <c r="E121" s="97"/>
      <c r="F121" s="97"/>
      <c r="G121" s="97"/>
      <c r="H121" s="97"/>
      <c r="I121" s="97"/>
      <c r="J121" s="97"/>
      <c r="K121" s="97"/>
      <c r="L121" s="97"/>
      <c r="M121" s="97"/>
      <c r="N121" s="97"/>
      <c r="O121" s="97"/>
      <c r="P121" s="97"/>
      <c r="Q121" s="97"/>
      <c r="R121" s="97"/>
      <c r="S121" s="97"/>
      <c r="T121" s="97"/>
      <c r="U121" s="97"/>
      <c r="V121" s="97"/>
      <c r="W121" s="97"/>
      <c r="X121" s="97"/>
      <c r="Y121" s="97"/>
      <c r="Z121" s="97"/>
      <c r="AA121" s="97"/>
      <c r="AB121" s="97"/>
      <c r="AC121" s="97"/>
      <c r="AD121" s="97"/>
      <c r="AE121" s="97"/>
      <c r="AF121" s="97"/>
      <c r="AG121" s="97"/>
      <c r="AH121" s="97"/>
      <c r="AI121" s="251"/>
      <c r="AJ121" s="251"/>
      <c r="AK121" s="251"/>
      <c r="AL121" s="251"/>
      <c r="AM121" s="251"/>
      <c r="AN121" s="251"/>
      <c r="AO121" s="251"/>
      <c r="AP121" s="251"/>
      <c r="AQ121" s="251"/>
      <c r="AR121" s="251"/>
      <c r="AS121" s="251"/>
      <c r="AT121" s="251"/>
      <c r="AU121" s="350"/>
      <c r="AV121" s="167"/>
      <c r="AW121" s="167"/>
      <c r="AX121" s="167"/>
      <c r="AY121" s="167"/>
      <c r="AZ121" s="167"/>
      <c r="BA121" s="167"/>
      <c r="BB121" s="167"/>
      <c r="BC121" s="167"/>
      <c r="BD121" s="167"/>
      <c r="BE121" s="167"/>
      <c r="BF121" s="167"/>
      <c r="BG121" s="167"/>
      <c r="BH121" s="167"/>
      <c r="BI121" s="167"/>
      <c r="BJ121" s="167"/>
      <c r="BK121" s="167"/>
      <c r="BL121" s="167"/>
      <c r="BM121" s="167"/>
      <c r="BN121" s="167"/>
      <c r="BO121" s="167"/>
      <c r="BP121" s="200"/>
      <c r="BQ121" s="200"/>
      <c r="BR121" s="167"/>
      <c r="BS121" s="167"/>
      <c r="BT121" s="167"/>
      <c r="BU121" s="167"/>
      <c r="BV121" s="167"/>
      <c r="BW121" s="167"/>
      <c r="BX121" s="167"/>
      <c r="BY121" s="167"/>
      <c r="BZ121" s="167"/>
      <c r="CA121" s="167"/>
    </row>
    <row r="122" spans="2:79">
      <c r="B122" s="73" t="s">
        <v>68</v>
      </c>
      <c r="C122" s="32"/>
      <c r="D122" s="32"/>
      <c r="E122" s="32"/>
      <c r="F122" s="32"/>
      <c r="G122" s="32"/>
      <c r="H122" s="32"/>
      <c r="I122" s="32"/>
      <c r="J122" s="32"/>
      <c r="K122" s="32"/>
      <c r="L122" s="32"/>
      <c r="M122" s="32"/>
      <c r="N122" s="32"/>
      <c r="O122" s="32"/>
      <c r="P122" s="32"/>
      <c r="Q122" s="32"/>
      <c r="R122" s="32"/>
      <c r="S122" s="32"/>
      <c r="T122" s="32"/>
      <c r="U122" s="32"/>
      <c r="V122" s="32"/>
      <c r="W122" s="32"/>
      <c r="X122" s="32"/>
      <c r="Y122" s="32"/>
      <c r="Z122" s="32"/>
      <c r="AA122" s="81">
        <f t="shared" ref="AA122:AC122" si="325">AA9</f>
        <v>1197</v>
      </c>
      <c r="AB122" s="81">
        <f t="shared" si="325"/>
        <v>1511</v>
      </c>
      <c r="AC122" s="81">
        <f t="shared" si="325"/>
        <v>1046</v>
      </c>
      <c r="AD122" s="81">
        <f>AD9</f>
        <v>1031</v>
      </c>
      <c r="AE122" s="22">
        <v>1131</v>
      </c>
      <c r="AF122" s="21">
        <f>BJ122-AE122</f>
        <v>1464</v>
      </c>
      <c r="AG122" s="22">
        <v>1001</v>
      </c>
      <c r="AH122" s="21">
        <f>BK122-AG122</f>
        <v>1084</v>
      </c>
      <c r="AI122" s="22">
        <v>1126</v>
      </c>
      <c r="AJ122" s="22">
        <v>1463</v>
      </c>
      <c r="AK122" s="22">
        <v>986</v>
      </c>
      <c r="AL122" s="21">
        <f>BM122-AK122</f>
        <v>1074</v>
      </c>
      <c r="AM122" s="22">
        <v>1138</v>
      </c>
      <c r="AN122" s="148">
        <f>BN122-AM122</f>
        <v>1466.672</v>
      </c>
      <c r="AO122" s="149">
        <f>AK122*(1+AO129)</f>
        <v>995.86</v>
      </c>
      <c r="AP122" s="149">
        <f>BO122-AO122</f>
        <v>1085.2639999999992</v>
      </c>
      <c r="AQ122" s="149"/>
      <c r="AR122" s="149"/>
      <c r="AS122" s="149"/>
      <c r="AT122" s="149"/>
      <c r="AU122" s="184"/>
      <c r="AV122" s="199"/>
      <c r="AW122" s="199"/>
      <c r="AX122" s="199"/>
      <c r="AY122" s="199"/>
      <c r="AZ122" s="199"/>
      <c r="BA122" s="199"/>
      <c r="BB122" s="199"/>
      <c r="BC122" s="199"/>
      <c r="BD122" s="199"/>
      <c r="BE122" s="199"/>
      <c r="BF122" s="199"/>
      <c r="BG122" s="199"/>
      <c r="BH122" s="199"/>
      <c r="BI122" s="199"/>
      <c r="BJ122" s="201">
        <f>Model!AF197</f>
        <v>2595</v>
      </c>
      <c r="BK122" s="201">
        <f>Model!AG197</f>
        <v>2085</v>
      </c>
      <c r="BL122" s="201">
        <f>Model!AH197</f>
        <v>2584</v>
      </c>
      <c r="BM122" s="201">
        <f>Model!AI197</f>
        <v>2060</v>
      </c>
      <c r="BN122" s="204">
        <f>Model!AJ197</f>
        <v>2604.672</v>
      </c>
      <c r="BO122" s="204">
        <f>Model!AK197</f>
        <v>2081.1239999999993</v>
      </c>
      <c r="BP122" s="200"/>
      <c r="BQ122" s="200"/>
      <c r="BR122" s="199"/>
      <c r="BS122" s="199"/>
      <c r="BT122" s="199"/>
      <c r="BU122" s="199"/>
      <c r="BV122" s="199"/>
      <c r="BW122" s="199"/>
      <c r="BX122" s="199"/>
      <c r="BY122" s="201">
        <f>Model!K197</f>
        <v>4644</v>
      </c>
      <c r="BZ122" s="201">
        <f>Model!L197</f>
        <v>4685.7959999999994</v>
      </c>
      <c r="CA122" s="204">
        <f>Model!M197</f>
        <v>4779.511919999999</v>
      </c>
    </row>
    <row r="123" spans="2:79">
      <c r="B123" s="73" t="s">
        <v>69</v>
      </c>
      <c r="C123" s="32"/>
      <c r="D123" s="32"/>
      <c r="E123" s="32"/>
      <c r="F123" s="32"/>
      <c r="G123" s="32"/>
      <c r="H123" s="32"/>
      <c r="I123" s="32"/>
      <c r="J123" s="32"/>
      <c r="K123" s="32"/>
      <c r="L123" s="32"/>
      <c r="M123" s="32"/>
      <c r="N123" s="32"/>
      <c r="O123" s="32"/>
      <c r="P123" s="32"/>
      <c r="Q123" s="32"/>
      <c r="R123" s="32"/>
      <c r="S123" s="32"/>
      <c r="T123" s="32"/>
      <c r="U123" s="32"/>
      <c r="V123" s="32"/>
      <c r="W123" s="32"/>
      <c r="X123" s="32"/>
      <c r="Y123" s="32"/>
      <c r="Z123" s="32"/>
      <c r="AA123" s="32"/>
      <c r="AB123" s="32"/>
      <c r="AC123" s="32"/>
      <c r="AD123" s="32"/>
      <c r="AE123" s="22">
        <v>0</v>
      </c>
      <c r="AF123" s="21">
        <f t="shared" ref="AF123:AF125" si="326">BJ123-AE123</f>
        <v>0</v>
      </c>
      <c r="AG123" s="22">
        <v>226</v>
      </c>
      <c r="AH123" s="21">
        <f t="shared" ref="AH123:AH125" si="327">BK123-AG123</f>
        <v>200</v>
      </c>
      <c r="AI123" s="22">
        <v>206</v>
      </c>
      <c r="AJ123" s="22">
        <v>201</v>
      </c>
      <c r="AK123" s="22">
        <v>204</v>
      </c>
      <c r="AL123" s="21">
        <f t="shared" ref="AL123:AL125" si="328">BM123-AK123</f>
        <v>228</v>
      </c>
      <c r="AM123" s="22">
        <v>238</v>
      </c>
      <c r="AN123" s="148">
        <f>BN123-AM123</f>
        <v>231.70000000000005</v>
      </c>
      <c r="AO123" s="149">
        <f t="shared" ref="AO123:AO124" si="329">AK123*(1+AO130)</f>
        <v>218.28</v>
      </c>
      <c r="AP123" s="149">
        <f t="shared" ref="AP123:AP126" si="330">BO123-AO123</f>
        <v>243.02978723404246</v>
      </c>
      <c r="AQ123" s="149"/>
      <c r="AR123" s="149"/>
      <c r="AS123" s="149"/>
      <c r="AT123" s="149"/>
      <c r="AU123" s="184"/>
      <c r="AV123" s="199"/>
      <c r="AW123" s="199"/>
      <c r="AX123" s="199"/>
      <c r="AY123" s="199"/>
      <c r="AZ123" s="199"/>
      <c r="BA123" s="199"/>
      <c r="BB123" s="199"/>
      <c r="BC123" s="199"/>
      <c r="BD123" s="199"/>
      <c r="BE123" s="199"/>
      <c r="BF123" s="199"/>
      <c r="BG123" s="199"/>
      <c r="BH123" s="199"/>
      <c r="BI123" s="199"/>
      <c r="BJ123" s="201">
        <f>Model!AF198</f>
        <v>0</v>
      </c>
      <c r="BK123" s="201">
        <f>Model!AG198</f>
        <v>426</v>
      </c>
      <c r="BL123" s="201">
        <f>Model!AH198</f>
        <v>427</v>
      </c>
      <c r="BM123" s="201">
        <f>Model!AI198</f>
        <v>432</v>
      </c>
      <c r="BN123" s="204">
        <f>Model!AJ198</f>
        <v>469.70000000000005</v>
      </c>
      <c r="BO123" s="204">
        <f>Model!AK198</f>
        <v>461.30978723404246</v>
      </c>
      <c r="BP123" s="200"/>
      <c r="BQ123" s="200"/>
      <c r="BR123" s="199"/>
      <c r="BS123" s="199"/>
      <c r="BT123" s="199"/>
      <c r="BU123" s="199"/>
      <c r="BV123" s="199"/>
      <c r="BW123" s="199"/>
      <c r="BX123" s="199"/>
      <c r="BY123" s="201">
        <f>Model!K198</f>
        <v>859</v>
      </c>
      <c r="BZ123" s="201">
        <f>Model!L198</f>
        <v>931.00978723404251</v>
      </c>
      <c r="CA123" s="204">
        <f>Model!M198</f>
        <v>1005.490570212766</v>
      </c>
    </row>
    <row r="124" spans="2:79" hidden="1" outlineLevel="1">
      <c r="B124" s="73" t="s">
        <v>208</v>
      </c>
      <c r="C124" s="32"/>
      <c r="D124" s="32"/>
      <c r="E124" s="32"/>
      <c r="F124" s="32"/>
      <c r="G124" s="32"/>
      <c r="H124" s="32"/>
      <c r="I124" s="32"/>
      <c r="J124" s="32"/>
      <c r="K124" s="32"/>
      <c r="L124" s="32"/>
      <c r="M124" s="32"/>
      <c r="N124" s="32"/>
      <c r="O124" s="32"/>
      <c r="P124" s="32"/>
      <c r="Q124" s="32"/>
      <c r="R124" s="32"/>
      <c r="S124" s="32"/>
      <c r="T124" s="32"/>
      <c r="U124" s="32"/>
      <c r="V124" s="32"/>
      <c r="W124" s="32"/>
      <c r="X124" s="32"/>
      <c r="Y124" s="32"/>
      <c r="Z124" s="32"/>
      <c r="AA124" s="32"/>
      <c r="AB124" s="32"/>
      <c r="AC124" s="32"/>
      <c r="AD124" s="32"/>
      <c r="AE124" s="22">
        <v>29</v>
      </c>
      <c r="AF124" s="21">
        <f t="shared" si="326"/>
        <v>32</v>
      </c>
      <c r="AG124" s="22">
        <v>26</v>
      </c>
      <c r="AH124" s="21">
        <f t="shared" si="327"/>
        <v>27</v>
      </c>
      <c r="AI124" s="22">
        <v>30</v>
      </c>
      <c r="AJ124" s="22">
        <v>42</v>
      </c>
      <c r="AK124" s="22">
        <v>30</v>
      </c>
      <c r="AL124" s="21">
        <f t="shared" si="328"/>
        <v>33</v>
      </c>
      <c r="AM124" s="22"/>
      <c r="AN124" s="148"/>
      <c r="AO124" s="149">
        <f t="shared" si="329"/>
        <v>30</v>
      </c>
      <c r="AP124" s="149">
        <f t="shared" si="330"/>
        <v>-30</v>
      </c>
      <c r="AQ124" s="149"/>
      <c r="AR124" s="149"/>
      <c r="AS124" s="149"/>
      <c r="AT124" s="149"/>
      <c r="AU124" s="184"/>
      <c r="AV124" s="199"/>
      <c r="AW124" s="199"/>
      <c r="AX124" s="199"/>
      <c r="AY124" s="199"/>
      <c r="AZ124" s="199"/>
      <c r="BA124" s="199"/>
      <c r="BB124" s="199"/>
      <c r="BC124" s="199"/>
      <c r="BD124" s="199"/>
      <c r="BE124" s="199"/>
      <c r="BF124" s="199"/>
      <c r="BG124" s="199"/>
      <c r="BH124" s="199"/>
      <c r="BI124" s="199"/>
      <c r="BJ124" s="201">
        <f>Model!AF199</f>
        <v>61</v>
      </c>
      <c r="BK124" s="201">
        <f>Model!AG199</f>
        <v>53</v>
      </c>
      <c r="BL124" s="201">
        <f>Model!AH199</f>
        <v>72</v>
      </c>
      <c r="BM124" s="201">
        <f>Model!AI199</f>
        <v>63</v>
      </c>
      <c r="BN124" s="204"/>
      <c r="BO124" s="204">
        <f>Model!AK199</f>
        <v>0</v>
      </c>
      <c r="BP124" s="200"/>
      <c r="BQ124" s="200"/>
      <c r="BR124" s="199"/>
      <c r="BS124" s="199"/>
      <c r="BT124" s="199"/>
      <c r="BU124" s="199"/>
      <c r="BV124" s="199"/>
      <c r="BW124" s="199"/>
      <c r="BX124" s="199"/>
      <c r="BY124" s="201">
        <f>Model!K199</f>
        <v>135</v>
      </c>
      <c r="BZ124" s="201">
        <f>Model!L199</f>
        <v>14</v>
      </c>
      <c r="CA124" s="204">
        <f>Model!M199</f>
        <v>0</v>
      </c>
    </row>
    <row r="125" spans="2:79" collapsed="1">
      <c r="B125" s="73" t="s">
        <v>489</v>
      </c>
      <c r="C125" s="32"/>
      <c r="D125" s="32"/>
      <c r="E125" s="32"/>
      <c r="F125" s="32"/>
      <c r="G125" s="32"/>
      <c r="H125" s="32"/>
      <c r="I125" s="32"/>
      <c r="J125" s="32"/>
      <c r="K125" s="32"/>
      <c r="L125" s="32"/>
      <c r="M125" s="32"/>
      <c r="N125" s="32"/>
      <c r="O125" s="32"/>
      <c r="P125" s="32"/>
      <c r="Q125" s="32"/>
      <c r="R125" s="32"/>
      <c r="S125" s="32"/>
      <c r="T125" s="32"/>
      <c r="U125" s="32"/>
      <c r="V125" s="32"/>
      <c r="W125" s="32"/>
      <c r="X125" s="32"/>
      <c r="Y125" s="32"/>
      <c r="Z125" s="32"/>
      <c r="AA125" s="32"/>
      <c r="AB125" s="32"/>
      <c r="AC125" s="32"/>
      <c r="AD125" s="32"/>
      <c r="AE125" s="22"/>
      <c r="AF125" s="21">
        <f t="shared" si="326"/>
        <v>0</v>
      </c>
      <c r="AG125" s="22"/>
      <c r="AH125" s="21">
        <f t="shared" si="327"/>
        <v>0</v>
      </c>
      <c r="AI125" s="22">
        <v>14</v>
      </c>
      <c r="AJ125" s="22"/>
      <c r="AK125" s="22"/>
      <c r="AL125" s="21">
        <f t="shared" si="328"/>
        <v>0</v>
      </c>
      <c r="AM125" s="22">
        <v>14</v>
      </c>
      <c r="AN125" s="148">
        <f>BN125-AM125</f>
        <v>0</v>
      </c>
      <c r="AO125" s="147">
        <v>0</v>
      </c>
      <c r="AP125" s="149">
        <f t="shared" si="330"/>
        <v>0</v>
      </c>
      <c r="AQ125" s="149"/>
      <c r="AR125" s="149"/>
      <c r="AS125" s="149"/>
      <c r="AT125" s="149"/>
      <c r="AU125" s="184"/>
      <c r="AV125" s="199"/>
      <c r="AW125" s="199"/>
      <c r="AX125" s="199"/>
      <c r="AY125" s="199"/>
      <c r="AZ125" s="199"/>
      <c r="BA125" s="199"/>
      <c r="BB125" s="199"/>
      <c r="BC125" s="199"/>
      <c r="BD125" s="199"/>
      <c r="BE125" s="199"/>
      <c r="BF125" s="199"/>
      <c r="BG125" s="199"/>
      <c r="BH125" s="199"/>
      <c r="BI125" s="199"/>
      <c r="BJ125" s="201"/>
      <c r="BK125" s="201"/>
      <c r="BL125" s="201"/>
      <c r="BM125" s="201"/>
      <c r="BN125" s="204">
        <f>Model!AJ314</f>
        <v>14</v>
      </c>
      <c r="BO125" s="204">
        <f>Model!AK314</f>
        <v>0</v>
      </c>
      <c r="BP125" s="200"/>
      <c r="BQ125" s="200"/>
      <c r="BR125" s="199"/>
      <c r="BS125" s="199"/>
      <c r="BT125" s="199"/>
      <c r="BU125" s="199"/>
      <c r="BV125" s="199"/>
      <c r="BW125" s="199"/>
      <c r="BX125" s="199"/>
      <c r="BY125" s="201">
        <f>Model!K200</f>
        <v>0</v>
      </c>
      <c r="BZ125" s="201">
        <f>Model!L200</f>
        <v>0</v>
      </c>
      <c r="CA125" s="204">
        <f>Model!M200</f>
        <v>0</v>
      </c>
    </row>
    <row r="126" spans="2:79">
      <c r="B126" s="72" t="s">
        <v>209</v>
      </c>
      <c r="C126" s="32"/>
      <c r="D126" s="32"/>
      <c r="E126" s="32"/>
      <c r="F126" s="32"/>
      <c r="G126" s="32"/>
      <c r="H126" s="32"/>
      <c r="I126" s="32"/>
      <c r="J126" s="32"/>
      <c r="K126" s="32"/>
      <c r="L126" s="32"/>
      <c r="M126" s="32"/>
      <c r="N126" s="32"/>
      <c r="O126" s="32"/>
      <c r="P126" s="32"/>
      <c r="Q126" s="32"/>
      <c r="R126" s="32"/>
      <c r="S126" s="32"/>
      <c r="T126" s="32"/>
      <c r="U126" s="32"/>
      <c r="V126" s="32"/>
      <c r="W126" s="32"/>
      <c r="X126" s="32"/>
      <c r="Y126" s="32"/>
      <c r="Z126" s="32"/>
      <c r="AA126" s="32"/>
      <c r="AB126" s="32"/>
      <c r="AC126" s="32"/>
      <c r="AD126" s="32"/>
      <c r="AE126" s="57">
        <v>1160</v>
      </c>
      <c r="AF126" s="57">
        <v>1496</v>
      </c>
      <c r="AG126" s="57">
        <v>1253</v>
      </c>
      <c r="AH126" s="28">
        <v>1311</v>
      </c>
      <c r="AI126" s="57">
        <v>1377</v>
      </c>
      <c r="AJ126" s="57">
        <v>1706</v>
      </c>
      <c r="AK126" s="57">
        <v>1220</v>
      </c>
      <c r="AL126" s="28">
        <v>1335</v>
      </c>
      <c r="AM126" s="28">
        <v>1390</v>
      </c>
      <c r="AN126" s="155">
        <f>BN126-AM126</f>
        <v>1698.3720000000003</v>
      </c>
      <c r="AO126" s="187">
        <f>SUM(AO122:AO125)</f>
        <v>1244.1400000000001</v>
      </c>
      <c r="AP126" s="187">
        <f t="shared" si="330"/>
        <v>1298.2937872340419</v>
      </c>
      <c r="AQ126" s="187"/>
      <c r="AR126" s="187"/>
      <c r="AS126" s="187"/>
      <c r="AT126" s="187"/>
      <c r="AU126" s="184"/>
      <c r="AV126" s="199"/>
      <c r="AW126" s="199"/>
      <c r="AX126" s="199"/>
      <c r="AY126" s="199"/>
      <c r="AZ126" s="199"/>
      <c r="BA126" s="199"/>
      <c r="BB126" s="199"/>
      <c r="BC126" s="199"/>
      <c r="BD126" s="199"/>
      <c r="BE126" s="199"/>
      <c r="BF126" s="199"/>
      <c r="BG126" s="199"/>
      <c r="BH126" s="199"/>
      <c r="BI126" s="199"/>
      <c r="BJ126" s="215">
        <f>Model!AF194</f>
        <v>2656</v>
      </c>
      <c r="BK126" s="215">
        <f>Model!AG194</f>
        <v>2564</v>
      </c>
      <c r="BL126" s="215">
        <f>Model!AH194</f>
        <v>3061</v>
      </c>
      <c r="BM126" s="215">
        <f>Model!AI194</f>
        <v>2536</v>
      </c>
      <c r="BN126" s="216">
        <f>Model!AJ194</f>
        <v>3088.3720000000003</v>
      </c>
      <c r="BO126" s="216">
        <f>Model!AK194</f>
        <v>2542.433787234042</v>
      </c>
      <c r="BP126" s="200"/>
      <c r="BQ126" s="200"/>
      <c r="BR126" s="199"/>
      <c r="BS126" s="199"/>
      <c r="BT126" s="199"/>
      <c r="BU126" s="199"/>
      <c r="BV126" s="199"/>
      <c r="BW126" s="199"/>
      <c r="BX126" s="199"/>
      <c r="BY126" s="215">
        <f>Model!K194</f>
        <v>5597</v>
      </c>
      <c r="BZ126" s="215">
        <f>Model!L194</f>
        <v>5630.8057872340414</v>
      </c>
      <c r="CA126" s="216">
        <f>Model!M194</f>
        <v>5785.0024902127652</v>
      </c>
    </row>
    <row r="127" spans="2:79">
      <c r="B127" s="72"/>
      <c r="C127" s="32"/>
      <c r="D127" s="32"/>
      <c r="E127" s="32"/>
      <c r="F127" s="32"/>
      <c r="G127" s="32"/>
      <c r="H127" s="32"/>
      <c r="I127" s="32"/>
      <c r="J127" s="32"/>
      <c r="K127" s="32"/>
      <c r="L127" s="32"/>
      <c r="M127" s="32"/>
      <c r="N127" s="32"/>
      <c r="O127" s="32"/>
      <c r="P127" s="32"/>
      <c r="Q127" s="32"/>
      <c r="R127" s="32"/>
      <c r="S127" s="32"/>
      <c r="T127" s="32"/>
      <c r="U127" s="32"/>
      <c r="V127" s="32"/>
      <c r="W127" s="32"/>
      <c r="X127" s="32"/>
      <c r="Y127" s="32"/>
      <c r="Z127" s="32"/>
      <c r="AA127" s="102"/>
      <c r="AB127" s="102"/>
      <c r="AC127" s="102"/>
      <c r="AD127" s="102"/>
      <c r="AE127" s="102"/>
      <c r="AF127" s="102"/>
      <c r="AG127" s="102"/>
      <c r="AH127" s="102"/>
      <c r="AI127" s="299"/>
      <c r="AJ127" s="299"/>
      <c r="AK127" s="299"/>
      <c r="AL127" s="299"/>
      <c r="AM127" s="299"/>
      <c r="AN127" s="200"/>
      <c r="AO127" s="200"/>
      <c r="AP127" s="200"/>
      <c r="AQ127" s="200"/>
      <c r="AR127" s="200"/>
      <c r="AS127" s="200"/>
      <c r="AT127" s="200"/>
      <c r="AU127" s="184"/>
      <c r="AV127" s="199"/>
      <c r="AW127" s="199"/>
      <c r="AX127" s="199"/>
      <c r="AY127" s="199"/>
      <c r="AZ127" s="199"/>
      <c r="BA127" s="199"/>
      <c r="BB127" s="199"/>
      <c r="BC127" s="199"/>
      <c r="BD127" s="199"/>
      <c r="BE127" s="199"/>
      <c r="BF127" s="199"/>
      <c r="BG127" s="199"/>
      <c r="BH127" s="199"/>
      <c r="BI127" s="199"/>
      <c r="BJ127" s="199"/>
      <c r="BK127" s="199"/>
      <c r="BL127" s="199"/>
      <c r="BM127" s="199"/>
      <c r="BN127" s="200"/>
      <c r="BO127" s="200"/>
      <c r="BP127" s="200"/>
      <c r="BQ127" s="200"/>
      <c r="BR127" s="199"/>
      <c r="BS127" s="199"/>
      <c r="BT127" s="199"/>
      <c r="BU127" s="199"/>
      <c r="BV127" s="199"/>
      <c r="BW127" s="199"/>
      <c r="BX127" s="199"/>
      <c r="BY127" s="199"/>
      <c r="BZ127" s="199"/>
      <c r="CA127" s="200"/>
    </row>
    <row r="128" spans="2:79">
      <c r="B128" s="72" t="s">
        <v>80</v>
      </c>
      <c r="C128" s="32"/>
      <c r="D128" s="32"/>
      <c r="E128" s="32"/>
      <c r="F128" s="32"/>
      <c r="G128" s="32"/>
      <c r="H128" s="32"/>
      <c r="I128" s="32"/>
      <c r="J128" s="32"/>
      <c r="K128" s="32"/>
      <c r="L128" s="32"/>
      <c r="M128" s="32"/>
      <c r="N128" s="32"/>
      <c r="O128" s="32"/>
      <c r="P128" s="32"/>
      <c r="Q128" s="32"/>
      <c r="R128" s="32"/>
      <c r="S128" s="32"/>
      <c r="T128" s="32"/>
      <c r="U128" s="32"/>
      <c r="V128" s="32"/>
      <c r="W128" s="32"/>
      <c r="X128" s="32"/>
      <c r="Y128" s="32"/>
      <c r="Z128" s="32"/>
      <c r="AA128" s="102"/>
      <c r="AB128" s="102"/>
      <c r="AC128" s="102"/>
      <c r="AD128" s="102"/>
      <c r="AE128" s="102"/>
      <c r="AF128" s="102"/>
      <c r="AG128" s="102"/>
      <c r="AH128" s="102"/>
      <c r="AI128" s="299"/>
      <c r="AJ128" s="299"/>
      <c r="AK128" s="299"/>
      <c r="AL128" s="299"/>
      <c r="AM128" s="299"/>
      <c r="AN128" s="200"/>
      <c r="AO128" s="200"/>
      <c r="AP128" s="200"/>
      <c r="AQ128" s="200"/>
      <c r="AR128" s="200"/>
      <c r="AS128" s="200"/>
      <c r="AT128" s="200"/>
      <c r="AU128" s="184"/>
      <c r="AV128" s="199"/>
      <c r="AW128" s="199"/>
      <c r="AX128" s="199"/>
      <c r="AY128" s="199"/>
      <c r="AZ128" s="199"/>
      <c r="BA128" s="199"/>
      <c r="BB128" s="199"/>
      <c r="BC128" s="199"/>
      <c r="BD128" s="199"/>
      <c r="BE128" s="199"/>
      <c r="BF128" s="199"/>
      <c r="BG128" s="199"/>
      <c r="BH128" s="199"/>
      <c r="BI128" s="199"/>
      <c r="BJ128" s="199"/>
      <c r="BK128" s="199"/>
      <c r="BL128" s="199"/>
      <c r="BM128" s="199"/>
      <c r="BN128" s="200"/>
      <c r="BO128" s="200"/>
      <c r="BP128" s="200"/>
      <c r="BQ128" s="200"/>
      <c r="BR128" s="199"/>
      <c r="BS128" s="199"/>
      <c r="BT128" s="199"/>
      <c r="BU128" s="199"/>
      <c r="BV128" s="199"/>
      <c r="BW128" s="199"/>
      <c r="BX128" s="199"/>
      <c r="BY128" s="199"/>
      <c r="BZ128" s="199"/>
      <c r="CA128" s="200"/>
    </row>
    <row r="129" spans="2:79">
      <c r="B129" s="73" t="s">
        <v>68</v>
      </c>
      <c r="C129" s="32"/>
      <c r="D129" s="32"/>
      <c r="E129" s="32"/>
      <c r="F129" s="32"/>
      <c r="G129" s="32"/>
      <c r="H129" s="32"/>
      <c r="I129" s="32"/>
      <c r="J129" s="32"/>
      <c r="K129" s="32"/>
      <c r="L129" s="32"/>
      <c r="M129" s="32"/>
      <c r="N129" s="32"/>
      <c r="O129" s="32"/>
      <c r="P129" s="32"/>
      <c r="Q129" s="32"/>
      <c r="R129" s="32"/>
      <c r="S129" s="32"/>
      <c r="T129" s="32"/>
      <c r="U129" s="32"/>
      <c r="V129" s="32"/>
      <c r="W129" s="32"/>
      <c r="X129" s="32"/>
      <c r="Y129" s="32"/>
      <c r="Z129" s="32"/>
      <c r="AA129" s="102"/>
      <c r="AB129" s="102"/>
      <c r="AC129" s="102"/>
      <c r="AD129" s="102"/>
      <c r="AE129" s="102">
        <f t="shared" ref="AE129:AH129" si="331">AE122/AA122-1</f>
        <v>-5.5137844611528819E-2</v>
      </c>
      <c r="AF129" s="102">
        <f t="shared" si="331"/>
        <v>-3.1105228325612133E-2</v>
      </c>
      <c r="AG129" s="102">
        <f t="shared" si="331"/>
        <v>-4.3021032504780066E-2</v>
      </c>
      <c r="AH129" s="102">
        <f t="shared" si="331"/>
        <v>5.1406401551891356E-2</v>
      </c>
      <c r="AI129" s="299">
        <f t="shared" ref="AI129:AN129" si="332">AI122/AE122-1</f>
        <v>-4.4208664898319761E-3</v>
      </c>
      <c r="AJ129" s="299">
        <f t="shared" si="332"/>
        <v>-6.83060109289646E-4</v>
      </c>
      <c r="AK129" s="299">
        <f t="shared" si="332"/>
        <v>-1.4985014985015033E-2</v>
      </c>
      <c r="AL129" s="299">
        <f t="shared" si="332"/>
        <v>-9.2250922509224953E-3</v>
      </c>
      <c r="AM129" s="299">
        <f t="shared" si="332"/>
        <v>1.0657193605683846E-2</v>
      </c>
      <c r="AN129" s="277">
        <f t="shared" si="332"/>
        <v>2.5099111414901287E-3</v>
      </c>
      <c r="AO129" s="277">
        <f>AO35+AO39</f>
        <v>0.01</v>
      </c>
      <c r="AP129" s="277">
        <f>AP122/AL122-1</f>
        <v>1.0487895716945195E-2</v>
      </c>
      <c r="AQ129" s="277"/>
      <c r="AR129" s="277"/>
      <c r="AS129" s="277"/>
      <c r="AT129" s="277"/>
      <c r="AU129" s="184"/>
      <c r="AV129" s="199"/>
      <c r="AW129" s="199"/>
      <c r="AX129" s="199"/>
      <c r="AY129" s="199"/>
      <c r="AZ129" s="199"/>
      <c r="BA129" s="199"/>
      <c r="BB129" s="199"/>
      <c r="BC129" s="199"/>
      <c r="BD129" s="199"/>
      <c r="BE129" s="199"/>
      <c r="BF129" s="199"/>
      <c r="BG129" s="199"/>
      <c r="BH129" s="199"/>
      <c r="BI129" s="199"/>
      <c r="BJ129" s="199"/>
      <c r="BK129" s="199"/>
      <c r="BL129" s="199"/>
      <c r="BM129" s="199"/>
      <c r="BN129" s="166">
        <f>BN122/BL122-1</f>
        <v>8.0000000000000071E-3</v>
      </c>
      <c r="BO129" s="166">
        <f>BO122/BM122-1</f>
        <v>1.025436893203846E-2</v>
      </c>
      <c r="BP129" s="200"/>
      <c r="BQ129" s="200"/>
      <c r="BR129" s="199"/>
      <c r="BS129" s="199"/>
      <c r="BT129" s="199"/>
      <c r="BU129" s="199"/>
      <c r="BV129" s="199"/>
      <c r="BW129" s="199"/>
      <c r="BX129" s="199"/>
      <c r="BY129" s="199"/>
      <c r="BZ129" s="306">
        <f>BZ122/BY122-1</f>
        <v>8.999999999999897E-3</v>
      </c>
      <c r="CA129" s="294">
        <f>CA122/BZ122-1</f>
        <v>2.0000000000000018E-2</v>
      </c>
    </row>
    <row r="130" spans="2:79">
      <c r="B130" s="73" t="s">
        <v>69</v>
      </c>
      <c r="C130" s="32"/>
      <c r="D130" s="32"/>
      <c r="E130" s="32"/>
      <c r="F130" s="32"/>
      <c r="G130" s="32"/>
      <c r="H130" s="32"/>
      <c r="I130" s="32"/>
      <c r="J130" s="32"/>
      <c r="K130" s="32"/>
      <c r="L130" s="32"/>
      <c r="M130" s="32"/>
      <c r="N130" s="32"/>
      <c r="O130" s="32"/>
      <c r="P130" s="32"/>
      <c r="Q130" s="32"/>
      <c r="R130" s="32"/>
      <c r="S130" s="32"/>
      <c r="T130" s="32"/>
      <c r="U130" s="32"/>
      <c r="V130" s="32"/>
      <c r="W130" s="32"/>
      <c r="X130" s="32"/>
      <c r="Y130" s="32"/>
      <c r="Z130" s="32"/>
      <c r="AA130" s="102"/>
      <c r="AB130" s="102"/>
      <c r="AC130" s="102"/>
      <c r="AD130" s="102"/>
      <c r="AE130" s="102"/>
      <c r="AF130" s="102"/>
      <c r="AG130" s="102"/>
      <c r="AH130" s="102"/>
      <c r="AI130" s="299"/>
      <c r="AJ130" s="299"/>
      <c r="AK130" s="299">
        <f>AK123/AG123-1</f>
        <v>-9.7345132743362872E-2</v>
      </c>
      <c r="AL130" s="299">
        <f>AL123/AH123-1</f>
        <v>0.1399999999999999</v>
      </c>
      <c r="AM130" s="299">
        <f>AM123/AI123-1</f>
        <v>0.15533980582524265</v>
      </c>
      <c r="AN130" s="277">
        <f>AN123/AJ123-1</f>
        <v>0.15273631840796043</v>
      </c>
      <c r="AO130" s="160">
        <v>7.0000000000000007E-2</v>
      </c>
      <c r="AP130" s="277">
        <f>AP123/AL123-1</f>
        <v>6.5920119447554715E-2</v>
      </c>
      <c r="AQ130" s="277"/>
      <c r="AR130" s="277"/>
      <c r="AS130" s="277"/>
      <c r="AT130" s="277"/>
      <c r="AU130" s="184"/>
      <c r="AV130" s="199"/>
      <c r="AW130" s="199"/>
      <c r="AX130" s="199"/>
      <c r="AY130" s="199"/>
      <c r="AZ130" s="199"/>
      <c r="BA130" s="199"/>
      <c r="BB130" s="199"/>
      <c r="BC130" s="199"/>
      <c r="BD130" s="199"/>
      <c r="BE130" s="199"/>
      <c r="BF130" s="199"/>
      <c r="BG130" s="199"/>
      <c r="BH130" s="199"/>
      <c r="BI130" s="199"/>
      <c r="BJ130" s="199"/>
      <c r="BK130" s="199"/>
      <c r="BL130" s="199"/>
      <c r="BM130" s="199"/>
      <c r="BN130" s="166">
        <f>BN123/BL123-1</f>
        <v>0.10000000000000009</v>
      </c>
      <c r="BO130" s="166">
        <f>BO123/BM123-1</f>
        <v>6.784672970843153E-2</v>
      </c>
      <c r="BP130" s="200"/>
      <c r="BQ130" s="200"/>
      <c r="BR130" s="199"/>
      <c r="BS130" s="199"/>
      <c r="BT130" s="199"/>
      <c r="BU130" s="199"/>
      <c r="BV130" s="199"/>
      <c r="BW130" s="199"/>
      <c r="BX130" s="199"/>
      <c r="BY130" s="199"/>
      <c r="BZ130" s="306">
        <f>BZ123/BY123-1</f>
        <v>8.3829787234042552E-2</v>
      </c>
      <c r="CA130" s="294">
        <f>CA123/BZ123-1</f>
        <v>8.0000000000000071E-2</v>
      </c>
    </row>
    <row r="131" spans="2:79" hidden="1" outlineLevel="1">
      <c r="B131" s="73" t="s">
        <v>208</v>
      </c>
      <c r="C131" s="32"/>
      <c r="D131" s="32"/>
      <c r="E131" s="32"/>
      <c r="F131" s="32"/>
      <c r="G131" s="32"/>
      <c r="H131" s="32"/>
      <c r="I131" s="32"/>
      <c r="J131" s="32"/>
      <c r="K131" s="32"/>
      <c r="L131" s="32"/>
      <c r="M131" s="32"/>
      <c r="N131" s="32"/>
      <c r="O131" s="32"/>
      <c r="P131" s="32"/>
      <c r="Q131" s="32"/>
      <c r="R131" s="32"/>
      <c r="S131" s="32"/>
      <c r="T131" s="32"/>
      <c r="U131" s="32"/>
      <c r="V131" s="32"/>
      <c r="W131" s="32"/>
      <c r="X131" s="32"/>
      <c r="Y131" s="32"/>
      <c r="Z131" s="32"/>
      <c r="AA131" s="102"/>
      <c r="AB131" s="102"/>
      <c r="AC131" s="102"/>
      <c r="AD131" s="102"/>
      <c r="AE131" s="102"/>
      <c r="AF131" s="102"/>
      <c r="AG131" s="102"/>
      <c r="AH131" s="102"/>
      <c r="AI131" s="299">
        <f>AI124/AE124-1</f>
        <v>3.4482758620689724E-2</v>
      </c>
      <c r="AJ131" s="299">
        <f>AJ124/AF124-1</f>
        <v>0.3125</v>
      </c>
      <c r="AK131" s="299">
        <f>AK124/AG124-1</f>
        <v>0.15384615384615374</v>
      </c>
      <c r="AL131" s="299">
        <f>AL124/AH124-1</f>
        <v>0.22222222222222232</v>
      </c>
      <c r="AM131" s="299">
        <f>AM124/AI124-1</f>
        <v>-1</v>
      </c>
      <c r="AN131" s="277"/>
      <c r="AO131" s="200"/>
      <c r="AP131" s="277"/>
      <c r="AQ131" s="277"/>
      <c r="AR131" s="277"/>
      <c r="AS131" s="277"/>
      <c r="AT131" s="277"/>
      <c r="AU131" s="184"/>
      <c r="AV131" s="199"/>
      <c r="AW131" s="199"/>
      <c r="AX131" s="199"/>
      <c r="AY131" s="199"/>
      <c r="AZ131" s="199"/>
      <c r="BA131" s="199"/>
      <c r="BB131" s="199"/>
      <c r="BC131" s="199"/>
      <c r="BD131" s="199"/>
      <c r="BE131" s="199"/>
      <c r="BF131" s="199"/>
      <c r="BG131" s="199"/>
      <c r="BH131" s="199"/>
      <c r="BI131" s="199"/>
      <c r="BJ131" s="199"/>
      <c r="BK131" s="199"/>
      <c r="BL131" s="199"/>
      <c r="BM131" s="199"/>
      <c r="BN131" s="166" t="e">
        <f t="shared" ref="BN131:BO131" si="333">BN125/BL125-1</f>
        <v>#DIV/0!</v>
      </c>
      <c r="BO131" s="166" t="e">
        <f t="shared" si="333"/>
        <v>#DIV/0!</v>
      </c>
      <c r="BP131" s="200"/>
      <c r="BQ131" s="200"/>
      <c r="BR131" s="199"/>
      <c r="BS131" s="199"/>
      <c r="BT131" s="199"/>
      <c r="BU131" s="199"/>
      <c r="BV131" s="199"/>
      <c r="BW131" s="199"/>
      <c r="BX131" s="199"/>
      <c r="BY131" s="199"/>
      <c r="BZ131" s="199"/>
      <c r="CA131" s="200"/>
    </row>
    <row r="132" spans="2:79" collapsed="1">
      <c r="B132" s="72" t="s">
        <v>209</v>
      </c>
      <c r="C132" s="32"/>
      <c r="D132" s="32"/>
      <c r="E132" s="32"/>
      <c r="F132" s="32"/>
      <c r="G132" s="32"/>
      <c r="H132" s="32"/>
      <c r="I132" s="32"/>
      <c r="J132" s="32"/>
      <c r="K132" s="32"/>
      <c r="L132" s="32"/>
      <c r="M132" s="32"/>
      <c r="N132" s="32"/>
      <c r="O132" s="32"/>
      <c r="P132" s="32"/>
      <c r="Q132" s="32"/>
      <c r="R132" s="32"/>
      <c r="S132" s="32"/>
      <c r="T132" s="32"/>
      <c r="U132" s="32"/>
      <c r="V132" s="32"/>
      <c r="W132" s="32"/>
      <c r="X132" s="32"/>
      <c r="Y132" s="32"/>
      <c r="Z132" s="32"/>
      <c r="AA132" s="102"/>
      <c r="AB132" s="102"/>
      <c r="AC132" s="102"/>
      <c r="AD132" s="102"/>
      <c r="AE132" s="102"/>
      <c r="AF132" s="102"/>
      <c r="AG132" s="102"/>
      <c r="AH132" s="102"/>
      <c r="AI132" s="307">
        <f t="shared" ref="AI132" si="334">AI126/AE126-1</f>
        <v>0.18706896551724128</v>
      </c>
      <c r="AJ132" s="307">
        <f t="shared" ref="AJ132:AP132" si="335">AJ126/AF126-1</f>
        <v>0.14037433155080214</v>
      </c>
      <c r="AK132" s="307">
        <f t="shared" si="335"/>
        <v>-2.6336791699920203E-2</v>
      </c>
      <c r="AL132" s="307">
        <f t="shared" si="335"/>
        <v>1.8306636155606348E-2</v>
      </c>
      <c r="AM132" s="307">
        <f t="shared" si="335"/>
        <v>9.4408133623820056E-3</v>
      </c>
      <c r="AN132" s="308">
        <f t="shared" si="335"/>
        <v>-4.4712778429072397E-3</v>
      </c>
      <c r="AO132" s="308">
        <f t="shared" si="335"/>
        <v>1.9786885245901775E-2</v>
      </c>
      <c r="AP132" s="308">
        <f t="shared" si="335"/>
        <v>-2.7495290461391764E-2</v>
      </c>
      <c r="AQ132" s="308"/>
      <c r="AR132" s="308"/>
      <c r="AS132" s="308"/>
      <c r="AT132" s="308"/>
      <c r="AU132" s="184"/>
      <c r="AV132" s="199"/>
      <c r="AW132" s="199"/>
      <c r="AX132" s="199"/>
      <c r="AY132" s="199"/>
      <c r="AZ132" s="199"/>
      <c r="BA132" s="199"/>
      <c r="BB132" s="199"/>
      <c r="BC132" s="199"/>
      <c r="BD132" s="199"/>
      <c r="BE132" s="199"/>
      <c r="BF132" s="199"/>
      <c r="BG132" s="199"/>
      <c r="BH132" s="199"/>
      <c r="BI132" s="199"/>
      <c r="BJ132" s="199"/>
      <c r="BK132" s="199"/>
      <c r="BL132" s="199"/>
      <c r="BM132" s="199"/>
      <c r="BN132" s="243">
        <f t="shared" ref="BN132:BO132" si="336">BN126/BL126-1</f>
        <v>8.9421757595558038E-3</v>
      </c>
      <c r="BO132" s="243">
        <f t="shared" si="336"/>
        <v>2.5369823478083031E-3</v>
      </c>
      <c r="BP132" s="200"/>
      <c r="BQ132" s="200"/>
      <c r="BR132" s="199"/>
      <c r="BS132" s="199"/>
      <c r="BT132" s="199"/>
      <c r="BU132" s="199"/>
      <c r="BV132" s="199"/>
      <c r="BW132" s="199"/>
      <c r="BX132" s="199"/>
      <c r="BY132" s="199"/>
      <c r="BZ132" s="198">
        <f>BZ126/BY126-1</f>
        <v>6.0399834257711671E-3</v>
      </c>
      <c r="CA132" s="296">
        <f>CA126/BZ126-1</f>
        <v>2.7384482577664571E-2</v>
      </c>
    </row>
    <row r="133" spans="2:79">
      <c r="AU133" s="298"/>
    </row>
    <row r="134" spans="2:79">
      <c r="AU134" s="298"/>
    </row>
    <row r="135" spans="2:79">
      <c r="AU135" s="298"/>
    </row>
    <row r="136" spans="2:79">
      <c r="AU136" s="298"/>
    </row>
    <row r="137" spans="2:79">
      <c r="AU137" s="298"/>
    </row>
  </sheetData>
  <pageMargins left="0.7" right="0.7" top="0.75" bottom="0.75" header="0.3" footer="0.3"/>
  <pageSetup paperSize="0" orientation="portrait" r:id="rId1"/>
  <customProperties>
    <customPr name="Qube.Worksheet.Visibility" r:id="rId2"/>
  </customProperties>
  <drawing r:id="rId3"/>
  <legacyDrawing r:id="rId4"/>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B1BED5-D920-4F56-9A27-58A048A506C2}">
  <sheetPr>
    <tabColor theme="0" tint="-0.14999847407452621"/>
    <pageSetUpPr fitToPage="1"/>
  </sheetPr>
  <dimension ref="A1:N82"/>
  <sheetViews>
    <sheetView showGridLines="0" topLeftCell="B1" zoomScale="85" zoomScaleNormal="85" workbookViewId="0">
      <selection activeCell="H24" sqref="H24"/>
    </sheetView>
  </sheetViews>
  <sheetFormatPr defaultColWidth="9.140625" defaultRowHeight="12.75" outlineLevelCol="1"/>
  <cols>
    <col min="1" max="1" width="9.140625" style="15" hidden="1" customWidth="1" outlineLevel="1"/>
    <col min="2" max="2" width="3.5703125" style="15" customWidth="1" collapsed="1"/>
    <col min="3" max="3" width="38.28515625" style="15" customWidth="1"/>
    <col min="4" max="15" width="16.140625" style="15" customWidth="1"/>
    <col min="16" max="16384" width="9.140625" style="15"/>
  </cols>
  <sheetData>
    <row r="1" spans="3:11" s="145" customFormat="1">
      <c r="C1" s="2" t="s">
        <v>226</v>
      </c>
      <c r="D1" s="2"/>
    </row>
    <row r="2" spans="3:11" s="145" customFormat="1"/>
    <row r="3" spans="3:11" s="145" customFormat="1"/>
    <row r="4" spans="3:11" s="145" customFormat="1"/>
    <row r="6" spans="3:11" s="17" customFormat="1" ht="16.5" customHeight="1">
      <c r="C6" s="23" t="s">
        <v>544</v>
      </c>
      <c r="D6" s="23"/>
      <c r="E6" s="23"/>
      <c r="F6" s="23"/>
      <c r="G6" s="23"/>
      <c r="H6" s="23"/>
      <c r="I6" s="23"/>
      <c r="J6" s="23"/>
      <c r="K6" s="23"/>
    </row>
    <row r="9" spans="3:11" ht="12" customHeight="1">
      <c r="C9" s="376" t="s">
        <v>482</v>
      </c>
      <c r="D9" s="377"/>
      <c r="E9" s="377"/>
    </row>
    <row r="10" spans="3:11" ht="6" customHeight="1">
      <c r="C10" s="378"/>
      <c r="D10" s="378"/>
      <c r="E10" s="378"/>
    </row>
    <row r="11" spans="3:11" ht="12" customHeight="1">
      <c r="C11" s="379" t="s">
        <v>528</v>
      </c>
      <c r="D11" s="380" t="s">
        <v>212</v>
      </c>
      <c r="E11" s="381" t="s">
        <v>535</v>
      </c>
    </row>
    <row r="12" spans="3:11" ht="12" customHeight="1">
      <c r="C12" s="382" t="str">
        <f t="shared" ref="C12:C18" si="0">F67</f>
        <v>Present Value of FCF</v>
      </c>
      <c r="D12" s="383">
        <v>0.5</v>
      </c>
      <c r="E12" s="384">
        <f>$I$67</f>
        <v>16642.250771340056</v>
      </c>
    </row>
    <row r="13" spans="3:11" ht="12" customHeight="1">
      <c r="C13" s="382" t="str">
        <f t="shared" si="0"/>
        <v>Terminal Value</v>
      </c>
      <c r="D13" s="385"/>
      <c r="E13" s="384">
        <f>$I$68</f>
        <v>33812.686375468904</v>
      </c>
    </row>
    <row r="14" spans="3:11" ht="12" customHeight="1">
      <c r="C14" s="386" t="str">
        <f t="shared" si="0"/>
        <v>Total EV</v>
      </c>
      <c r="D14" s="387"/>
      <c r="E14" s="388">
        <f>$I$69</f>
        <v>50454.937146808959</v>
      </c>
    </row>
    <row r="15" spans="3:11" ht="12" customHeight="1">
      <c r="C15" s="382" t="str">
        <f t="shared" si="0"/>
        <v>Less: Net Debt</v>
      </c>
      <c r="D15" s="385"/>
      <c r="E15" s="384">
        <f>$I$70</f>
        <v>-4131.938828364141</v>
      </c>
    </row>
    <row r="16" spans="3:11" ht="12" customHeight="1">
      <c r="C16" s="382" t="str">
        <f t="shared" si="0"/>
        <v>Less Minority Interest</v>
      </c>
      <c r="D16" s="389"/>
      <c r="E16" s="384">
        <f>$I$71</f>
        <v>-250</v>
      </c>
    </row>
    <row r="17" spans="3:11" ht="12" customHeight="1">
      <c r="C17" s="386" t="str">
        <f t="shared" si="0"/>
        <v>Equity Value</v>
      </c>
      <c r="D17" s="387"/>
      <c r="E17" s="388">
        <f>$I$72</f>
        <v>46072.998318444821</v>
      </c>
    </row>
    <row r="18" spans="3:11" ht="12" customHeight="1">
      <c r="C18" s="382" t="str">
        <f t="shared" si="0"/>
        <v>Shares</v>
      </c>
      <c r="D18" s="387"/>
      <c r="E18" s="384">
        <f>$I$73</f>
        <v>1230.7</v>
      </c>
    </row>
    <row r="19" spans="3:11" ht="12" customHeight="1">
      <c r="C19" s="386" t="s">
        <v>532</v>
      </c>
      <c r="D19" s="387"/>
      <c r="E19" s="390">
        <f>$I$74</f>
        <v>37</v>
      </c>
    </row>
    <row r="20" spans="3:11" ht="6" customHeight="1">
      <c r="C20" s="386"/>
      <c r="D20" s="387"/>
      <c r="E20" s="390"/>
    </row>
    <row r="21" spans="3:11" ht="12" customHeight="1">
      <c r="C21" s="379" t="s">
        <v>529</v>
      </c>
      <c r="D21" s="380" t="s">
        <v>212</v>
      </c>
      <c r="E21" s="381" t="s">
        <v>530</v>
      </c>
    </row>
    <row r="22" spans="3:11" ht="12" customHeight="1">
      <c r="C22" s="391" t="str">
        <f>$C$33</f>
        <v>EPS (cps)</v>
      </c>
      <c r="D22" s="392">
        <v>0.5</v>
      </c>
      <c r="E22" s="393">
        <f>$D$33</f>
        <v>146.83912012188901</v>
      </c>
    </row>
    <row r="23" spans="3:11" ht="12" customHeight="1">
      <c r="C23" s="391" t="str">
        <f>$C$34</f>
        <v>Applied Multiple (x)</v>
      </c>
      <c r="D23" s="389"/>
      <c r="E23" s="394">
        <f>$D$34</f>
        <v>25</v>
      </c>
    </row>
    <row r="24" spans="3:11" ht="12" customHeight="1">
      <c r="C24" s="395" t="s">
        <v>532</v>
      </c>
      <c r="D24" s="396"/>
      <c r="E24" s="390">
        <f>$D$35</f>
        <v>37</v>
      </c>
    </row>
    <row r="25" spans="3:11" ht="3" customHeight="1">
      <c r="C25" s="395"/>
      <c r="D25" s="396"/>
      <c r="E25" s="390"/>
    </row>
    <row r="26" spans="3:11" ht="12" customHeight="1">
      <c r="C26" s="397" t="s">
        <v>531</v>
      </c>
      <c r="D26" s="398"/>
      <c r="E26" s="399">
        <f>ROUND(D12*E19+D22*E24,0)</f>
        <v>37</v>
      </c>
    </row>
    <row r="27" spans="3:11" ht="12" customHeight="1">
      <c r="C27" s="391" t="s">
        <v>547</v>
      </c>
      <c r="D27" s="400"/>
      <c r="E27" s="401">
        <f>E26/D76-1</f>
        <v>0.16535433070866135</v>
      </c>
    </row>
    <row r="29" spans="3:11" s="17" customFormat="1" ht="16.5" customHeight="1">
      <c r="C29" s="23" t="s">
        <v>543</v>
      </c>
      <c r="D29" s="23"/>
      <c r="E29" s="23"/>
      <c r="F29" s="23"/>
      <c r="G29" s="23"/>
      <c r="H29" s="23"/>
      <c r="I29" s="23"/>
      <c r="J29" s="23"/>
      <c r="K29" s="23"/>
    </row>
    <row r="30" spans="3:11" ht="20.25" customHeight="1"/>
    <row r="31" spans="3:11" ht="12" customHeight="1"/>
    <row r="32" spans="3:11" ht="18" customHeight="1">
      <c r="C32" s="175" t="s">
        <v>479</v>
      </c>
      <c r="D32" s="165" t="s">
        <v>36</v>
      </c>
    </row>
    <row r="33" spans="1:14" ht="18" customHeight="1">
      <c r="A33" s="15" t="s">
        <v>218</v>
      </c>
      <c r="C33" s="133" t="s">
        <v>480</v>
      </c>
      <c r="D33" s="462">
        <f>(VLOOKUP($A33,PL!$1:$1048576,MATCH(Valuation!D$32,PL!$3:$3,0),FALSE))*100</f>
        <v>146.83912012188901</v>
      </c>
    </row>
    <row r="34" spans="1:14" ht="18" customHeight="1">
      <c r="C34" s="132" t="s">
        <v>478</v>
      </c>
      <c r="D34" s="364">
        <v>25</v>
      </c>
      <c r="E34" s="193"/>
      <c r="I34" s="193"/>
    </row>
    <row r="35" spans="1:14" ht="18" customHeight="1">
      <c r="C35" s="176" t="s">
        <v>533</v>
      </c>
      <c r="D35" s="177">
        <f>ROUND(D34*D33/100,0)</f>
        <v>37</v>
      </c>
    </row>
    <row r="38" spans="1:14" s="17" customFormat="1" ht="16.5" customHeight="1">
      <c r="C38" s="23" t="s">
        <v>545</v>
      </c>
      <c r="D38" s="23"/>
      <c r="E38" s="23"/>
      <c r="F38" s="23"/>
      <c r="G38" s="23"/>
      <c r="H38" s="23"/>
      <c r="I38" s="23"/>
      <c r="J38" s="23"/>
      <c r="K38" s="23"/>
    </row>
    <row r="39" spans="1:14" ht="13.5" customHeight="1">
      <c r="C39" s="119"/>
      <c r="D39" s="119"/>
      <c r="E39" s="119"/>
      <c r="F39" s="363"/>
      <c r="G39" s="363"/>
      <c r="H39" s="363"/>
      <c r="I39" s="363"/>
      <c r="J39" s="119"/>
      <c r="K39" s="119"/>
    </row>
    <row r="40" spans="1:14" ht="13.5" customHeight="1">
      <c r="C40" s="119"/>
      <c r="D40" s="119"/>
      <c r="E40" s="119"/>
      <c r="F40" s="363"/>
      <c r="G40" s="363"/>
      <c r="H40" s="363"/>
      <c r="I40" s="363"/>
      <c r="J40" s="119"/>
      <c r="K40" s="119"/>
    </row>
    <row r="41" spans="1:14" ht="19.5" customHeight="1">
      <c r="C41" s="2" t="s">
        <v>548</v>
      </c>
      <c r="D41" s="2"/>
      <c r="E41" s="2"/>
      <c r="F41" s="173">
        <v>1</v>
      </c>
      <c r="G41" s="173">
        <v>2</v>
      </c>
      <c r="H41" s="173">
        <v>3</v>
      </c>
      <c r="I41" s="173">
        <v>4</v>
      </c>
      <c r="J41" s="2"/>
      <c r="K41" s="2"/>
      <c r="L41" s="2"/>
      <c r="M41" s="2"/>
      <c r="N41" s="2"/>
    </row>
    <row r="42" spans="1:14" ht="19.5" customHeight="1">
      <c r="C42" s="197"/>
      <c r="D42" s="197" t="s">
        <v>16</v>
      </c>
      <c r="E42" s="197" t="s">
        <v>35</v>
      </c>
      <c r="F42" s="197" t="s">
        <v>36</v>
      </c>
      <c r="G42" s="197" t="s">
        <v>372</v>
      </c>
      <c r="H42" s="197" t="s">
        <v>426</v>
      </c>
      <c r="I42" s="197" t="s">
        <v>427</v>
      </c>
      <c r="J42" s="197" t="s">
        <v>511</v>
      </c>
      <c r="K42" s="197" t="s">
        <v>512</v>
      </c>
      <c r="L42" s="197" t="s">
        <v>513</v>
      </c>
      <c r="M42" s="197" t="s">
        <v>514</v>
      </c>
      <c r="N42" s="197" t="s">
        <v>515</v>
      </c>
    </row>
    <row r="43" spans="1:14" ht="15" customHeight="1">
      <c r="A43" s="6" t="s">
        <v>256</v>
      </c>
      <c r="C43" s="135" t="s">
        <v>0</v>
      </c>
      <c r="D43" s="311">
        <f>VLOOKUP($A43,PL!$1:$1048576,MATCH(Valuation!D$42,PL!$3:$3,0),FALSE)</f>
        <v>69077</v>
      </c>
      <c r="E43" s="311">
        <f>VLOOKUP($A43,PL!$1:$1048576,MATCH(Valuation!E$42,PL!$3:$3,0),FALSE)</f>
        <v>71152.748632299452</v>
      </c>
      <c r="F43" s="311">
        <f>VLOOKUP($A43,PL!$1:$1048576,MATCH(Valuation!F$42,PL!$3:$3,0),FALSE)</f>
        <v>73998.058146344905</v>
      </c>
      <c r="G43" s="311">
        <f>VLOOKUP($A43,PL!$1:$1048576,MATCH(Valuation!G$42,PL!$3:$3,0),FALSE)</f>
        <v>77031.118703059852</v>
      </c>
      <c r="H43" s="311">
        <f>VLOOKUP($A43,PL!$1:$1048576,MATCH(Valuation!H$42,PL!$3:$3,0),FALSE)</f>
        <v>80175.906984756206</v>
      </c>
      <c r="I43" s="311">
        <f>VLOOKUP($A43,PL!$1:$1048576,MATCH(Valuation!I$42,PL!$3:$3,0),FALSE)</f>
        <v>83436.419470811306</v>
      </c>
      <c r="J43" s="311">
        <f t="shared" ref="J43:N43" si="1">I43*(1+J44)</f>
        <v>85939.512054935651</v>
      </c>
      <c r="K43" s="311">
        <f t="shared" si="1"/>
        <v>88517.697416583716</v>
      </c>
      <c r="L43" s="311">
        <f t="shared" si="1"/>
        <v>91173.228339081237</v>
      </c>
      <c r="M43" s="311">
        <f t="shared" si="1"/>
        <v>93908.42518925367</v>
      </c>
      <c r="N43" s="311">
        <f t="shared" si="1"/>
        <v>96725.677944931289</v>
      </c>
    </row>
    <row r="44" spans="1:14" ht="15" customHeight="1">
      <c r="C44" s="134" t="s">
        <v>265</v>
      </c>
      <c r="D44" s="166"/>
      <c r="E44" s="166">
        <f>E43/D43-1</f>
        <v>3.0049779699457879E-2</v>
      </c>
      <c r="F44" s="166">
        <f t="shared" ref="F44" si="2">F43/E43-1</f>
        <v>3.9988750522475858E-2</v>
      </c>
      <c r="G44" s="166">
        <f t="shared" ref="G44" si="3">G43/F43-1</f>
        <v>4.0988380407449343E-2</v>
      </c>
      <c r="H44" s="166">
        <f t="shared" ref="H44" si="4">H43/G43-1</f>
        <v>4.0824907318546266E-2</v>
      </c>
      <c r="I44" s="166">
        <f t="shared" ref="I44" si="5">I43/H43-1</f>
        <v>4.066698598963181E-2</v>
      </c>
      <c r="J44" s="160">
        <v>0.03</v>
      </c>
      <c r="K44" s="160">
        <v>0.03</v>
      </c>
      <c r="L44" s="160">
        <v>0.03</v>
      </c>
      <c r="M44" s="160">
        <v>0.03</v>
      </c>
      <c r="N44" s="160">
        <v>0.03</v>
      </c>
    </row>
    <row r="45" spans="1:14" ht="15" customHeight="1">
      <c r="A45" s="6" t="s">
        <v>84</v>
      </c>
      <c r="C45" s="135" t="s">
        <v>39</v>
      </c>
      <c r="D45" s="311">
        <f>VLOOKUP($A45,PL!$1:$1048576,MATCH(Valuation!D$42,PL!$3:$3,0),FALSE)</f>
        <v>2754</v>
      </c>
      <c r="E45" s="311">
        <f>VLOOKUP($A45,PL!$1:$1048576,MATCH(Valuation!E$42,PL!$3:$3,0),FALSE)</f>
        <v>3051.1354981411619</v>
      </c>
      <c r="F45" s="311">
        <f>VLOOKUP($A45,PL!$1:$1048576,MATCH(Valuation!F$42,PL!$3:$3,0),FALSE)</f>
        <v>3393.8772883961965</v>
      </c>
      <c r="G45" s="311">
        <f>VLOOKUP($A45,PL!$1:$1048576,MATCH(Valuation!G$42,PL!$3:$3,0),FALSE)</f>
        <v>3765.4527949074968</v>
      </c>
      <c r="H45" s="311">
        <f>VLOOKUP($A45,PL!$1:$1048576,MATCH(Valuation!H$42,PL!$3:$3,0),FALSE)</f>
        <v>3992.5158517731775</v>
      </c>
      <c r="I45" s="311">
        <f>VLOOKUP($A45,PL!$1:$1048576,MATCH(Valuation!I$42,PL!$3:$3,0),FALSE)</f>
        <v>4228.3023683894362</v>
      </c>
      <c r="J45" s="311">
        <f>J47*J43</f>
        <v>4423.9030490850682</v>
      </c>
      <c r="K45" s="311">
        <f t="shared" ref="K45:N45" si="6">K47*K43</f>
        <v>4627.4342984908872</v>
      </c>
      <c r="L45" s="311">
        <f t="shared" si="6"/>
        <v>4839.1959101168795</v>
      </c>
      <c r="M45" s="311">
        <f t="shared" si="6"/>
        <v>5059.4985275717881</v>
      </c>
      <c r="N45" s="311">
        <f t="shared" si="6"/>
        <v>5288.6640257548879</v>
      </c>
    </row>
    <row r="46" spans="1:14" ht="15" customHeight="1">
      <c r="C46" s="134" t="s">
        <v>265</v>
      </c>
      <c r="D46" s="166"/>
      <c r="E46" s="166">
        <f>E45/D45-1</f>
        <v>0.10789233774188878</v>
      </c>
      <c r="F46" s="166">
        <f t="shared" ref="F46" si="7">F45/E45-1</f>
        <v>0.11233253667817844</v>
      </c>
      <c r="G46" s="166">
        <f t="shared" ref="G46" si="8">G45/F45-1</f>
        <v>0.10948407232687285</v>
      </c>
      <c r="H46" s="166">
        <f t="shared" ref="H46" si="9">H45/G45-1</f>
        <v>6.0301660712031024E-2</v>
      </c>
      <c r="I46" s="166">
        <f t="shared" ref="I46" si="10">I45/H45-1</f>
        <v>5.905712722756995E-2</v>
      </c>
      <c r="J46" s="166">
        <f t="shared" ref="J46" si="11">J45/I45-1</f>
        <v>4.6259861205275365E-2</v>
      </c>
      <c r="K46" s="166">
        <f t="shared" ref="K46" si="12">K45/J45-1</f>
        <v>4.6007167685989891E-2</v>
      </c>
      <c r="L46" s="166">
        <f t="shared" ref="L46" si="13">L45/K45-1</f>
        <v>4.5762208162534623E-2</v>
      </c>
      <c r="M46" s="166">
        <f t="shared" ref="M46" si="14">M45/L45-1</f>
        <v>4.5524632923899855E-2</v>
      </c>
      <c r="N46" s="166">
        <f t="shared" ref="N46" si="15">N45/M45-1</f>
        <v>4.5294113030028615E-2</v>
      </c>
    </row>
    <row r="47" spans="1:14" ht="15" customHeight="1">
      <c r="C47" s="134" t="s">
        <v>259</v>
      </c>
      <c r="D47" s="257">
        <f>D45/D43</f>
        <v>3.9868552484908143E-2</v>
      </c>
      <c r="E47" s="257">
        <f t="shared" ref="E47:I47" si="16">E45/E43</f>
        <v>4.2881484648031057E-2</v>
      </c>
      <c r="F47" s="257">
        <f t="shared" si="16"/>
        <v>4.5864410140117107E-2</v>
      </c>
      <c r="G47" s="257">
        <f t="shared" si="16"/>
        <v>4.8882229134209941E-2</v>
      </c>
      <c r="H47" s="257">
        <f t="shared" si="16"/>
        <v>4.9796952749561932E-2</v>
      </c>
      <c r="I47" s="257">
        <f t="shared" si="16"/>
        <v>5.0676939341442254E-2</v>
      </c>
      <c r="J47" s="254">
        <f>I47+J48</f>
        <v>5.1476939341442256E-2</v>
      </c>
      <c r="K47" s="254">
        <f t="shared" ref="K47:N47" si="17">J47+K48</f>
        <v>5.2276939341442258E-2</v>
      </c>
      <c r="L47" s="254">
        <f t="shared" si="17"/>
        <v>5.307693934144226E-2</v>
      </c>
      <c r="M47" s="254">
        <f t="shared" si="17"/>
        <v>5.3876939341442262E-2</v>
      </c>
      <c r="N47" s="254">
        <f t="shared" si="17"/>
        <v>5.4676939341442264E-2</v>
      </c>
    </row>
    <row r="48" spans="1:14" ht="15" customHeight="1">
      <c r="C48" s="134" t="s">
        <v>268</v>
      </c>
      <c r="D48" s="254"/>
      <c r="E48" s="254">
        <f t="shared" ref="E48:H48" si="18">E47-D47</f>
        <v>3.0129321631229139E-3</v>
      </c>
      <c r="F48" s="254">
        <f t="shared" si="18"/>
        <v>2.9829254920860498E-3</v>
      </c>
      <c r="G48" s="254">
        <f t="shared" si="18"/>
        <v>3.0178189940928343E-3</v>
      </c>
      <c r="H48" s="254">
        <f t="shared" si="18"/>
        <v>9.1472361535199082E-4</v>
      </c>
      <c r="I48" s="254">
        <f>I47-H47</f>
        <v>8.799865918803218E-4</v>
      </c>
      <c r="J48" s="255">
        <v>8.0000000000000004E-4</v>
      </c>
      <c r="K48" s="255">
        <v>8.0000000000000004E-4</v>
      </c>
      <c r="L48" s="255">
        <v>8.0000000000000004E-4</v>
      </c>
      <c r="M48" s="255">
        <v>8.0000000000000004E-4</v>
      </c>
      <c r="N48" s="255">
        <v>8.0000000000000004E-4</v>
      </c>
    </row>
    <row r="49" spans="1:14" ht="15" customHeight="1">
      <c r="A49" s="6" t="s">
        <v>520</v>
      </c>
      <c r="C49" s="135" t="s">
        <v>536</v>
      </c>
      <c r="D49" s="311">
        <f>VLOOKUP($A49,Model!$1:$1048576,MATCH(Valuation!D$42,Model!$3:$3,0),FALSE)</f>
        <v>-589.66820736067132</v>
      </c>
      <c r="E49" s="311">
        <f>VLOOKUP($A49,Model!$1:$1048576,MATCH(Valuation!E$42,Model!$3:$3,0),FALSE)</f>
        <v>-610.99065332236546</v>
      </c>
      <c r="F49" s="311">
        <f>VLOOKUP($A49,Model!$1:$1048576,MATCH(Valuation!F$42,Model!$3:$3,0),FALSE)</f>
        <v>-636.39142449346366</v>
      </c>
      <c r="G49" s="311">
        <f>VLOOKUP($A49,Model!$1:$1048576,MATCH(Valuation!G$42,Model!$3:$3,0),FALSE)</f>
        <v>-663.46269958183586</v>
      </c>
      <c r="H49" s="311">
        <f>VLOOKUP($A49,Model!$1:$1048576,MATCH(Valuation!H$42,Model!$3:$3,0),FALSE)</f>
        <v>-691.59710686715891</v>
      </c>
      <c r="I49" s="311">
        <f>VLOOKUP($A49,Model!$1:$1048576,MATCH(Valuation!I$42,Model!$3:$3,0),FALSE)</f>
        <v>-720.83516029672546</v>
      </c>
      <c r="J49" s="311">
        <f>J50*J43</f>
        <v>-742.46021510562719</v>
      </c>
      <c r="K49" s="311">
        <f t="shared" ref="K49:N49" si="19">K50*K43</f>
        <v>-764.73402155879603</v>
      </c>
      <c r="L49" s="311">
        <f t="shared" si="19"/>
        <v>-787.67604220555995</v>
      </c>
      <c r="M49" s="311">
        <f t="shared" si="19"/>
        <v>-811.30632347172673</v>
      </c>
      <c r="N49" s="311">
        <f t="shared" si="19"/>
        <v>-835.64551317587859</v>
      </c>
    </row>
    <row r="50" spans="1:14" ht="15" customHeight="1">
      <c r="C50" s="134" t="s">
        <v>269</v>
      </c>
      <c r="D50" s="257">
        <f>D49/D43</f>
        <v>-8.5363899324040031E-3</v>
      </c>
      <c r="E50" s="257">
        <f t="shared" ref="E50:I50" si="20">E49/E43</f>
        <v>-8.5870281200213418E-3</v>
      </c>
      <c r="F50" s="257">
        <f t="shared" si="20"/>
        <v>-8.6001097925418723E-3</v>
      </c>
      <c r="G50" s="257">
        <f t="shared" si="20"/>
        <v>-8.612917879842261E-3</v>
      </c>
      <c r="H50" s="257">
        <f t="shared" si="20"/>
        <v>-8.6259966725247255E-3</v>
      </c>
      <c r="I50" s="257">
        <f t="shared" si="20"/>
        <v>-8.6393347757317933E-3</v>
      </c>
      <c r="J50" s="255">
        <f>I50</f>
        <v>-8.6393347757317933E-3</v>
      </c>
      <c r="K50" s="255">
        <f t="shared" ref="K50:N50" si="21">J50</f>
        <v>-8.6393347757317933E-3</v>
      </c>
      <c r="L50" s="255">
        <f t="shared" si="21"/>
        <v>-8.6393347757317933E-3</v>
      </c>
      <c r="M50" s="255">
        <f t="shared" si="21"/>
        <v>-8.6393347757317933E-3</v>
      </c>
      <c r="N50" s="255">
        <f t="shared" si="21"/>
        <v>-8.6393347757317933E-3</v>
      </c>
    </row>
    <row r="51" spans="1:14" ht="15" customHeight="1">
      <c r="A51" s="6" t="s">
        <v>509</v>
      </c>
      <c r="C51" s="135" t="s">
        <v>537</v>
      </c>
      <c r="D51" s="311">
        <f>-VLOOKUP($A51,PL!$1:$1048576,MATCH(Valuation!D$42,CF!$3:$3,0),FALSE)</f>
        <v>1742</v>
      </c>
      <c r="E51" s="311">
        <f>-VLOOKUP($A51,PL!$1:$1048576,MATCH(Valuation!E$42,CF!$3:$3,0),FALSE)</f>
        <v>1799.57</v>
      </c>
      <c r="F51" s="311">
        <f>-VLOOKUP($A51,PL!$1:$1048576,MATCH(Valuation!F$42,CF!$3:$3,0),FALSE)</f>
        <v>1858.8373000000001</v>
      </c>
      <c r="G51" s="311">
        <f>-VLOOKUP($A51,PL!$1:$1048576,MATCH(Valuation!G$42,CF!$3:$3,0),FALSE)</f>
        <v>1919.8395170000001</v>
      </c>
      <c r="H51" s="311">
        <f>-VLOOKUP($A51,PL!$1:$1048576,MATCH(Valuation!H$42,CF!$3:$3,0),FALSE)</f>
        <v>1982.61425893</v>
      </c>
      <c r="I51" s="311">
        <f>-VLOOKUP($A51,PL!$1:$1048576,MATCH(Valuation!I$42,CF!$3:$3,0),FALSE)</f>
        <v>2047.1990485997003</v>
      </c>
      <c r="J51" s="311">
        <f>J43*J52</f>
        <v>2108.6150200576917</v>
      </c>
      <c r="K51" s="311">
        <f t="shared" ref="K51:N51" si="22">K43*K52</f>
        <v>2171.8734706594223</v>
      </c>
      <c r="L51" s="311">
        <f t="shared" si="22"/>
        <v>2237.0296747792049</v>
      </c>
      <c r="M51" s="311">
        <f t="shared" si="22"/>
        <v>2304.1405650225811</v>
      </c>
      <c r="N51" s="311">
        <f t="shared" si="22"/>
        <v>2373.2647819732588</v>
      </c>
    </row>
    <row r="52" spans="1:14" ht="15" customHeight="1">
      <c r="C52" s="134" t="s">
        <v>269</v>
      </c>
      <c r="D52" s="257">
        <f>D51/D43</f>
        <v>2.5218234723569349E-2</v>
      </c>
      <c r="E52" s="257">
        <f t="shared" ref="E52:I52" si="23">E51/E43</f>
        <v>2.5291644168235178E-2</v>
      </c>
      <c r="F52" s="257">
        <f t="shared" si="23"/>
        <v>2.5120082155720952E-2</v>
      </c>
      <c r="G52" s="257">
        <f t="shared" si="23"/>
        <v>2.4922908420954033E-2</v>
      </c>
      <c r="H52" s="257">
        <f t="shared" si="23"/>
        <v>2.4728304717612403E-2</v>
      </c>
      <c r="I52" s="257">
        <f t="shared" si="23"/>
        <v>2.4536036680191858E-2</v>
      </c>
      <c r="J52" s="255">
        <f>I52</f>
        <v>2.4536036680191858E-2</v>
      </c>
      <c r="K52" s="255">
        <f t="shared" ref="K52:N56" si="24">J52</f>
        <v>2.4536036680191858E-2</v>
      </c>
      <c r="L52" s="255">
        <f t="shared" si="24"/>
        <v>2.4536036680191858E-2</v>
      </c>
      <c r="M52" s="255">
        <f t="shared" si="24"/>
        <v>2.4536036680191858E-2</v>
      </c>
      <c r="N52" s="255">
        <f t="shared" si="24"/>
        <v>2.4536036680191858E-2</v>
      </c>
    </row>
    <row r="53" spans="1:14" ht="15" customHeight="1">
      <c r="A53" s="6" t="s">
        <v>418</v>
      </c>
      <c r="C53" s="135" t="s">
        <v>301</v>
      </c>
      <c r="D53" s="311">
        <f>VLOOKUP($A53,CF!$1:$1048576,MATCH(Valuation!D$42,CF!$3:$3,0),FALSE)</f>
        <v>367</v>
      </c>
      <c r="E53" s="311">
        <f>VLOOKUP($A53,CF!$1:$1048576,MATCH(Valuation!E$42,CF!$3:$3,0),FALSE)</f>
        <v>86.543365534438635</v>
      </c>
      <c r="F53" s="311">
        <f>VLOOKUP($A53,CF!$1:$1048576,MATCH(Valuation!F$42,CF!$3:$3,0),FALSE)</f>
        <v>118.62836255846378</v>
      </c>
      <c r="G53" s="311">
        <f>VLOOKUP($A53,CF!$1:$1048576,MATCH(Valuation!G$42,CF!$3:$3,0),FALSE)</f>
        <v>126.45619241337772</v>
      </c>
      <c r="H53" s="311">
        <f>VLOOKUP($A53,CF!$1:$1048576,MATCH(Valuation!H$42,CF!$3:$3,0),FALSE)</f>
        <v>131.11441219632434</v>
      </c>
      <c r="I53" s="311">
        <f>VLOOKUP($A53,CF!$1:$1048576,MATCH(Valuation!I$42,CF!$3:$3,0),FALSE)</f>
        <v>135.93925561096785</v>
      </c>
      <c r="J53" s="311">
        <f>J54*J43</f>
        <v>140.01743327929688</v>
      </c>
      <c r="K53" s="311">
        <f t="shared" ref="K53:N53" si="25">K54*K43</f>
        <v>144.2179562776758</v>
      </c>
      <c r="L53" s="311">
        <f t="shared" si="25"/>
        <v>148.54449496600608</v>
      </c>
      <c r="M53" s="311">
        <f t="shared" si="25"/>
        <v>153.00082981498625</v>
      </c>
      <c r="N53" s="311">
        <f t="shared" si="25"/>
        <v>157.59085470943586</v>
      </c>
    </row>
    <row r="54" spans="1:14" ht="15" customHeight="1">
      <c r="A54" s="6"/>
      <c r="C54" s="134" t="s">
        <v>269</v>
      </c>
      <c r="D54" s="257">
        <f>D53/D43</f>
        <v>5.3129116782720731E-3</v>
      </c>
      <c r="E54" s="257">
        <f t="shared" ref="E54:I54" si="26">E53/E43</f>
        <v>1.2163038982748824E-3</v>
      </c>
      <c r="F54" s="257">
        <f t="shared" si="26"/>
        <v>1.6031280486287108E-3</v>
      </c>
      <c r="G54" s="257">
        <f t="shared" si="26"/>
        <v>1.6416247685671296E-3</v>
      </c>
      <c r="H54" s="257">
        <f t="shared" si="26"/>
        <v>1.6353343183414569E-3</v>
      </c>
      <c r="I54" s="257">
        <f t="shared" si="26"/>
        <v>1.629255623301569E-3</v>
      </c>
      <c r="J54" s="255">
        <f>I54</f>
        <v>1.629255623301569E-3</v>
      </c>
      <c r="K54" s="255">
        <f t="shared" si="24"/>
        <v>1.629255623301569E-3</v>
      </c>
      <c r="L54" s="255">
        <f t="shared" si="24"/>
        <v>1.629255623301569E-3</v>
      </c>
      <c r="M54" s="255">
        <f t="shared" si="24"/>
        <v>1.629255623301569E-3</v>
      </c>
      <c r="N54" s="255">
        <f t="shared" si="24"/>
        <v>1.629255623301569E-3</v>
      </c>
    </row>
    <row r="55" spans="1:14" ht="15" customHeight="1">
      <c r="A55" t="s">
        <v>516</v>
      </c>
      <c r="C55" s="135" t="s">
        <v>538</v>
      </c>
      <c r="D55" s="311">
        <f>VLOOKUP($A55,CF!$1:$1048576,MATCH(Valuation!D$42,CF!$3:$3,0),FALSE)</f>
        <v>-2230</v>
      </c>
      <c r="E55" s="311">
        <f>VLOOKUP($A55,CF!$1:$1048576,MATCH(Valuation!E$42,CF!$3:$3,0),FALSE)</f>
        <v>-2180</v>
      </c>
      <c r="F55" s="311">
        <f>VLOOKUP($A55,CF!$1:$1048576,MATCH(Valuation!F$42,CF!$3:$3,0),FALSE)</f>
        <v>-2180</v>
      </c>
      <c r="G55" s="311">
        <f>VLOOKUP($A55,CF!$1:$1048576,MATCH(Valuation!G$42,CF!$3:$3,0),FALSE)</f>
        <v>-2180</v>
      </c>
      <c r="H55" s="311">
        <f>VLOOKUP($A55,CF!$1:$1048576,MATCH(Valuation!H$42,CF!$3:$3,0),FALSE)</f>
        <v>-2180</v>
      </c>
      <c r="I55" s="311">
        <f>VLOOKUP($A55,CF!$1:$1048576,MATCH(Valuation!I$42,CF!$3:$3,0),FALSE)</f>
        <v>-2180</v>
      </c>
      <c r="J55" s="311">
        <f>J56*J43</f>
        <v>-2148.4878013733914</v>
      </c>
      <c r="K55" s="311">
        <f t="shared" ref="K55:N55" si="27">K56*K43</f>
        <v>-2212.9424354145931</v>
      </c>
      <c r="L55" s="311">
        <f t="shared" si="27"/>
        <v>-2279.3307084770308</v>
      </c>
      <c r="M55" s="311">
        <f t="shared" si="27"/>
        <v>-2347.7106297313417</v>
      </c>
      <c r="N55" s="311">
        <f t="shared" si="27"/>
        <v>-2418.1419486232821</v>
      </c>
    </row>
    <row r="56" spans="1:14" ht="15" customHeight="1">
      <c r="A56"/>
      <c r="C56" s="134" t="s">
        <v>269</v>
      </c>
      <c r="D56" s="257">
        <f>D55/D43</f>
        <v>-3.2282814829827582E-2</v>
      </c>
      <c r="E56" s="257">
        <f t="shared" ref="E56:I56" si="28">E55/E43</f>
        <v>-3.0638310422352388E-2</v>
      </c>
      <c r="F56" s="257">
        <f t="shared" si="28"/>
        <v>-2.946023253324628E-2</v>
      </c>
      <c r="G56" s="257">
        <f t="shared" si="28"/>
        <v>-2.8300251076496509E-2</v>
      </c>
      <c r="H56" s="257">
        <f t="shared" si="28"/>
        <v>-2.719021314488506E-2</v>
      </c>
      <c r="I56" s="257">
        <f t="shared" si="28"/>
        <v>-2.6127679181662786E-2</v>
      </c>
      <c r="J56" s="255">
        <v>-2.5000000000000001E-2</v>
      </c>
      <c r="K56" s="255">
        <f t="shared" si="24"/>
        <v>-2.5000000000000001E-2</v>
      </c>
      <c r="L56" s="255">
        <f t="shared" si="24"/>
        <v>-2.5000000000000001E-2</v>
      </c>
      <c r="M56" s="255">
        <f t="shared" si="24"/>
        <v>-2.5000000000000001E-2</v>
      </c>
      <c r="N56" s="255">
        <f t="shared" si="24"/>
        <v>-2.5000000000000001E-2</v>
      </c>
    </row>
    <row r="57" spans="1:14" ht="15" customHeight="1">
      <c r="A57" s="6" t="s">
        <v>109</v>
      </c>
      <c r="C57" s="135" t="s">
        <v>540</v>
      </c>
      <c r="D57" s="311">
        <f>VLOOKUP($A57,CF!$1:$1048576,MATCH(Valuation!D$42,CF!$3:$3,0),FALSE)</f>
        <v>-84</v>
      </c>
      <c r="E57" s="311">
        <f>VLOOKUP($A57,CF!$1:$1048576,MATCH(Valuation!E$42,CF!$3:$3,0),FALSE)</f>
        <v>0</v>
      </c>
      <c r="F57" s="311">
        <f>VLOOKUP($A57,CF!$1:$1048576,MATCH(Valuation!F$42,CF!$3:$3,0),FALSE)</f>
        <v>0</v>
      </c>
      <c r="G57" s="311">
        <f>VLOOKUP($A57,CF!$1:$1048576,MATCH(Valuation!G$42,CF!$3:$3,0),FALSE)</f>
        <v>0</v>
      </c>
      <c r="H57" s="311">
        <f>VLOOKUP($A57,CF!$1:$1048576,MATCH(Valuation!H$42,CF!$3:$3,0),FALSE)</f>
        <v>0</v>
      </c>
      <c r="I57" s="311">
        <f>VLOOKUP($A57,CF!$1:$1048576,MATCH(Valuation!I$42,CF!$3:$3,0),FALSE)</f>
        <v>0</v>
      </c>
      <c r="J57" s="312">
        <v>0</v>
      </c>
      <c r="K57" s="312">
        <v>0</v>
      </c>
      <c r="L57" s="312">
        <v>0</v>
      </c>
      <c r="M57" s="312">
        <v>0</v>
      </c>
      <c r="N57" s="312">
        <v>0</v>
      </c>
    </row>
    <row r="58" spans="1:14" ht="15" customHeight="1">
      <c r="A58" s="6"/>
      <c r="C58" s="135" t="s">
        <v>539</v>
      </c>
      <c r="D58" s="311">
        <f>D45+D49+D51+D53+D55+D57</f>
        <v>1959.3317926393283</v>
      </c>
      <c r="E58" s="311">
        <f t="shared" ref="E58:N58" si="29">E45+E49+E51+E53+E55+E57</f>
        <v>2146.258210353235</v>
      </c>
      <c r="F58" s="311">
        <f t="shared" si="29"/>
        <v>2554.9515264611964</v>
      </c>
      <c r="G58" s="311">
        <f t="shared" si="29"/>
        <v>2968.2858047390391</v>
      </c>
      <c r="H58" s="311">
        <f t="shared" si="29"/>
        <v>3234.6474160323432</v>
      </c>
      <c r="I58" s="311">
        <f t="shared" si="29"/>
        <v>3510.6055123033793</v>
      </c>
      <c r="J58" s="311">
        <f t="shared" si="29"/>
        <v>3781.5874859430387</v>
      </c>
      <c r="K58" s="311">
        <f t="shared" si="29"/>
        <v>3965.8492684545963</v>
      </c>
      <c r="L58" s="311">
        <f t="shared" si="29"/>
        <v>4157.7633291794991</v>
      </c>
      <c r="M58" s="311">
        <f t="shared" si="29"/>
        <v>4357.6229692062861</v>
      </c>
      <c r="N58" s="311">
        <f t="shared" si="29"/>
        <v>4565.732200638422</v>
      </c>
    </row>
    <row r="59" spans="1:14" ht="15" customHeight="1">
      <c r="A59" s="6"/>
      <c r="C59" s="135" t="s">
        <v>541</v>
      </c>
      <c r="D59" s="311">
        <f>D58*-$D$73</f>
        <v>-587.79953779179846</v>
      </c>
      <c r="E59" s="311">
        <f t="shared" ref="E59:N59" si="30">E58*-$D$73</f>
        <v>-643.87746310597049</v>
      </c>
      <c r="F59" s="311">
        <f t="shared" si="30"/>
        <v>-766.48545793835888</v>
      </c>
      <c r="G59" s="311">
        <f t="shared" si="30"/>
        <v>-890.48574142171174</v>
      </c>
      <c r="H59" s="311">
        <f t="shared" si="30"/>
        <v>-970.39422480970291</v>
      </c>
      <c r="I59" s="311">
        <f t="shared" si="30"/>
        <v>-1053.1816536910137</v>
      </c>
      <c r="J59" s="311">
        <f t="shared" si="30"/>
        <v>-1134.4762457829115</v>
      </c>
      <c r="K59" s="311">
        <f t="shared" si="30"/>
        <v>-1189.7547805363788</v>
      </c>
      <c r="L59" s="311">
        <f t="shared" si="30"/>
        <v>-1247.3289987538496</v>
      </c>
      <c r="M59" s="311">
        <f t="shared" si="30"/>
        <v>-1307.2868907618858</v>
      </c>
      <c r="N59" s="311">
        <f t="shared" si="30"/>
        <v>-1369.7196601915266</v>
      </c>
    </row>
    <row r="60" spans="1:14" ht="15" customHeight="1">
      <c r="C60" s="135" t="s">
        <v>476</v>
      </c>
      <c r="D60" s="311">
        <f>D58+D59</f>
        <v>1371.5322548475299</v>
      </c>
      <c r="E60" s="311">
        <f t="shared" ref="E60:N60" si="31">E58+E59</f>
        <v>1502.3807472472645</v>
      </c>
      <c r="F60" s="311">
        <f t="shared" si="31"/>
        <v>1788.4660685228375</v>
      </c>
      <c r="G60" s="311">
        <f t="shared" si="31"/>
        <v>2077.8000633173274</v>
      </c>
      <c r="H60" s="311">
        <f t="shared" si="31"/>
        <v>2264.2531912226405</v>
      </c>
      <c r="I60" s="311">
        <f t="shared" si="31"/>
        <v>2457.4238586123656</v>
      </c>
      <c r="J60" s="311">
        <f t="shared" si="31"/>
        <v>2647.1112401601272</v>
      </c>
      <c r="K60" s="311">
        <f t="shared" si="31"/>
        <v>2776.0944879182175</v>
      </c>
      <c r="L60" s="311">
        <f t="shared" si="31"/>
        <v>2910.4343304256495</v>
      </c>
      <c r="M60" s="311">
        <f t="shared" si="31"/>
        <v>3050.3360784444003</v>
      </c>
      <c r="N60" s="311">
        <f t="shared" si="31"/>
        <v>3196.0125404468954</v>
      </c>
    </row>
    <row r="61" spans="1:14" ht="15" customHeight="1">
      <c r="C61" s="134" t="s">
        <v>265</v>
      </c>
      <c r="D61" s="166"/>
      <c r="E61" s="166">
        <f>E60/D60-1</f>
        <v>9.5403146325771848E-2</v>
      </c>
      <c r="F61" s="166">
        <f t="shared" ref="F61:N61" si="32">F60/E60-1</f>
        <v>0.19042131749874502</v>
      </c>
      <c r="G61" s="166">
        <f t="shared" si="32"/>
        <v>0.16177773785412763</v>
      </c>
      <c r="H61" s="166">
        <f t="shared" si="32"/>
        <v>8.9735837050476386E-2</v>
      </c>
      <c r="I61" s="166">
        <f t="shared" si="32"/>
        <v>8.5313192066395205E-2</v>
      </c>
      <c r="J61" s="166">
        <f t="shared" si="32"/>
        <v>7.7189525479284704E-2</v>
      </c>
      <c r="K61" s="166">
        <f t="shared" si="32"/>
        <v>4.8726039843451474E-2</v>
      </c>
      <c r="L61" s="166">
        <f t="shared" si="32"/>
        <v>4.8391667896063861E-2</v>
      </c>
      <c r="M61" s="166">
        <f t="shared" si="32"/>
        <v>4.8069027552423815E-2</v>
      </c>
      <c r="N61" s="166">
        <f t="shared" si="32"/>
        <v>4.7757512043324235E-2</v>
      </c>
    </row>
    <row r="62" spans="1:14" ht="15" customHeight="1">
      <c r="C62" s="134" t="s">
        <v>517</v>
      </c>
      <c r="D62" s="313">
        <v>0</v>
      </c>
      <c r="E62" s="313">
        <v>0.5</v>
      </c>
      <c r="F62" s="313">
        <f t="shared" ref="F62:N62" si="33">E62+1</f>
        <v>1.5</v>
      </c>
      <c r="G62" s="313">
        <f t="shared" si="33"/>
        <v>2.5</v>
      </c>
      <c r="H62" s="313">
        <f t="shared" si="33"/>
        <v>3.5</v>
      </c>
      <c r="I62" s="313">
        <f t="shared" si="33"/>
        <v>4.5</v>
      </c>
      <c r="J62" s="313">
        <f t="shared" si="33"/>
        <v>5.5</v>
      </c>
      <c r="K62" s="313">
        <f t="shared" si="33"/>
        <v>6.5</v>
      </c>
      <c r="L62" s="313">
        <f t="shared" si="33"/>
        <v>7.5</v>
      </c>
      <c r="M62" s="313">
        <f t="shared" si="33"/>
        <v>8.5</v>
      </c>
      <c r="N62" s="313">
        <f t="shared" si="33"/>
        <v>9.5</v>
      </c>
    </row>
    <row r="63" spans="1:14" ht="15" customHeight="1">
      <c r="C63" s="134" t="s">
        <v>477</v>
      </c>
      <c r="D63" s="171"/>
      <c r="E63" s="171">
        <f>1/(1+$D$75)^E62</f>
        <v>0.96367918061462465</v>
      </c>
      <c r="F63" s="171">
        <f t="shared" ref="F63:N63" si="34">1/(1+$D$75)^F62</f>
        <v>0.89494723311164981</v>
      </c>
      <c r="G63" s="171">
        <f t="shared" si="34"/>
        <v>0.83111741559402852</v>
      </c>
      <c r="H63" s="171">
        <f t="shared" si="34"/>
        <v>0.77184009620545002</v>
      </c>
      <c r="I63" s="171">
        <f t="shared" si="34"/>
        <v>0.71679057968559623</v>
      </c>
      <c r="J63" s="171">
        <f t="shared" si="34"/>
        <v>0.66566732883134871</v>
      </c>
      <c r="K63" s="171">
        <f t="shared" si="34"/>
        <v>0.61819031280771608</v>
      </c>
      <c r="L63" s="171">
        <f t="shared" si="34"/>
        <v>0.57409947326125199</v>
      </c>
      <c r="M63" s="171">
        <f t="shared" si="34"/>
        <v>0.53315329983400073</v>
      </c>
      <c r="N63" s="171">
        <f t="shared" si="34"/>
        <v>0.49512750727526073</v>
      </c>
    </row>
    <row r="64" spans="1:14" ht="15" customHeight="1">
      <c r="C64" s="135" t="s">
        <v>510</v>
      </c>
      <c r="D64" s="291">
        <f>IF(D62&gt;0,D60*D63,0)</f>
        <v>0</v>
      </c>
      <c r="E64" s="291">
        <f t="shared" ref="E64:N64" si="35">IF(E62&gt;0,E60*E63,0)</f>
        <v>1447.8130474784314</v>
      </c>
      <c r="F64" s="291">
        <f t="shared" si="35"/>
        <v>1600.5827595385838</v>
      </c>
      <c r="G64" s="291">
        <f t="shared" si="35"/>
        <v>1726.8958187454059</v>
      </c>
      <c r="H64" s="291">
        <f t="shared" si="35"/>
        <v>1747.6414009467801</v>
      </c>
      <c r="I64" s="291">
        <f t="shared" si="35"/>
        <v>1761.4582721479721</v>
      </c>
      <c r="J64" s="291">
        <f t="shared" si="35"/>
        <v>1762.0954683568307</v>
      </c>
      <c r="K64" s="291">
        <f t="shared" si="35"/>
        <v>1716.1547198699393</v>
      </c>
      <c r="L64" s="291">
        <f t="shared" si="35"/>
        <v>1670.8788160588299</v>
      </c>
      <c r="M64" s="291">
        <f t="shared" si="35"/>
        <v>1626.2967458253372</v>
      </c>
      <c r="N64" s="291">
        <f t="shared" si="35"/>
        <v>1582.4337223719447</v>
      </c>
    </row>
    <row r="65" spans="3:14">
      <c r="D65" s="194"/>
      <c r="E65" s="194"/>
      <c r="F65" s="194"/>
      <c r="G65" s="194"/>
      <c r="H65" s="194"/>
      <c r="I65" s="194"/>
      <c r="J65" s="194"/>
      <c r="K65" s="194"/>
      <c r="L65" s="194"/>
      <c r="M65" s="194"/>
      <c r="N65" s="194"/>
    </row>
    <row r="66" spans="3:14" ht="18" customHeight="1">
      <c r="C66" s="2" t="s">
        <v>534</v>
      </c>
      <c r="D66" s="195"/>
      <c r="F66" s="2" t="s">
        <v>542</v>
      </c>
      <c r="G66" s="195"/>
      <c r="H66" s="195"/>
      <c r="I66" s="195"/>
    </row>
    <row r="67" spans="3:14" ht="18.75" customHeight="1">
      <c r="C67" s="134" t="s">
        <v>463</v>
      </c>
      <c r="D67" s="185">
        <v>0.03</v>
      </c>
      <c r="F67" s="134" t="s">
        <v>522</v>
      </c>
      <c r="G67" s="134"/>
      <c r="H67" s="134"/>
      <c r="I67" s="314">
        <f>SUM(D64:N64)</f>
        <v>16642.250771340056</v>
      </c>
    </row>
    <row r="68" spans="3:14" ht="18.75" customHeight="1">
      <c r="C68" s="134" t="s">
        <v>464</v>
      </c>
      <c r="D68" s="185">
        <v>3.5000000000000003E-2</v>
      </c>
      <c r="F68" s="134" t="s">
        <v>523</v>
      </c>
      <c r="G68" s="134"/>
      <c r="H68" s="134"/>
      <c r="I68" s="314">
        <f>N64/(D75-D67)</f>
        <v>33812.686375468904</v>
      </c>
    </row>
    <row r="69" spans="3:14" ht="18.75" customHeight="1">
      <c r="C69" s="134" t="s">
        <v>466</v>
      </c>
      <c r="D69" s="316">
        <v>0.9</v>
      </c>
      <c r="F69" s="135" t="s">
        <v>518</v>
      </c>
      <c r="G69" s="135"/>
      <c r="H69" s="135"/>
      <c r="I69" s="315">
        <f>I67+I68</f>
        <v>50454.937146808959</v>
      </c>
    </row>
    <row r="70" spans="3:14" ht="18.75" customHeight="1">
      <c r="C70" s="134" t="s">
        <v>465</v>
      </c>
      <c r="D70" s="185">
        <v>0.06</v>
      </c>
      <c r="F70" s="134" t="s">
        <v>524</v>
      </c>
      <c r="G70" s="134"/>
      <c r="H70" s="134"/>
      <c r="I70" s="314">
        <f>-BS!L71</f>
        <v>-4131.938828364141</v>
      </c>
    </row>
    <row r="71" spans="3:14" ht="18.75" customHeight="1">
      <c r="C71" s="134" t="s">
        <v>467</v>
      </c>
      <c r="D71" s="317">
        <f>D68+(D69*D70)</f>
        <v>8.8999999999999996E-2</v>
      </c>
      <c r="F71" s="134" t="s">
        <v>525</v>
      </c>
      <c r="G71" s="134"/>
      <c r="H71" s="134"/>
      <c r="I71" s="314">
        <f>PL!L44*-Valuation!D34</f>
        <v>-250</v>
      </c>
    </row>
    <row r="72" spans="3:14" ht="18.75" customHeight="1">
      <c r="C72" s="134" t="s">
        <v>468</v>
      </c>
      <c r="D72" s="185">
        <v>0.04</v>
      </c>
      <c r="F72" s="135" t="s">
        <v>526</v>
      </c>
      <c r="G72" s="135"/>
      <c r="H72" s="134"/>
      <c r="I72" s="315">
        <f>SUM(I69:I71)</f>
        <v>46072.998318444821</v>
      </c>
    </row>
    <row r="73" spans="3:14" ht="18.75" customHeight="1">
      <c r="C73" s="134" t="s">
        <v>469</v>
      </c>
      <c r="D73" s="185">
        <v>0.3</v>
      </c>
      <c r="F73" s="134" t="s">
        <v>417</v>
      </c>
      <c r="G73" s="134"/>
      <c r="H73" s="134"/>
      <c r="I73" s="314">
        <f>PL!L54</f>
        <v>1230.7</v>
      </c>
    </row>
    <row r="74" spans="3:14" ht="18.75" customHeight="1">
      <c r="C74" s="134" t="s">
        <v>472</v>
      </c>
      <c r="D74" s="185">
        <v>0.2</v>
      </c>
      <c r="F74" s="174" t="s">
        <v>527</v>
      </c>
      <c r="G74" s="174"/>
      <c r="H74" s="174"/>
      <c r="I74" s="196">
        <f>ROUND(I72/I73,0)</f>
        <v>37</v>
      </c>
    </row>
    <row r="75" spans="3:14" ht="18.75" customHeight="1">
      <c r="C75" s="135" t="s">
        <v>470</v>
      </c>
      <c r="D75" s="308">
        <f>((D74*(0.7)*D72)+((1-D74)*D71))</f>
        <v>7.6799999999999993E-2</v>
      </c>
    </row>
    <row r="76" spans="3:14" ht="18.75" customHeight="1">
      <c r="C76" s="135" t="s">
        <v>546</v>
      </c>
      <c r="D76" s="318">
        <f>Summary!F9</f>
        <v>31.75</v>
      </c>
    </row>
    <row r="82" spans="7:9">
      <c r="G82" s="193"/>
      <c r="H82" s="193"/>
      <c r="I82" s="193"/>
    </row>
  </sheetData>
  <conditionalFormatting sqref="C32">
    <cfRule type="expression" dxfId="0" priority="1">
      <formula>#REF!=1</formula>
    </cfRule>
  </conditionalFormatting>
  <printOptions horizontalCentered="1" verticalCentered="1"/>
  <pageMargins left="0.7" right="0.7" top="0.75" bottom="0.75" header="0.3" footer="0.3"/>
  <pageSetup paperSize="0" orientation="portrait" r:id="rId1"/>
  <customProperties>
    <customPr name="Qube.Worksheet.Visibility" r:id="rId2"/>
    <customPr name="QXL_SHEET_ID" r:id="rId3"/>
  </customPropertie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1876DB5-CDAB-44A0-831F-55BE7453E594}">
  <ds:schemaRefs>
    <ds:schemaRef ds:uri="http://www.w3.org/2001/XMLSchema"/>
    <ds:schemaRef ds:uri="Exchange-SubmissionSheetWrapper"/>
  </ds:schemaRefs>
</ds:datastoreItem>
</file>

<file path=docMetadata/LabelInfo.xml><?xml version="1.0" encoding="utf-8"?>
<clbl:labelList xmlns:clbl="http://schemas.microsoft.com/office/2020/mipLabelMetadata">
  <clbl:label id="{a64882d5-5c68-43ae-b974-91da18426e9b}" enabled="1" method="Standard" siteId="{38651f6f-836b-4bdf-9615-4e255c290fea}"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Cover</vt:lpstr>
      <vt:lpstr>Summary</vt:lpstr>
      <vt:lpstr>Model</vt:lpstr>
      <vt:lpstr>PL</vt:lpstr>
      <vt:lpstr>CF</vt:lpstr>
      <vt:lpstr>BS</vt:lpstr>
      <vt:lpstr>Quarterly</vt:lpstr>
      <vt:lpstr>Valuation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Marks, Peter J [GIR]</dc:creator>
  <cp:lastModifiedBy>Haidar, Rayanne [GIR]</cp:lastModifiedBy>
  <cp:lastPrinted>2026-02-12T04:39:35Z</cp:lastPrinted>
  <dcterms:created xsi:type="dcterms:W3CDTF">2025-10-27T22:10:42Z</dcterms:created>
  <dcterms:modified xsi:type="dcterms:W3CDTF">2026-02-12T21:05:16Z</dcterms:modified>
</cp:coreProperties>
</file>