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mc:AlternateContent xmlns:mc="http://schemas.openxmlformats.org/markup-compatibility/2006">
    <mc:Choice Requires="x15">
      <x15ac:absPath xmlns:x15ac="http://schemas.microsoft.com/office/spreadsheetml/2010/11/ac" url="C:\Users\sickjul\AppData\Local\Research\ModelPublishing\SubmittedModels\"/>
    </mc:Choice>
  </mc:AlternateContent>
  <xr:revisionPtr revIDLastSave="0" documentId="8_{C3DB16FC-21A7-419F-9315-A009E35A42CB}" xr6:coauthVersionLast="47" xr6:coauthVersionMax="47" xr10:uidLastSave="{00000000-0000-0000-0000-000000000000}"/>
  <bookViews>
    <workbookView xWindow="4224" yWindow="312" windowWidth="39672" windowHeight="20544" tabRatio="768" xr2:uid="{00000000-000D-0000-FFFF-FFFF00000000}"/>
  </bookViews>
  <sheets>
    <sheet name="CircularReferenceAlert" sheetId="114" r:id="rId1"/>
    <sheet name="ImportantDisclosures" sheetId="111" r:id="rId2"/>
    <sheet name="Fin Sum" sheetId="82" r:id="rId3"/>
    <sheet name="Valuation" sheetId="83" r:id="rId4"/>
    <sheet name="BS, CF and P&amp;L" sheetId="43" r:id="rId5"/>
    <sheet name="Americas" sheetId="78" r:id="rId6"/>
    <sheet name="Asia Pacific" sheetId="79" r:id="rId7"/>
    <sheet name="EMEA" sheetId="77" r:id="rId8"/>
    <sheet name="Corporate" sheetId="80" r:id="rId9"/>
    <sheet name="IndexInformation" sheetId="112" r:id="rId10"/>
    <sheet name="ModPubIndex" sheetId="113" r:id="rId11"/>
  </sheets>
  <externalReferences>
    <externalReference r:id="rId12"/>
  </externalReferences>
  <definedNames>
    <definedName name="africa">0</definedName>
    <definedName name="africaCountries">#REF!</definedName>
    <definedName name="allRegions">#REF!</definedName>
    <definedName name="americaRegion">#REF!</definedName>
    <definedName name="americas">0.552</definedName>
    <definedName name="americasStates">#REF!</definedName>
    <definedName name="AppVersion">"GEG-1.0"</definedName>
    <definedName name="asiaPacific">0.218</definedName>
    <definedName name="asiaPacificExJapan">0.218</definedName>
    <definedName name="asiaPacificExJapanCountries">#REF!</definedName>
    <definedName name="asiaPacificRegion">#REF!</definedName>
    <definedName name="asiaPacificStates">#REF!</definedName>
    <definedName name="australasia">0.109</definedName>
    <definedName name="BRICS">0</definedName>
    <definedName name="centralEasternEurope">0</definedName>
    <definedName name="centralEasternEuropeCountries">#REF!</definedName>
    <definedName name="china">0</definedName>
    <definedName name="consumerDemandExposure">#REF!</definedName>
    <definedName name="consumersExposure">0</definedName>
    <definedName name="countryList">"Country Mapping"</definedName>
    <definedName name="developedEuropeExUK">0</definedName>
    <definedName name="developedEuropeExUKCountries">#REF!</definedName>
    <definedName name="domesticAndForeignExposure">#REF!</definedName>
    <definedName name="domesticCostExposure">#REF!</definedName>
    <definedName name="EEMEA">0</definedName>
    <definedName name="endDemandExposure">#REF!</definedName>
    <definedName name="europe">0.23</definedName>
    <definedName name="europeRegion">#REF!</definedName>
    <definedName name="europeStates">#REF!</definedName>
    <definedName name="india">0</definedName>
    <definedName name="instructions">#REF!</definedName>
    <definedName name="InterestExpenseCopy">'BS, CF and P&amp;L'!$D$159:$BB$159</definedName>
    <definedName name="InterestExpensePaste">'BS, CF and P&amp;L'!$D$160:$BB$160</definedName>
    <definedName name="InterestIncomeCopy">'BS, CF and P&amp;L'!$D$168:$BB$168</definedName>
    <definedName name="InterestIncomePaste">'BS, CF and P&amp;L'!$D$169:$BB$169</definedName>
    <definedName name="italy">0</definedName>
    <definedName name="japan">0</definedName>
    <definedName name="latinAmerica">0</definedName>
    <definedName name="latinAmericaCountries">#REF!</definedName>
    <definedName name="Linking_1">'Fin Sum'!$B$4:$U$77</definedName>
    <definedName name="Linking_10">Valuation!#REF!</definedName>
    <definedName name="Linking_11">Valuation!#REF!</definedName>
    <definedName name="Linking_12">Valuation!#REF!</definedName>
    <definedName name="Linking_13">Valuation!#REF!</definedName>
    <definedName name="Linking_14">Valuation!#REF!</definedName>
    <definedName name="Linking_15">Valuation!#REF!</definedName>
    <definedName name="Linking_16">Valuation!#REF!</definedName>
    <definedName name="Linking_17">#REF!</definedName>
    <definedName name="Linking_18">#REF!</definedName>
    <definedName name="Linking_19">#REF!</definedName>
    <definedName name="Linking_2">Valuation!$B$6:$D$12</definedName>
    <definedName name="Linking_20">#REF!</definedName>
    <definedName name="Linking_21">#REF!</definedName>
    <definedName name="Linking_22">#REF!</definedName>
    <definedName name="Linking_23">#REF!</definedName>
    <definedName name="Linking_24">#REF!</definedName>
    <definedName name="Linking_25">#REF!</definedName>
    <definedName name="Linking_26">#REF!</definedName>
    <definedName name="Linking_27">#REF!</definedName>
    <definedName name="Linking_28">#REF!</definedName>
    <definedName name="Linking_29">#REF!</definedName>
    <definedName name="Linking_3">Valuation!$A$39:$L$101</definedName>
    <definedName name="Linking_30">#REF!</definedName>
    <definedName name="Linking_31">#REF!</definedName>
    <definedName name="Linking_32">'Fin Sum'!$B$4:$U$78</definedName>
    <definedName name="Linking_33">#REF!</definedName>
    <definedName name="Linking_34">'Fin Sum'!$B$4:$U$71</definedName>
    <definedName name="Linking_35">#REF!</definedName>
    <definedName name="Linking_36">#REF!</definedName>
    <definedName name="Linking_37">Valuation!$B$15:$E$21</definedName>
    <definedName name="Linking_38">'Fin Sum'!$B$4:$U$72</definedName>
    <definedName name="Linking_39">#REF!</definedName>
    <definedName name="Linking_4">Valuation!$A$25:$G$38</definedName>
    <definedName name="Linking_40">Valuation!$B$15:$E$23</definedName>
    <definedName name="Linking_41">#REF!</definedName>
    <definedName name="Linking_42">#REF!</definedName>
    <definedName name="Linking_43">#REF!</definedName>
    <definedName name="Linking_44">#REF!</definedName>
    <definedName name="Linking_45">#REF!</definedName>
    <definedName name="Linking_46">#REF!</definedName>
    <definedName name="Linking_47">#REF!</definedName>
    <definedName name="Linking_48" xml:space="preserve">                                                                                    'Fin Sum'!$B$4:$V$72</definedName>
    <definedName name="Linking_49">#REF!</definedName>
    <definedName name="Linking_5">Valuation!#REF!</definedName>
    <definedName name="Linking_50">'Fin Sum'!$B$4:$V$71</definedName>
    <definedName name="Linking_51">#REF!</definedName>
    <definedName name="Linking_52">'Fin Sum'!$B$4:$V$72</definedName>
    <definedName name="Linking_53">'Fin Sum'!$B$5:$V$72</definedName>
    <definedName name="Linking_54">'Fin Sum'!$B$4:$W$72</definedName>
    <definedName name="Linking_55">#REF!</definedName>
    <definedName name="Linking_56">#REF!</definedName>
    <definedName name="Linking_57">#REF!</definedName>
    <definedName name="Linking_58">#REF!</definedName>
    <definedName name="Linking_59">#REF!</definedName>
    <definedName name="Linking_6">Valuation!#REF!</definedName>
    <definedName name="Linking_60">#REF!</definedName>
    <definedName name="Linking_61">#REF!</definedName>
    <definedName name="Linking_62">#REF!</definedName>
    <definedName name="Linking_63">#REF!</definedName>
    <definedName name="Linking_64" xml:space="preserve">                                          'Fin Sum'!$B$4:$X$72</definedName>
    <definedName name="Linking_65">'Fin Sum'!$B$4:$X$72</definedName>
    <definedName name="Linking_66">#REF!</definedName>
    <definedName name="Linking_67">'Fin Sum'!$B$4:$Y$72</definedName>
    <definedName name="Linking_68">'Fin Sum'!$B$5:$Z$72</definedName>
    <definedName name="Linking_69">#REF!</definedName>
    <definedName name="Linking_7">Valuation!#REF!</definedName>
    <definedName name="Linking_8">Valuation!#REF!</definedName>
    <definedName name="Linking_9">Valuation!#REF!</definedName>
    <definedName name="middleEast">0</definedName>
    <definedName name="middleEastAfrica">0</definedName>
    <definedName name="middleEastAfricaRegion">#REF!</definedName>
    <definedName name="middleEastAfricaStates">#REF!</definedName>
    <definedName name="northAmerica">0.552</definedName>
    <definedName name="northAmericaCountries">#REF!</definedName>
    <definedName name="otherAfrica">0</definedName>
    <definedName name="otherAsiaPacific">0.109</definedName>
    <definedName name="otherCentralEasternEurope">0</definedName>
    <definedName name="otherDevelopedEurope">0</definedName>
    <definedName name="otherLATAM">0</definedName>
    <definedName name="_xlnm.Print_Area" localSheetId="6">'Asia Pacific'!$A$1:$AM$58</definedName>
    <definedName name="_xlnm.Print_Area" localSheetId="4">'BS, CF and P&amp;L'!$L$9:$AG$333</definedName>
    <definedName name="_xlnm.Print_Area" localSheetId="8">Corporate!$A$3:$BB$30</definedName>
    <definedName name="_xlnm.Print_Area" localSheetId="7">EMEA!$A$1:$AM$33</definedName>
    <definedName name="_xlnm.Print_Area" localSheetId="2">'Fin Sum'!$A$1:$X$74</definedName>
    <definedName name="_xlnm.Print_Area" localSheetId="3">Valuation!$A$25:$L$102</definedName>
    <definedName name="_xlnm.Print_Titles" localSheetId="4">'BS, CF and P&amp;L'!$A:$C,'BS, CF and P&amp;L'!$1:$6</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ocioEconomicRegions">#REF!</definedName>
    <definedName name="spain">0</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TRNR_0010f58867d64255b1015b126e1d5a6e_35_2" hidden="1">#REF!</definedName>
    <definedName name="TRNR_020f2c48a5674d47928f68b7b454fcc2_64_2" hidden="1">#REF!</definedName>
    <definedName name="TRNR_0c48af8ee3f34f358485187e1ab6bad8_62_2" hidden="1">#REF!</definedName>
    <definedName name="TRNR_17c1f0c09fb54347b2ea1d67f3085b92_64_2" hidden="1">#REF!</definedName>
    <definedName name="TRNR_19d506b7ed5a4246a05f5f0f373a07c1_52_2" hidden="1">#REF!</definedName>
    <definedName name="TRNR_1e6a01f74c8441f09471ac7c612e2ecc_51_2" hidden="1">#REF!</definedName>
    <definedName name="TRNR_2504a687544543fdbd388e54516b3722_20_2" hidden="1">#REF!</definedName>
    <definedName name="TRNR_294c0297ed314929bb7147fe2645591a_50_2" hidden="1">#REF!</definedName>
    <definedName name="TRNR_480f6ae565724c9b8892a18456344b02_23_2" hidden="1">#REF!</definedName>
    <definedName name="TRNR_4985d6f8da7845738ac5bf0782b8cf5c_56_2" hidden="1">#REF!</definedName>
    <definedName name="TRNR_52b30880fd2c4deb859f0054ab62cc22_56_2" hidden="1">#REF!</definedName>
    <definedName name="TRNR_5dd42265edb24e5cb70c1e086e24c329_50_2" hidden="1">#REF!</definedName>
    <definedName name="TRNR_62037099354d477f941f890d1fa38944_62_2" hidden="1">#REF!</definedName>
    <definedName name="TRNR_697e0ccf0e404876ab58ba0457e825b1_62_2" hidden="1">#REF!</definedName>
    <definedName name="TRNR_6f44a23aa01d4bea9f445b0493d5ccef_50_2" hidden="1">#REF!</definedName>
    <definedName name="TRNR_6fd68345a6c24fd6b1966b2af604484b_51_2" hidden="1">#REF!</definedName>
    <definedName name="TRNR_7dd4d6234c1748b08036129d2ed0b91b_23_2" hidden="1">#REF!</definedName>
    <definedName name="TRNR_84c7e4f961f64e1094cf566e4df7c628_64_2" hidden="1">#REF!</definedName>
    <definedName name="TRNR_a3ef5d42237c4ffa95c14623a01240f0_56_2" hidden="1">#REF!</definedName>
    <definedName name="TRNR_af5bf9ef892a4a2c8a3ecec86af4ecc8_64_2" hidden="1">#REF!</definedName>
    <definedName name="TRNR_d8573b881d644f75a2d054223e4c87d4_56_2" hidden="1">#REF!</definedName>
    <definedName name="TRNR_e3f512f5a0334ad7a33ac78d63a05bb9_56_2" hidden="1">#REF!</definedName>
    <definedName name="TRNR_e7fdac6c82f9454d902b2a61a7a16f87_44_2" hidden="1">#REF!</definedName>
    <definedName name="TRNR_ee752807276f4d1ebb4470c4cc98ad4d_46_2" hidden="1">#REF!</definedName>
    <definedName name="TRNR_f750e3bc220544bb8a6ec1473974e12c_50_2" hidden="1">#REF!</definedName>
    <definedName name="uk">0.23</definedName>
    <definedName name="ValidDateTable">#REF!</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2" i="80" l="1"/>
  <c r="AN11" i="80"/>
  <c r="AN30" i="43" s="1"/>
  <c r="AN23" i="77"/>
  <c r="AN135" i="43"/>
  <c r="AN134" i="43"/>
  <c r="AN136" i="43" s="1"/>
  <c r="AN126" i="43"/>
  <c r="AN140" i="43" s="1"/>
  <c r="AN197" i="43"/>
  <c r="AN194" i="43"/>
  <c r="AN179" i="43" s="1"/>
  <c r="AN190" i="43"/>
  <c r="AN191" i="43" s="1"/>
  <c r="AN8" i="80"/>
  <c r="AN6" i="77"/>
  <c r="AN9" i="77"/>
  <c r="AN12" i="77"/>
  <c r="AN29" i="43" s="1"/>
  <c r="AN21" i="77"/>
  <c r="AN30" i="77"/>
  <c r="AN89" i="43" s="1"/>
  <c r="AN33" i="77"/>
  <c r="AN6" i="79"/>
  <c r="AN9" i="79"/>
  <c r="AN10" i="79"/>
  <c r="AN22" i="79"/>
  <c r="AN76" i="79"/>
  <c r="AN52" i="79"/>
  <c r="AN53" i="79"/>
  <c r="AN65" i="79"/>
  <c r="AN69" i="79"/>
  <c r="AN68" i="79" s="1"/>
  <c r="AN71" i="79"/>
  <c r="AN9" i="78"/>
  <c r="AN88" i="43" s="1"/>
  <c r="AN12" i="78"/>
  <c r="AN12" i="43" s="1"/>
  <c r="AN15" i="78"/>
  <c r="AN28" i="43" s="1"/>
  <c r="AN17" i="78"/>
  <c r="AN18" i="78"/>
  <c r="AN21" i="78"/>
  <c r="AN24" i="78"/>
  <c r="AN6" i="43"/>
  <c r="AN3" i="79" s="1"/>
  <c r="AN34" i="43"/>
  <c r="AN35" i="43"/>
  <c r="AN43" i="43"/>
  <c r="AN44" i="43"/>
  <c r="AN59" i="43"/>
  <c r="AN159" i="43" s="1"/>
  <c r="AN87" i="43"/>
  <c r="AN145" i="43"/>
  <c r="AN146" i="43"/>
  <c r="AN155" i="43" s="1"/>
  <c r="AN164" i="43"/>
  <c r="AN165" i="43"/>
  <c r="AN176" i="43"/>
  <c r="AN208" i="43"/>
  <c r="AN215" i="43"/>
  <c r="AN225" i="43"/>
  <c r="AN239" i="43"/>
  <c r="AN240" i="43"/>
  <c r="AN241" i="43"/>
  <c r="AN262" i="43"/>
  <c r="AN265" i="43" s="1"/>
  <c r="AN273" i="43"/>
  <c r="AN276" i="43"/>
  <c r="AN277" i="43"/>
  <c r="AN288" i="43"/>
  <c r="AN301" i="43"/>
  <c r="AN323" i="43"/>
  <c r="AN324" i="43"/>
  <c r="AN325" i="43"/>
  <c r="U51" i="82"/>
  <c r="T51" i="82"/>
  <c r="S51" i="82"/>
  <c r="R51" i="82"/>
  <c r="Q51" i="82"/>
  <c r="P51" i="82"/>
  <c r="Q50" i="82"/>
  <c r="P50" i="82"/>
  <c r="U49" i="82"/>
  <c r="T49" i="82"/>
  <c r="S49" i="82"/>
  <c r="R49" i="82"/>
  <c r="Q49" i="82"/>
  <c r="P49" i="82"/>
  <c r="Q40" i="82"/>
  <c r="P40" i="82"/>
  <c r="Q39" i="82"/>
  <c r="P39" i="82"/>
  <c r="Q38" i="82"/>
  <c r="P38" i="82"/>
  <c r="C41" i="83"/>
  <c r="N71" i="83"/>
  <c r="AN130" i="43" l="1"/>
  <c r="AN198" i="43"/>
  <c r="AN124" i="43"/>
  <c r="AN175" i="43"/>
  <c r="AN3" i="80"/>
  <c r="AN20" i="78"/>
  <c r="AN15" i="80"/>
  <c r="AN45" i="43" s="1"/>
  <c r="AN74" i="79"/>
  <c r="AN85" i="79" s="1"/>
  <c r="AN80" i="79"/>
  <c r="AN166" i="43"/>
  <c r="AN167" i="43" s="1"/>
  <c r="AN168" i="43" s="1"/>
  <c r="AN170" i="43" s="1"/>
  <c r="AN83" i="79"/>
  <c r="AN58" i="79"/>
  <c r="AN3" i="77"/>
  <c r="AN3" i="78"/>
  <c r="AN36" i="43"/>
  <c r="AN13" i="80"/>
  <c r="AN242" i="43"/>
  <c r="AN217" i="43"/>
  <c r="AN148" i="43"/>
  <c r="AN250" i="43" s="1"/>
  <c r="AN200" i="43"/>
  <c r="AN326" i="43"/>
  <c r="AN93" i="43"/>
  <c r="AN72" i="43"/>
  <c r="AN73" i="43" s="1"/>
  <c r="AN13" i="43"/>
  <c r="AN94" i="43" s="1"/>
  <c r="AN17" i="77"/>
  <c r="AN14" i="77"/>
  <c r="AN15" i="79"/>
  <c r="AQ15" i="79" s="1"/>
  <c r="AN137" i="43"/>
  <c r="AN139" i="43" s="1"/>
  <c r="AP139" i="43" s="1"/>
  <c r="AN161" i="43"/>
  <c r="AN267" i="43"/>
  <c r="AN268" i="43" s="1"/>
  <c r="AM25" i="79"/>
  <c r="AL25" i="79" s="1"/>
  <c r="AJ25" i="79"/>
  <c r="AM11" i="80"/>
  <c r="AM30" i="43" s="1"/>
  <c r="AM13" i="79"/>
  <c r="AM27" i="43" s="1"/>
  <c r="AM12" i="77"/>
  <c r="AM15" i="78"/>
  <c r="AM28" i="43" s="1"/>
  <c r="AL32" i="77"/>
  <c r="AI32" i="77"/>
  <c r="AM135" i="43"/>
  <c r="AM134" i="43"/>
  <c r="AM197" i="43"/>
  <c r="AM194" i="43"/>
  <c r="AM179" i="43" s="1"/>
  <c r="AM190" i="43"/>
  <c r="AM191" i="43" s="1"/>
  <c r="AL7" i="80"/>
  <c r="AL8" i="80" s="1"/>
  <c r="AM8" i="80"/>
  <c r="AM13" i="80" s="1"/>
  <c r="AL19" i="80"/>
  <c r="AL5" i="77"/>
  <c r="AM6" i="77"/>
  <c r="AL8" i="77"/>
  <c r="AL13" i="77"/>
  <c r="AL35" i="43" s="1"/>
  <c r="AL20" i="77"/>
  <c r="AM21" i="77"/>
  <c r="AL26" i="77"/>
  <c r="AM30" i="77"/>
  <c r="AM89" i="43" s="1"/>
  <c r="AM33" i="77"/>
  <c r="AL5" i="79"/>
  <c r="AM6" i="79"/>
  <c r="AL8" i="79"/>
  <c r="AM9" i="79"/>
  <c r="AM10" i="79"/>
  <c r="AM15" i="79" s="1"/>
  <c r="AL14" i="79"/>
  <c r="AL21" i="79"/>
  <c r="AM22" i="79"/>
  <c r="AL52" i="79"/>
  <c r="AM52" i="79"/>
  <c r="AL53" i="79"/>
  <c r="AM53" i="79"/>
  <c r="AL64" i="79"/>
  <c r="AM65" i="79"/>
  <c r="AL5" i="78"/>
  <c r="AM9" i="78"/>
  <c r="AM88" i="43" s="1"/>
  <c r="AL11" i="78"/>
  <c r="AM12" i="78"/>
  <c r="AL16" i="78"/>
  <c r="AL34" i="43" s="1"/>
  <c r="AL23" i="78"/>
  <c r="AM24" i="78"/>
  <c r="AL6" i="43"/>
  <c r="AL3" i="77" s="1"/>
  <c r="AM6" i="43"/>
  <c r="AM3" i="78" s="1"/>
  <c r="AL22" i="43"/>
  <c r="AM34" i="43"/>
  <c r="AM35" i="43"/>
  <c r="AM36" i="43"/>
  <c r="AL56" i="43"/>
  <c r="AL57" i="43"/>
  <c r="AL168" i="43" s="1"/>
  <c r="AL170" i="43" s="1"/>
  <c r="AM65" i="43"/>
  <c r="AM257" i="43" s="1"/>
  <c r="AL74" i="43"/>
  <c r="AL324" i="43" s="1"/>
  <c r="AM87" i="43"/>
  <c r="AL119" i="43"/>
  <c r="AL122" i="43"/>
  <c r="AM124" i="43"/>
  <c r="AL125" i="43"/>
  <c r="AL127" i="43"/>
  <c r="AL128" i="43"/>
  <c r="AL176" i="43" s="1"/>
  <c r="AL129" i="43"/>
  <c r="AL132" i="43"/>
  <c r="AL325" i="43" s="1"/>
  <c r="AL133" i="43"/>
  <c r="AM140" i="43"/>
  <c r="AM145" i="43"/>
  <c r="AL145" i="43" s="1"/>
  <c r="AL165" i="43" s="1"/>
  <c r="AM146" i="43"/>
  <c r="AL164" i="43"/>
  <c r="AM164" i="43"/>
  <c r="AM165" i="43"/>
  <c r="AM168" i="43"/>
  <c r="AM170" i="43" s="1"/>
  <c r="AL187" i="43"/>
  <c r="AL188" i="43"/>
  <c r="AL189" i="43"/>
  <c r="AL195" i="43"/>
  <c r="AL196" i="43"/>
  <c r="AL203" i="43"/>
  <c r="AL204" i="43"/>
  <c r="AL205" i="43"/>
  <c r="AL206" i="43"/>
  <c r="AL207" i="43"/>
  <c r="AM208" i="43"/>
  <c r="AL211" i="43"/>
  <c r="AL212" i="43"/>
  <c r="AL213" i="43"/>
  <c r="AL214" i="43"/>
  <c r="AM215" i="43"/>
  <c r="AL221" i="43"/>
  <c r="AL222" i="43"/>
  <c r="AL223" i="43"/>
  <c r="AL224" i="43"/>
  <c r="AM225" i="43"/>
  <c r="AM239" i="43"/>
  <c r="AM240" i="43"/>
  <c r="AM241" i="43"/>
  <c r="AM262" i="43"/>
  <c r="AM263" i="43"/>
  <c r="AL265" i="43"/>
  <c r="AL267" i="43"/>
  <c r="AL273" i="43"/>
  <c r="AM273" i="43"/>
  <c r="AM276" i="43"/>
  <c r="AM280" i="43" s="1"/>
  <c r="AM277" i="43"/>
  <c r="AM281" i="43" s="1"/>
  <c r="AM286" i="43"/>
  <c r="AM288" i="43" s="1"/>
  <c r="AL287" i="43"/>
  <c r="AL288" i="43" s="1"/>
  <c r="AM299" i="43"/>
  <c r="AM301" i="43" s="1"/>
  <c r="AL301" i="43"/>
  <c r="AM309" i="43"/>
  <c r="AM323" i="43"/>
  <c r="AM324" i="43"/>
  <c r="AM325" i="43"/>
  <c r="C52" i="83"/>
  <c r="C48" i="83"/>
  <c r="Z37" i="82"/>
  <c r="Z31" i="82"/>
  <c r="Z64" i="82"/>
  <c r="Z60" i="82"/>
  <c r="Z55" i="82"/>
  <c r="Z26" i="82"/>
  <c r="M24" i="82"/>
  <c r="M26" i="82"/>
  <c r="M43" i="82"/>
  <c r="AN16" i="80" l="1"/>
  <c r="AN251" i="43"/>
  <c r="AN249" i="43"/>
  <c r="AN304" i="43"/>
  <c r="AN305" i="43"/>
  <c r="AM136" i="43"/>
  <c r="AN219" i="43"/>
  <c r="AN226" i="43" s="1"/>
  <c r="AN280" i="43"/>
  <c r="AN281" i="43"/>
  <c r="AL194" i="43"/>
  <c r="AL179" i="43" s="1"/>
  <c r="AM166" i="43"/>
  <c r="AM167" i="43" s="1"/>
  <c r="AM198" i="43"/>
  <c r="AM200" i="43" s="1"/>
  <c r="AL12" i="78"/>
  <c r="AL12" i="43" s="1"/>
  <c r="AM3" i="79"/>
  <c r="AM29" i="79"/>
  <c r="AL3" i="79"/>
  <c r="AL3" i="78"/>
  <c r="AM3" i="80"/>
  <c r="AL3" i="80"/>
  <c r="AM3" i="77"/>
  <c r="AM58" i="79"/>
  <c r="AL58" i="79"/>
  <c r="AL66" i="79"/>
  <c r="AL276" i="43"/>
  <c r="AM326" i="43"/>
  <c r="AL215" i="43"/>
  <c r="AM148" i="43"/>
  <c r="AM251" i="43" s="1"/>
  <c r="AM15" i="80"/>
  <c r="AM16" i="80" s="1"/>
  <c r="AL33" i="77"/>
  <c r="AO33" i="77" s="1"/>
  <c r="AL21" i="77"/>
  <c r="AL9" i="77"/>
  <c r="AL16" i="77"/>
  <c r="AM29" i="43"/>
  <c r="AM31" i="43" s="1"/>
  <c r="AM72" i="43"/>
  <c r="AM76" i="79"/>
  <c r="AL10" i="79"/>
  <c r="AM18" i="79"/>
  <c r="AL22" i="79"/>
  <c r="AL24" i="78"/>
  <c r="AM17" i="78"/>
  <c r="AM20" i="78"/>
  <c r="AL19" i="78"/>
  <c r="AL225" i="43"/>
  <c r="AM227" i="43" s="1"/>
  <c r="AL146" i="43"/>
  <c r="AL148" i="43" s="1"/>
  <c r="AL249" i="43" s="1"/>
  <c r="AM217" i="43"/>
  <c r="AM242" i="43"/>
  <c r="AN244" i="43" s="1"/>
  <c r="AN120" i="43" s="1"/>
  <c r="AL326" i="43"/>
  <c r="AL59" i="43"/>
  <c r="AL159" i="43" s="1"/>
  <c r="AM294" i="43"/>
  <c r="AM295" i="43"/>
  <c r="AM296" i="43"/>
  <c r="AL166" i="43"/>
  <c r="AL167" i="43" s="1"/>
  <c r="AL323" i="43"/>
  <c r="AM130" i="43"/>
  <c r="AM137" i="43" s="1"/>
  <c r="AM139" i="43" s="1"/>
  <c r="AL139" i="43" s="1"/>
  <c r="AL197" i="43"/>
  <c r="AL198" i="43" s="1"/>
  <c r="AL190" i="43"/>
  <c r="AL191" i="43" s="1"/>
  <c r="AL208" i="43"/>
  <c r="F35" i="83"/>
  <c r="F32" i="83"/>
  <c r="F31" i="83"/>
  <c r="F29" i="83"/>
  <c r="AV6" i="78"/>
  <c r="AY6" i="78"/>
  <c r="BB6" i="78"/>
  <c r="AO98" i="79"/>
  <c r="AK11" i="80"/>
  <c r="AL11" i="80" s="1"/>
  <c r="AK12" i="80"/>
  <c r="AL12" i="80" s="1"/>
  <c r="AL36" i="43" s="1"/>
  <c r="AK13" i="79"/>
  <c r="AL13" i="79" s="1"/>
  <c r="AL27" i="43" s="1"/>
  <c r="AK29" i="79"/>
  <c r="AK12" i="77"/>
  <c r="AL12" i="77" s="1"/>
  <c r="AL29" i="43" s="1"/>
  <c r="AK15" i="78"/>
  <c r="AK197" i="43"/>
  <c r="AK194" i="43"/>
  <c r="AK179" i="43" s="1"/>
  <c r="AK190" i="43"/>
  <c r="AK191" i="43" s="1"/>
  <c r="AK135" i="43"/>
  <c r="AL135" i="43" s="1"/>
  <c r="AK134" i="43"/>
  <c r="AL134" i="43" s="1"/>
  <c r="AK126" i="43"/>
  <c r="AK124" i="43" s="1"/>
  <c r="AL124" i="43" s="1"/>
  <c r="AL126" i="43" s="1"/>
  <c r="AK8" i="80"/>
  <c r="AK6" i="77"/>
  <c r="AK9" i="77"/>
  <c r="AK44" i="43"/>
  <c r="AK21" i="77"/>
  <c r="AK30" i="77"/>
  <c r="AK89" i="43" s="1"/>
  <c r="AK33" i="77"/>
  <c r="AK10" i="79"/>
  <c r="AN11" i="79" s="1"/>
  <c r="AK9" i="79"/>
  <c r="AK22" i="79"/>
  <c r="AK52" i="79"/>
  <c r="AK53" i="79"/>
  <c r="AK65" i="79"/>
  <c r="AK69" i="79"/>
  <c r="AK68" i="79" s="1"/>
  <c r="AK71" i="79"/>
  <c r="AK9" i="78"/>
  <c r="AK88" i="43" s="1"/>
  <c r="AK12" i="78"/>
  <c r="AK18" i="78"/>
  <c r="AK24" i="78"/>
  <c r="AK6" i="43"/>
  <c r="AK3" i="80" s="1"/>
  <c r="AK16" i="43"/>
  <c r="AK33" i="43"/>
  <c r="AK34" i="43"/>
  <c r="AK35" i="43"/>
  <c r="AK59" i="43"/>
  <c r="AK159" i="43" s="1"/>
  <c r="AK87" i="43"/>
  <c r="AK145" i="43"/>
  <c r="AK146" i="43"/>
  <c r="AK155" i="43" s="1"/>
  <c r="AL154" i="43" s="1"/>
  <c r="AK164" i="43"/>
  <c r="AK165" i="43"/>
  <c r="AK176" i="43"/>
  <c r="AM176" i="43" s="1"/>
  <c r="AK208" i="43"/>
  <c r="AK215" i="43"/>
  <c r="AK225" i="43"/>
  <c r="AK239" i="43"/>
  <c r="AK240" i="43"/>
  <c r="AK241" i="43"/>
  <c r="AK262" i="43"/>
  <c r="AK265" i="43" s="1"/>
  <c r="AL305" i="43" s="1"/>
  <c r="AK273" i="43"/>
  <c r="AK276" i="43"/>
  <c r="AK288" i="43"/>
  <c r="AN290" i="43" s="1"/>
  <c r="AK301" i="43"/>
  <c r="AK323" i="43"/>
  <c r="AK324" i="43"/>
  <c r="AK325" i="43"/>
  <c r="I6" i="83"/>
  <c r="L6" i="83" s="1"/>
  <c r="H6" i="83"/>
  <c r="K6" i="83" s="1"/>
  <c r="AN306" i="43" l="1"/>
  <c r="AL17" i="78"/>
  <c r="AN248" i="43"/>
  <c r="AM27" i="78"/>
  <c r="AN28" i="78"/>
  <c r="AN38" i="78" s="1"/>
  <c r="AK14" i="77"/>
  <c r="AN10" i="77"/>
  <c r="AK17" i="78"/>
  <c r="AN13" i="78"/>
  <c r="AN294" i="43"/>
  <c r="AN295" i="43"/>
  <c r="AN296" i="43"/>
  <c r="AO17" i="78"/>
  <c r="AR17" i="78" s="1"/>
  <c r="AU17" i="78" s="1"/>
  <c r="AQ17" i="78"/>
  <c r="AT17" i="78" s="1"/>
  <c r="AL29" i="79"/>
  <c r="AL30" i="43"/>
  <c r="AL217" i="43"/>
  <c r="AM218" i="43" s="1"/>
  <c r="AL136" i="43"/>
  <c r="AM250" i="43"/>
  <c r="C51" i="83"/>
  <c r="AM249" i="43"/>
  <c r="AK29" i="43"/>
  <c r="AL140" i="43"/>
  <c r="AL175" i="43"/>
  <c r="AL130" i="43"/>
  <c r="AL13" i="80"/>
  <c r="AK28" i="43"/>
  <c r="AL15" i="78"/>
  <c r="AL28" i="43" s="1"/>
  <c r="AM73" i="43"/>
  <c r="AK267" i="43"/>
  <c r="AK268" i="43" s="1"/>
  <c r="AK280" i="43" s="1"/>
  <c r="AL280" i="43" s="1"/>
  <c r="AL262" i="43"/>
  <c r="AL304" i="43"/>
  <c r="AL306" i="43" s="1"/>
  <c r="AN308" i="43" s="1"/>
  <c r="AN310" i="43" s="1"/>
  <c r="AK27" i="43"/>
  <c r="AK17" i="79"/>
  <c r="AL17" i="79" s="1"/>
  <c r="AL18" i="79" s="1"/>
  <c r="AM59" i="43"/>
  <c r="AM159" i="43" s="1"/>
  <c r="AM161" i="43" s="1"/>
  <c r="AM172" i="43"/>
  <c r="AL13" i="43"/>
  <c r="AL14" i="77"/>
  <c r="AM9" i="77"/>
  <c r="AM17" i="77" s="1"/>
  <c r="AL15" i="80"/>
  <c r="AL16" i="80" s="1"/>
  <c r="AL17" i="77"/>
  <c r="AL44" i="43"/>
  <c r="AL72" i="43"/>
  <c r="AL15" i="79"/>
  <c r="AO15" i="79" s="1"/>
  <c r="AM315" i="43"/>
  <c r="AL20" i="78"/>
  <c r="AL43" i="43"/>
  <c r="AL155" i="43"/>
  <c r="AL157" i="43" s="1"/>
  <c r="AL158" i="43" s="1"/>
  <c r="AL250" i="43"/>
  <c r="AL251" i="43"/>
  <c r="AM219" i="43"/>
  <c r="AM248" i="43" s="1"/>
  <c r="AL200" i="43"/>
  <c r="AL161" i="43"/>
  <c r="AK15" i="80"/>
  <c r="AK45" i="43" s="1"/>
  <c r="AK175" i="43"/>
  <c r="F33" i="83"/>
  <c r="AK30" i="43"/>
  <c r="AK198" i="43"/>
  <c r="AK200" i="43" s="1"/>
  <c r="AK136" i="43"/>
  <c r="AK166" i="43"/>
  <c r="AK167" i="43" s="1"/>
  <c r="AK168" i="43" s="1"/>
  <c r="AK170" i="43" s="1"/>
  <c r="AK12" i="43"/>
  <c r="AK3" i="79"/>
  <c r="AK3" i="77"/>
  <c r="AK140" i="43"/>
  <c r="AK3" i="78"/>
  <c r="AK130" i="43"/>
  <c r="AK76" i="79"/>
  <c r="AK58" i="79"/>
  <c r="AK13" i="80"/>
  <c r="AK83" i="79"/>
  <c r="AK20" i="78"/>
  <c r="AK148" i="43"/>
  <c r="AK36" i="43"/>
  <c r="AK17" i="77"/>
  <c r="AK13" i="43"/>
  <c r="AN80" i="43" s="1"/>
  <c r="AK11" i="43"/>
  <c r="AK74" i="79"/>
  <c r="AK85" i="79" s="1"/>
  <c r="AK80" i="79"/>
  <c r="AK15" i="79"/>
  <c r="AK72" i="43"/>
  <c r="AK43" i="43"/>
  <c r="AK217" i="43"/>
  <c r="AK242" i="43"/>
  <c r="AK326" i="43"/>
  <c r="AK161" i="43"/>
  <c r="AM175" i="43" l="1"/>
  <c r="AM14" i="77"/>
  <c r="AN282" i="43"/>
  <c r="AM12" i="43"/>
  <c r="W39" i="82" s="1"/>
  <c r="AN79" i="43"/>
  <c r="AK250" i="43"/>
  <c r="AN149" i="43"/>
  <c r="AL76" i="79"/>
  <c r="AN77" i="79"/>
  <c r="AL31" i="43"/>
  <c r="AL181" i="43" s="1"/>
  <c r="AL182" i="43" s="1"/>
  <c r="AK31" i="43"/>
  <c r="AK181" i="43" s="1"/>
  <c r="AK182" i="43" s="1"/>
  <c r="AM13" i="43"/>
  <c r="W40" i="82" s="1"/>
  <c r="AM155" i="43"/>
  <c r="AN154" i="43" s="1"/>
  <c r="AN157" i="43" s="1"/>
  <c r="AN158" i="43" s="1"/>
  <c r="AK16" i="80"/>
  <c r="AL137" i="43"/>
  <c r="AL149" i="43"/>
  <c r="AM226" i="43"/>
  <c r="AL94" i="43"/>
  <c r="AM44" i="43"/>
  <c r="AM43" i="43"/>
  <c r="AL93" i="43"/>
  <c r="AM201" i="43"/>
  <c r="AL219" i="43"/>
  <c r="AK137" i="43"/>
  <c r="AK251" i="43"/>
  <c r="AK277" i="43"/>
  <c r="AK281" i="43" s="1"/>
  <c r="AN283" i="43" s="1"/>
  <c r="AK73" i="43"/>
  <c r="AL73" i="43" s="1"/>
  <c r="AL70" i="43" s="1"/>
  <c r="AK81" i="79"/>
  <c r="AK249" i="43"/>
  <c r="AK219" i="43"/>
  <c r="AK14" i="43"/>
  <c r="AK23" i="43" s="1"/>
  <c r="AK94" i="43"/>
  <c r="AK18" i="79"/>
  <c r="AK42" i="43"/>
  <c r="AK92" i="43" s="1"/>
  <c r="AK93" i="43"/>
  <c r="BG9" i="79"/>
  <c r="BG10" i="79" s="1"/>
  <c r="BE6" i="79"/>
  <c r="BE7" i="79" s="1"/>
  <c r="AM93" i="43" l="1"/>
  <c r="AL315" i="43"/>
  <c r="AL172" i="43"/>
  <c r="AL178" i="43"/>
  <c r="AL177" i="43" s="1"/>
  <c r="AK315" i="43"/>
  <c r="AK178" i="43"/>
  <c r="AK172" i="43"/>
  <c r="AM181" i="43"/>
  <c r="AM178" i="43" s="1"/>
  <c r="AM177" i="43" s="1"/>
  <c r="AM94" i="43"/>
  <c r="AL277" i="43"/>
  <c r="AL65" i="43"/>
  <c r="AL66" i="43" s="1"/>
  <c r="AK296" i="43"/>
  <c r="AL281" i="43"/>
  <c r="AL226" i="43"/>
  <c r="AL248" i="43"/>
  <c r="AK294" i="43"/>
  <c r="AQ294" i="43" s="1"/>
  <c r="AK295" i="43"/>
  <c r="AK235" i="43"/>
  <c r="AK237" i="43"/>
  <c r="AK18" i="43"/>
  <c r="AK248" i="43"/>
  <c r="AK226" i="43"/>
  <c r="AK236" i="43"/>
  <c r="AK46" i="43"/>
  <c r="AK49" i="43" s="1"/>
  <c r="AJ12" i="80"/>
  <c r="C95" i="83"/>
  <c r="E29" i="83"/>
  <c r="E31" i="83"/>
  <c r="E33" i="83" s="1"/>
  <c r="AJ11" i="80"/>
  <c r="AI25" i="79"/>
  <c r="AI26" i="77"/>
  <c r="AL30" i="77" s="1"/>
  <c r="AL89" i="43" s="1"/>
  <c r="AJ12" i="77"/>
  <c r="AJ13" i="79"/>
  <c r="AM182" i="43" l="1"/>
  <c r="AL257" i="43"/>
  <c r="AL296" i="43"/>
  <c r="AL294" i="43"/>
  <c r="AO294" i="43" s="1"/>
  <c r="AL295" i="43"/>
  <c r="AL268" i="43"/>
  <c r="AK20" i="43"/>
  <c r="AK47" i="43"/>
  <c r="AK95" i="43" s="1"/>
  <c r="AK53" i="43"/>
  <c r="AK62" i="43" s="1"/>
  <c r="AK106" i="43" s="1"/>
  <c r="AK38" i="43"/>
  <c r="AK152" i="43" s="1"/>
  <c r="AJ76" i="79"/>
  <c r="AM77" i="79" s="1"/>
  <c r="AK37" i="43" l="1"/>
  <c r="AK151" i="43"/>
  <c r="AK61" i="43"/>
  <c r="AJ15" i="78"/>
  <c r="AJ286" i="43"/>
  <c r="AJ135" i="43"/>
  <c r="AJ134" i="43"/>
  <c r="AJ129" i="43"/>
  <c r="AJ197" i="43"/>
  <c r="AJ194" i="43"/>
  <c r="AJ190" i="43"/>
  <c r="AK98" i="43" l="1"/>
  <c r="AK25" i="43"/>
  <c r="AK39" i="43"/>
  <c r="AK101" i="43"/>
  <c r="AJ136" i="43"/>
  <c r="AI7" i="80"/>
  <c r="AJ8" i="80"/>
  <c r="AJ13" i="80" s="1"/>
  <c r="AJ15" i="80"/>
  <c r="AI19" i="80"/>
  <c r="AI5" i="77"/>
  <c r="AL6" i="77" s="1"/>
  <c r="AJ6" i="77"/>
  <c r="AI8" i="77"/>
  <c r="AJ16" i="77"/>
  <c r="AI13" i="77"/>
  <c r="AI35" i="43" s="1"/>
  <c r="AI20" i="77"/>
  <c r="AJ21" i="77"/>
  <c r="AI30" i="77"/>
  <c r="AI89" i="43" s="1"/>
  <c r="AI33" i="77"/>
  <c r="AJ6" i="79"/>
  <c r="AI8" i="79"/>
  <c r="AL9" i="79" s="1"/>
  <c r="AJ9" i="79"/>
  <c r="AJ10" i="79"/>
  <c r="AJ22" i="79"/>
  <c r="AJ29" i="79"/>
  <c r="AI52" i="79"/>
  <c r="AJ52" i="79"/>
  <c r="AI53" i="79"/>
  <c r="AJ53" i="79"/>
  <c r="AI64" i="79"/>
  <c r="AL65" i="79" s="1"/>
  <c r="AJ65" i="79"/>
  <c r="AI5" i="78"/>
  <c r="AL9" i="78" s="1"/>
  <c r="AL88" i="43" s="1"/>
  <c r="AJ9" i="78"/>
  <c r="AJ88" i="43" s="1"/>
  <c r="AI11" i="78"/>
  <c r="AJ12" i="78"/>
  <c r="AM13" i="78" s="1"/>
  <c r="AJ19" i="78"/>
  <c r="AI16" i="78"/>
  <c r="AI34" i="43" s="1"/>
  <c r="AI23" i="78"/>
  <c r="AJ24" i="78"/>
  <c r="AL28" i="78"/>
  <c r="AL38" i="78" s="1"/>
  <c r="AI6" i="43"/>
  <c r="AI3" i="80" s="1"/>
  <c r="AJ6" i="43"/>
  <c r="AJ3" i="80" s="1"/>
  <c r="AJ16" i="43"/>
  <c r="AI22" i="43"/>
  <c r="AJ27" i="43"/>
  <c r="AJ29" i="43"/>
  <c r="AJ30" i="43"/>
  <c r="AJ33" i="43"/>
  <c r="AJ34" i="43"/>
  <c r="AJ35" i="43"/>
  <c r="AJ36" i="43"/>
  <c r="AI56" i="43"/>
  <c r="AI57" i="43"/>
  <c r="AI168" i="43" s="1"/>
  <c r="AI170" i="43" s="1"/>
  <c r="AJ65" i="43"/>
  <c r="AJ257" i="43" s="1"/>
  <c r="AI74" i="43"/>
  <c r="AI324" i="43" s="1"/>
  <c r="AJ87" i="43"/>
  <c r="AI119" i="43"/>
  <c r="AI122" i="43"/>
  <c r="AJ124" i="43"/>
  <c r="AI125" i="43"/>
  <c r="AI127" i="43"/>
  <c r="AI128" i="43"/>
  <c r="AI176" i="43" s="1"/>
  <c r="AI129" i="43"/>
  <c r="AJ130" i="43"/>
  <c r="AI132" i="43"/>
  <c r="AI325" i="43" s="1"/>
  <c r="AI133" i="43"/>
  <c r="AJ140" i="43"/>
  <c r="AJ145" i="43"/>
  <c r="AI145" i="43" s="1"/>
  <c r="AI165" i="43" s="1"/>
  <c r="AJ146" i="43"/>
  <c r="AI164" i="43"/>
  <c r="AJ164" i="43"/>
  <c r="AJ165" i="43"/>
  <c r="AJ168" i="43"/>
  <c r="AJ170" i="43" s="1"/>
  <c r="AJ179" i="43"/>
  <c r="AK177" i="43" s="1"/>
  <c r="AI187" i="43"/>
  <c r="AI188" i="43"/>
  <c r="AI189" i="43"/>
  <c r="AI190" i="43"/>
  <c r="AJ191" i="43"/>
  <c r="AI194" i="43"/>
  <c r="AI179" i="43" s="1"/>
  <c r="AI195" i="43"/>
  <c r="AI196" i="43"/>
  <c r="AI197" i="43"/>
  <c r="AJ198" i="43"/>
  <c r="AI203" i="43"/>
  <c r="AI204" i="43"/>
  <c r="AI205" i="43"/>
  <c r="AI206" i="43"/>
  <c r="AI207" i="43"/>
  <c r="AJ208" i="43"/>
  <c r="AI211" i="43"/>
  <c r="AI212" i="43"/>
  <c r="AI213" i="43"/>
  <c r="AI214" i="43"/>
  <c r="AJ215" i="43"/>
  <c r="AI221" i="43"/>
  <c r="AI323" i="43" s="1"/>
  <c r="AI222" i="43"/>
  <c r="AI223" i="43"/>
  <c r="AJ225" i="43"/>
  <c r="AJ239" i="43"/>
  <c r="AJ240" i="43"/>
  <c r="AJ241" i="43"/>
  <c r="AJ262" i="43"/>
  <c r="AJ263" i="43"/>
  <c r="AI265" i="43"/>
  <c r="AI267" i="43"/>
  <c r="AI273" i="43"/>
  <c r="AJ273" i="43"/>
  <c r="AJ276" i="43"/>
  <c r="AJ280" i="43" s="1"/>
  <c r="AM282" i="43" s="1"/>
  <c r="AJ277" i="43"/>
  <c r="AJ281" i="43" s="1"/>
  <c r="AM283" i="43" s="1"/>
  <c r="AI287" i="43"/>
  <c r="AJ288" i="43"/>
  <c r="AM290" i="43" s="1"/>
  <c r="AJ299" i="43"/>
  <c r="AJ301" i="43" s="1"/>
  <c r="AI301" i="43"/>
  <c r="AJ309" i="43"/>
  <c r="AJ323" i="43"/>
  <c r="AJ324" i="43"/>
  <c r="AJ325" i="43"/>
  <c r="Z68" i="82"/>
  <c r="Z66" i="82"/>
  <c r="Y64" i="82"/>
  <c r="Y60" i="82"/>
  <c r="Y55" i="82"/>
  <c r="Y37" i="82"/>
  <c r="Y26" i="82"/>
  <c r="Y31" i="82"/>
  <c r="L43" i="82"/>
  <c r="L26" i="82"/>
  <c r="L24" i="82"/>
  <c r="AJ15" i="79" l="1"/>
  <c r="AM11" i="79"/>
  <c r="AI8" i="80"/>
  <c r="AK304" i="43"/>
  <c r="AM304" i="43" s="1"/>
  <c r="AK305" i="43"/>
  <c r="AM305" i="43" s="1"/>
  <c r="AM306" i="43" s="1"/>
  <c r="AK103" i="43"/>
  <c r="AK104" i="43" s="1"/>
  <c r="AK105" i="43" s="1"/>
  <c r="AK107" i="43"/>
  <c r="AJ295" i="43"/>
  <c r="U9" i="83"/>
  <c r="AI16" i="43"/>
  <c r="AJ166" i="43"/>
  <c r="AJ167" i="43" s="1"/>
  <c r="AJ3" i="79"/>
  <c r="AI9" i="77"/>
  <c r="AJ16" i="80"/>
  <c r="AJ37" i="43"/>
  <c r="AI12" i="78"/>
  <c r="AJ3" i="78"/>
  <c r="AJ58" i="79"/>
  <c r="AI3" i="79"/>
  <c r="AJ3" i="77"/>
  <c r="AI276" i="43"/>
  <c r="AI166" i="43"/>
  <c r="AI167" i="43" s="1"/>
  <c r="AI3" i="78"/>
  <c r="AI58" i="79"/>
  <c r="AI3" i="77"/>
  <c r="AI191" i="43"/>
  <c r="AJ326" i="43"/>
  <c r="AI288" i="43"/>
  <c r="AL290" i="43" s="1"/>
  <c r="AJ217" i="43"/>
  <c r="AI208" i="43"/>
  <c r="AJ33" i="77"/>
  <c r="AJ72" i="43"/>
  <c r="AJ73" i="43" s="1"/>
  <c r="AI21" i="77"/>
  <c r="AI21" i="79"/>
  <c r="AI66" i="79"/>
  <c r="AJ17" i="79"/>
  <c r="AI24" i="78"/>
  <c r="AJ20" i="78"/>
  <c r="AJ28" i="43"/>
  <c r="AJ31" i="43" s="1"/>
  <c r="AJ17" i="78"/>
  <c r="AJ294" i="43"/>
  <c r="AI146" i="43"/>
  <c r="AI148" i="43" s="1"/>
  <c r="AI249" i="43" s="1"/>
  <c r="AI215" i="43"/>
  <c r="AJ200" i="43"/>
  <c r="AK255" i="43" s="1"/>
  <c r="AJ242" i="43"/>
  <c r="AJ148" i="43"/>
  <c r="AM149" i="43" s="1"/>
  <c r="AJ137" i="43"/>
  <c r="AJ139" i="43" s="1"/>
  <c r="AI139" i="43" s="1"/>
  <c r="AI326" i="43"/>
  <c r="AJ296" i="43"/>
  <c r="AI59" i="43"/>
  <c r="AI159" i="43" s="1"/>
  <c r="AI161" i="43" s="1"/>
  <c r="AI198" i="43"/>
  <c r="AH71" i="79"/>
  <c r="AH83" i="79" s="1"/>
  <c r="AH14" i="79"/>
  <c r="AH5" i="79"/>
  <c r="AA76" i="79"/>
  <c r="AH76" i="79"/>
  <c r="AH69" i="79"/>
  <c r="AB64" i="79"/>
  <c r="AC64" i="79" s="1"/>
  <c r="AC66" i="79" s="1"/>
  <c r="AE64" i="79"/>
  <c r="AH65" i="79" s="1"/>
  <c r="AG65" i="79"/>
  <c r="AD65" i="79"/>
  <c r="AR294" i="43"/>
  <c r="AH241" i="43"/>
  <c r="AH240" i="43"/>
  <c r="AH239" i="43"/>
  <c r="AU294" i="43" l="1"/>
  <c r="AX294" i="43" s="1"/>
  <c r="BA294" i="43" s="1"/>
  <c r="AK244" i="43"/>
  <c r="AK120" i="43" s="1"/>
  <c r="AM244" i="43"/>
  <c r="AI17" i="78"/>
  <c r="AL13" i="78"/>
  <c r="AI13" i="43"/>
  <c r="AL80" i="43" s="1"/>
  <c r="AL10" i="77"/>
  <c r="AI200" i="43"/>
  <c r="AJ201" i="43" s="1"/>
  <c r="AI12" i="43"/>
  <c r="AL79" i="43" s="1"/>
  <c r="AI14" i="77"/>
  <c r="AK306" i="43"/>
  <c r="AL308" i="43" s="1"/>
  <c r="U7" i="83"/>
  <c r="AI5" i="79"/>
  <c r="AK6" i="79"/>
  <c r="AI14" i="79"/>
  <c r="AI33" i="43" s="1"/>
  <c r="AH12" i="80"/>
  <c r="AI76" i="79"/>
  <c r="AL77" i="79" s="1"/>
  <c r="AK77" i="79"/>
  <c r="AJ249" i="43"/>
  <c r="AK256" i="43" s="1"/>
  <c r="C94" i="83"/>
  <c r="AJ315" i="43"/>
  <c r="AJ219" i="43"/>
  <c r="AJ248" i="43" s="1"/>
  <c r="AI217" i="43"/>
  <c r="AJ218" i="43" s="1"/>
  <c r="AI155" i="43"/>
  <c r="AJ155" i="43" s="1"/>
  <c r="AK154" i="43" s="1"/>
  <c r="AJ18" i="79"/>
  <c r="AJ172" i="43"/>
  <c r="AJ250" i="43"/>
  <c r="AJ251" i="43"/>
  <c r="AJ117" i="43"/>
  <c r="AJ46" i="43"/>
  <c r="U8" i="83" s="1"/>
  <c r="AO64" i="79"/>
  <c r="AO71" i="79" s="1"/>
  <c r="AC76" i="79"/>
  <c r="AE76" i="79"/>
  <c r="AH77" i="79" s="1"/>
  <c r="AF64" i="79"/>
  <c r="AH68" i="79"/>
  <c r="AE65" i="79"/>
  <c r="AH73" i="43"/>
  <c r="AI73" i="43" s="1"/>
  <c r="AH29" i="79"/>
  <c r="AI29" i="79" s="1"/>
  <c r="AH9" i="78"/>
  <c r="AH6" i="79"/>
  <c r="AH30" i="77"/>
  <c r="AE30" i="77"/>
  <c r="AH33" i="77"/>
  <c r="AH18" i="78"/>
  <c r="AI10" i="79" l="1"/>
  <c r="AL11" i="79" s="1"/>
  <c r="AL6" i="79"/>
  <c r="AL310" i="43"/>
  <c r="AK157" i="43"/>
  <c r="AK158" i="43" s="1"/>
  <c r="AM154" i="43"/>
  <c r="AM157" i="43" s="1"/>
  <c r="AM158" i="43" s="1"/>
  <c r="AI22" i="79"/>
  <c r="AI72" i="43" s="1"/>
  <c r="AI70" i="43" s="1"/>
  <c r="AI277" i="43" s="1"/>
  <c r="AI15" i="79"/>
  <c r="AI11" i="43"/>
  <c r="AI14" i="43" s="1"/>
  <c r="AI233" i="43" s="1"/>
  <c r="AK66" i="79"/>
  <c r="AF76" i="79"/>
  <c r="AI77" i="79" s="1"/>
  <c r="AI65" i="79"/>
  <c r="AJ226" i="43"/>
  <c r="AI219" i="43"/>
  <c r="AJ314" i="43"/>
  <c r="AR64" i="79"/>
  <c r="AU64" i="79" s="1"/>
  <c r="AQ64" i="79"/>
  <c r="AT64" i="79" s="1"/>
  <c r="AT68" i="79" s="1"/>
  <c r="AP64" i="79"/>
  <c r="AN66" i="79" s="1"/>
  <c r="AO68" i="79"/>
  <c r="AO74" i="79" s="1"/>
  <c r="AH80" i="79"/>
  <c r="AH74" i="79"/>
  <c r="AI12" i="80"/>
  <c r="AF66" i="79"/>
  <c r="AF65" i="79"/>
  <c r="AH176" i="43"/>
  <c r="AJ176" i="43" s="1"/>
  <c r="AE176" i="43"/>
  <c r="AH135" i="43"/>
  <c r="AI135" i="43" s="1"/>
  <c r="AH134" i="43"/>
  <c r="AI134" i="43" s="1"/>
  <c r="AH126" i="43"/>
  <c r="AH175" i="43" s="1"/>
  <c r="AH197" i="43"/>
  <c r="AH194" i="43"/>
  <c r="AH179" i="43" s="1"/>
  <c r="AH190" i="43"/>
  <c r="AH11" i="80"/>
  <c r="AI11" i="80" s="1"/>
  <c r="AI30" i="43" s="1"/>
  <c r="AH21" i="77"/>
  <c r="AH9" i="77"/>
  <c r="AK10" i="77" s="1"/>
  <c r="AH6" i="77"/>
  <c r="AH12" i="77"/>
  <c r="AI12" i="77" s="1"/>
  <c r="AI29" i="43" s="1"/>
  <c r="AE24" i="78"/>
  <c r="AH15" i="78"/>
  <c r="AE29" i="79"/>
  <c r="AH13" i="79"/>
  <c r="AI13" i="79" s="1"/>
  <c r="AI27" i="43" s="1"/>
  <c r="AH9" i="79"/>
  <c r="AE9" i="79"/>
  <c r="AE6" i="79"/>
  <c r="AI237" i="43" l="1"/>
  <c r="AI23" i="43"/>
  <c r="AI235" i="43"/>
  <c r="AI231" i="43"/>
  <c r="AI239" i="43" s="1"/>
  <c r="AI232" i="43"/>
  <c r="AI240" i="43" s="1"/>
  <c r="AI241" i="43"/>
  <c r="AI236" i="43"/>
  <c r="AI18" i="43"/>
  <c r="AI20" i="43" s="1"/>
  <c r="AG76" i="79"/>
  <c r="AJ77" i="79" s="1"/>
  <c r="AF77" i="79"/>
  <c r="AI136" i="43"/>
  <c r="AI15" i="80"/>
  <c r="AI16" i="80" s="1"/>
  <c r="AI13" i="80"/>
  <c r="AI36" i="43"/>
  <c r="AI37" i="43" s="1"/>
  <c r="AI65" i="43"/>
  <c r="AI257" i="43" s="1"/>
  <c r="AI15" i="78"/>
  <c r="AI28" i="43" s="1"/>
  <c r="AI31" i="43" s="1"/>
  <c r="AH14" i="77"/>
  <c r="AJ9" i="77"/>
  <c r="AM10" i="77" s="1"/>
  <c r="AP65" i="79"/>
  <c r="AR71" i="79"/>
  <c r="AI248" i="43"/>
  <c r="AR68" i="79"/>
  <c r="AQ68" i="79"/>
  <c r="AQ71" i="79"/>
  <c r="AP71" i="79"/>
  <c r="AP72" i="79" s="1"/>
  <c r="AS64" i="79"/>
  <c r="AW64" i="79"/>
  <c r="AW71" i="79" s="1"/>
  <c r="AP68" i="79"/>
  <c r="AP69" i="79" s="1"/>
  <c r="AO66" i="79"/>
  <c r="AT71" i="79"/>
  <c r="AP74" i="79"/>
  <c r="AU71" i="79"/>
  <c r="AU68" i="79"/>
  <c r="AV68" i="79" s="1"/>
  <c r="AX64" i="79"/>
  <c r="AV64" i="79"/>
  <c r="AT66" i="79" s="1"/>
  <c r="AH17" i="79"/>
  <c r="AI17" i="79" s="1"/>
  <c r="AH22" i="79"/>
  <c r="AH81" i="79"/>
  <c r="AH85" i="79"/>
  <c r="AH124" i="43"/>
  <c r="AI124" i="43" s="1"/>
  <c r="AI242" i="43" l="1"/>
  <c r="AI39" i="43"/>
  <c r="AQ74" i="79"/>
  <c r="AS68" i="79"/>
  <c r="AS69" i="79" s="1"/>
  <c r="AS71" i="79"/>
  <c r="AS72" i="79" s="1"/>
  <c r="AI181" i="43"/>
  <c r="AI315" i="43"/>
  <c r="AI117" i="43"/>
  <c r="AI98" i="43"/>
  <c r="AI46" i="43"/>
  <c r="AI42" i="43"/>
  <c r="AI92" i="43" s="1"/>
  <c r="AI18" i="79"/>
  <c r="AI66" i="43"/>
  <c r="AL67" i="43" s="1"/>
  <c r="AJ17" i="77"/>
  <c r="AJ14" i="77"/>
  <c r="AI25" i="43"/>
  <c r="AI126" i="43"/>
  <c r="AI172" i="43"/>
  <c r="AR74" i="79"/>
  <c r="AZ64" i="79"/>
  <c r="AZ71" i="79" s="1"/>
  <c r="AV65" i="79"/>
  <c r="AY64" i="79"/>
  <c r="AY65" i="79" s="1"/>
  <c r="AS65" i="79"/>
  <c r="AW68" i="79"/>
  <c r="AW74" i="79" s="1"/>
  <c r="AQ66" i="79"/>
  <c r="AR66" i="79"/>
  <c r="AV71" i="79"/>
  <c r="AV72" i="79" s="1"/>
  <c r="AT74" i="79"/>
  <c r="AU66" i="79"/>
  <c r="AV69" i="79"/>
  <c r="AX71" i="79"/>
  <c r="AX68" i="79"/>
  <c r="BA64" i="79"/>
  <c r="AU74" i="79"/>
  <c r="AS74" i="79" l="1"/>
  <c r="AY68" i="79"/>
  <c r="AY69" i="79" s="1"/>
  <c r="AZ68" i="79"/>
  <c r="AZ74" i="79" s="1"/>
  <c r="AI314" i="43"/>
  <c r="AI47" i="43"/>
  <c r="AI95" i="43" s="1"/>
  <c r="AI49" i="43"/>
  <c r="AI178" i="43"/>
  <c r="AI182" i="43"/>
  <c r="AI130" i="43"/>
  <c r="AI137" i="43" s="1"/>
  <c r="AI175" i="43"/>
  <c r="AI140" i="43"/>
  <c r="AW66" i="79"/>
  <c r="AX66" i="79"/>
  <c r="AV74" i="79"/>
  <c r="BA71" i="79"/>
  <c r="BB71" i="79" s="1"/>
  <c r="BA68" i="79"/>
  <c r="AX74" i="79"/>
  <c r="AY71" i="79"/>
  <c r="AY72" i="79" s="1"/>
  <c r="BB64" i="79"/>
  <c r="AZ66" i="79" s="1"/>
  <c r="AI38" i="43" l="1"/>
  <c r="AI152" i="43" s="1"/>
  <c r="AI53" i="43"/>
  <c r="AJ175" i="43"/>
  <c r="AI177" i="43"/>
  <c r="BB72" i="79"/>
  <c r="BA74" i="79"/>
  <c r="BB74" i="79" s="1"/>
  <c r="BB68" i="79"/>
  <c r="BB69" i="79" s="1"/>
  <c r="BA66" i="79"/>
  <c r="BB65" i="79"/>
  <c r="AY74" i="79"/>
  <c r="AI61" i="43" l="1"/>
  <c r="AI101" i="43" s="1"/>
  <c r="AI103" i="43" s="1"/>
  <c r="AI151" i="43"/>
  <c r="D29" i="83" l="1"/>
  <c r="D31" i="83"/>
  <c r="D33" i="83" s="1"/>
  <c r="C31" i="83"/>
  <c r="AT172" i="43" l="1"/>
  <c r="AU172" i="43" s="1"/>
  <c r="AX172" i="43" l="1"/>
  <c r="AR172" i="43"/>
  <c r="BA172" i="43" l="1"/>
  <c r="AG12" i="80"/>
  <c r="AG19" i="80" s="1"/>
  <c r="AF19" i="80" s="1"/>
  <c r="AG13" i="79"/>
  <c r="AG27" i="43" s="1"/>
  <c r="AG11" i="80"/>
  <c r="AG30" i="43" s="1"/>
  <c r="AG12" i="77"/>
  <c r="AG29" i="43" s="1"/>
  <c r="AG15" i="78"/>
  <c r="AG28" i="43" s="1"/>
  <c r="AG197" i="43"/>
  <c r="AF197" i="43" s="1"/>
  <c r="AG194" i="43"/>
  <c r="AG179" i="43" s="1"/>
  <c r="AG190" i="43"/>
  <c r="AF190" i="43" s="1"/>
  <c r="AG135" i="43"/>
  <c r="AG134" i="43"/>
  <c r="AF7" i="80"/>
  <c r="AF8" i="80" s="1"/>
  <c r="AG8" i="80"/>
  <c r="AF5" i="77"/>
  <c r="AI6" i="77" s="1"/>
  <c r="AG6" i="77"/>
  <c r="AF8" i="77"/>
  <c r="AF13" i="77"/>
  <c r="AF35" i="43" s="1"/>
  <c r="AF20" i="77"/>
  <c r="AG21" i="77"/>
  <c r="AG26" i="77"/>
  <c r="AJ30" i="77" s="1"/>
  <c r="AJ89" i="43" s="1"/>
  <c r="AF30" i="77"/>
  <c r="AF89" i="43" s="1"/>
  <c r="AG32" i="77"/>
  <c r="AF33" i="77"/>
  <c r="AF5" i="79"/>
  <c r="AI6" i="79" s="1"/>
  <c r="AG6" i="79"/>
  <c r="AF8" i="79"/>
  <c r="AI9" i="79" s="1"/>
  <c r="AG9" i="79"/>
  <c r="AG10" i="79"/>
  <c r="AF14" i="79"/>
  <c r="AG21" i="79"/>
  <c r="AF21" i="79" s="1"/>
  <c r="AG29" i="79"/>
  <c r="AF52" i="79"/>
  <c r="AG52" i="79"/>
  <c r="AF53" i="79"/>
  <c r="AG53" i="79"/>
  <c r="AF5" i="78"/>
  <c r="AI9" i="78" s="1"/>
  <c r="AI88" i="43" s="1"/>
  <c r="AG9" i="78"/>
  <c r="AG88" i="43" s="1"/>
  <c r="AF11" i="78"/>
  <c r="AG12" i="78"/>
  <c r="AF16" i="78"/>
  <c r="AF34" i="43" s="1"/>
  <c r="AF23" i="78"/>
  <c r="AG24" i="78"/>
  <c r="AI28" i="78"/>
  <c r="AI38" i="78" s="1"/>
  <c r="AF6" i="43"/>
  <c r="AF3" i="77" s="1"/>
  <c r="AG6" i="43"/>
  <c r="AG3" i="80" s="1"/>
  <c r="AG16" i="43"/>
  <c r="AF22" i="43"/>
  <c r="AG33" i="43"/>
  <c r="AG34" i="43"/>
  <c r="AG35" i="43"/>
  <c r="AF56" i="43"/>
  <c r="AF57" i="43"/>
  <c r="AF168" i="43" s="1"/>
  <c r="AF170" i="43" s="1"/>
  <c r="AG65" i="43"/>
  <c r="AG257" i="43" s="1"/>
  <c r="AF74" i="43"/>
  <c r="AF276" i="43" s="1"/>
  <c r="AG87" i="43"/>
  <c r="AF119" i="43"/>
  <c r="AF122" i="43"/>
  <c r="AG124" i="43"/>
  <c r="AF127" i="43"/>
  <c r="AF128" i="43"/>
  <c r="AF176" i="43" s="1"/>
  <c r="AF129" i="43"/>
  <c r="AG130" i="43"/>
  <c r="AF132" i="43"/>
  <c r="AF325" i="43" s="1"/>
  <c r="AF133" i="43"/>
  <c r="AG140" i="43"/>
  <c r="AG145" i="43"/>
  <c r="AF145" i="43" s="1"/>
  <c r="AF165" i="43" s="1"/>
  <c r="AG146" i="43"/>
  <c r="AF164" i="43"/>
  <c r="AG164" i="43"/>
  <c r="AG165" i="43"/>
  <c r="AG168" i="43"/>
  <c r="AG170" i="43" s="1"/>
  <c r="AF187" i="43"/>
  <c r="AF188" i="43"/>
  <c r="AF189" i="43"/>
  <c r="AF195" i="43"/>
  <c r="AF196" i="43"/>
  <c r="AF203" i="43"/>
  <c r="AF204" i="43"/>
  <c r="AF205" i="43"/>
  <c r="AF206" i="43"/>
  <c r="AF207" i="43"/>
  <c r="AG208" i="43"/>
  <c r="AF211" i="43"/>
  <c r="AF212" i="43"/>
  <c r="AF213" i="43"/>
  <c r="AF214" i="43"/>
  <c r="AG215" i="43"/>
  <c r="AF221" i="43"/>
  <c r="AF222" i="43"/>
  <c r="AF223" i="43"/>
  <c r="AF224" i="43"/>
  <c r="AG225" i="43"/>
  <c r="AG239" i="43"/>
  <c r="AG240" i="43"/>
  <c r="AG241" i="43"/>
  <c r="AG262" i="43"/>
  <c r="AG263" i="43"/>
  <c r="AF265" i="43"/>
  <c r="AF267" i="43"/>
  <c r="AF273" i="43"/>
  <c r="AG273" i="43"/>
  <c r="AG276" i="43"/>
  <c r="AG280" i="43" s="1"/>
  <c r="AJ282" i="43" s="1"/>
  <c r="AG277" i="43"/>
  <c r="AG281" i="43" s="1"/>
  <c r="AJ283" i="43" s="1"/>
  <c r="AF286" i="43"/>
  <c r="AF287" i="43"/>
  <c r="AG288" i="43"/>
  <c r="AJ290" i="43" s="1"/>
  <c r="AF301" i="43"/>
  <c r="AG309" i="43"/>
  <c r="AG323" i="43"/>
  <c r="AG324" i="43"/>
  <c r="AG325" i="43"/>
  <c r="AG15" i="79" l="1"/>
  <c r="AJ11" i="79"/>
  <c r="AG17" i="78"/>
  <c r="AJ13" i="78"/>
  <c r="AF194" i="43"/>
  <c r="AF179" i="43" s="1"/>
  <c r="AG136" i="43"/>
  <c r="AG137" i="43" s="1"/>
  <c r="AG139" i="43" s="1"/>
  <c r="AF139" i="43" s="1"/>
  <c r="AG36" i="43"/>
  <c r="AG17" i="79"/>
  <c r="AG191" i="43"/>
  <c r="AG198" i="43"/>
  <c r="AG3" i="78"/>
  <c r="AF288" i="43"/>
  <c r="AI290" i="43" s="1"/>
  <c r="AF3" i="78"/>
  <c r="AG33" i="77"/>
  <c r="AF166" i="43"/>
  <c r="AF167" i="43" s="1"/>
  <c r="AF3" i="80"/>
  <c r="AF3" i="79"/>
  <c r="AG296" i="43"/>
  <c r="AG299" i="43"/>
  <c r="AG301" i="43" s="1"/>
  <c r="AG13" i="80"/>
  <c r="AG326" i="43"/>
  <c r="AG3" i="77"/>
  <c r="AG148" i="43"/>
  <c r="AF10" i="79"/>
  <c r="AG3" i="79"/>
  <c r="AG166" i="43"/>
  <c r="AG167" i="43" s="1"/>
  <c r="AG22" i="79"/>
  <c r="AG72" i="43" s="1"/>
  <c r="AG73" i="43" s="1"/>
  <c r="AG58" i="79"/>
  <c r="AF58" i="79"/>
  <c r="AG15" i="80"/>
  <c r="AG16" i="80" s="1"/>
  <c r="AF9" i="77"/>
  <c r="AF21" i="77"/>
  <c r="AG16" i="77"/>
  <c r="AF33" i="43"/>
  <c r="AF22" i="79"/>
  <c r="AF12" i="78"/>
  <c r="AG19" i="78"/>
  <c r="AF16" i="43"/>
  <c r="AF24" i="78"/>
  <c r="AG31" i="43"/>
  <c r="AG315" i="43" s="1"/>
  <c r="AF225" i="43"/>
  <c r="AG227" i="43" s="1"/>
  <c r="AF215" i="43"/>
  <c r="AF146" i="43"/>
  <c r="AF148" i="43" s="1"/>
  <c r="AG217" i="43"/>
  <c r="AF208" i="43"/>
  <c r="AG242" i="43"/>
  <c r="AJ244" i="43" s="1"/>
  <c r="AF324" i="43"/>
  <c r="AF326" i="43" s="1"/>
  <c r="AF59" i="43"/>
  <c r="AF191" i="43"/>
  <c r="AF323" i="43"/>
  <c r="AF125" i="43"/>
  <c r="AG295" i="43"/>
  <c r="AG294" i="43"/>
  <c r="Y68" i="82"/>
  <c r="K26" i="82"/>
  <c r="X26" i="82"/>
  <c r="X31" i="82"/>
  <c r="X37" i="82"/>
  <c r="X55" i="82"/>
  <c r="X60" i="82"/>
  <c r="X64" i="82"/>
  <c r="K24" i="82"/>
  <c r="K43" i="82"/>
  <c r="X12" i="77"/>
  <c r="X13" i="79"/>
  <c r="X15" i="78"/>
  <c r="AG37" i="43" l="1"/>
  <c r="U38" i="82"/>
  <c r="AF15" i="79"/>
  <c r="AI11" i="79"/>
  <c r="AI87" i="43" s="1"/>
  <c r="AG250" i="43"/>
  <c r="AJ149" i="43"/>
  <c r="AF12" i="43"/>
  <c r="AI79" i="43" s="1"/>
  <c r="AI13" i="78"/>
  <c r="AF13" i="43"/>
  <c r="AI80" i="43" s="1"/>
  <c r="AI10" i="77"/>
  <c r="Y66" i="82"/>
  <c r="AF198" i="43"/>
  <c r="AF200" i="43" s="1"/>
  <c r="AG200" i="43"/>
  <c r="AG219" i="43" s="1"/>
  <c r="AG226" i="43" s="1"/>
  <c r="AF11" i="43"/>
  <c r="AG251" i="43"/>
  <c r="AG249" i="43"/>
  <c r="AF14" i="77"/>
  <c r="AF72" i="43"/>
  <c r="AG18" i="79"/>
  <c r="AF17" i="78"/>
  <c r="AG46" i="43"/>
  <c r="AG20" i="78"/>
  <c r="AG172" i="43"/>
  <c r="AF217" i="43"/>
  <c r="AG218" i="43" s="1"/>
  <c r="AF159" i="43"/>
  <c r="AF161" i="43" s="1"/>
  <c r="AF249" i="43"/>
  <c r="AF251" i="43"/>
  <c r="AF155" i="43"/>
  <c r="AF250" i="43"/>
  <c r="AE135" i="43"/>
  <c r="AF135" i="43" s="1"/>
  <c r="AE12" i="80"/>
  <c r="AE11" i="80"/>
  <c r="AE12" i="77"/>
  <c r="AE13" i="79"/>
  <c r="AE17" i="79" s="1"/>
  <c r="AE15" i="78"/>
  <c r="AE197" i="43"/>
  <c r="AE194" i="43"/>
  <c r="AE190" i="43"/>
  <c r="AE191" i="43" s="1"/>
  <c r="AE134" i="43"/>
  <c r="AF134" i="43" s="1"/>
  <c r="AE126" i="43"/>
  <c r="AE8" i="80"/>
  <c r="AE6" i="77"/>
  <c r="AE9" i="77"/>
  <c r="AH10" i="77" s="1"/>
  <c r="AE21" i="77"/>
  <c r="AE89" i="43"/>
  <c r="AE33" i="77"/>
  <c r="AE10" i="79"/>
  <c r="AE15" i="79" s="1"/>
  <c r="AE22" i="79"/>
  <c r="AF29" i="79"/>
  <c r="AE52" i="79"/>
  <c r="AE53" i="79"/>
  <c r="AE9" i="78"/>
  <c r="AE88" i="43" s="1"/>
  <c r="AE12" i="78"/>
  <c r="AG27" i="78"/>
  <c r="AE6" i="43"/>
  <c r="AE3" i="77" s="1"/>
  <c r="AE34" i="43"/>
  <c r="AE35" i="43"/>
  <c r="AE59" i="43"/>
  <c r="AE145" i="43"/>
  <c r="AE146" i="43"/>
  <c r="AE164" i="43"/>
  <c r="AE165" i="43"/>
  <c r="AE168" i="43"/>
  <c r="AE170" i="43" s="1"/>
  <c r="AG176" i="43"/>
  <c r="AE208" i="43"/>
  <c r="AE215" i="43"/>
  <c r="AE225" i="43"/>
  <c r="AE239" i="43"/>
  <c r="AE240" i="43"/>
  <c r="AE241" i="43"/>
  <c r="AE262" i="43"/>
  <c r="AE265" i="43" s="1"/>
  <c r="AE273" i="43"/>
  <c r="AE276" i="43"/>
  <c r="AE280" i="43" s="1"/>
  <c r="AF280" i="43" s="1"/>
  <c r="AE288" i="43"/>
  <c r="AE301" i="43"/>
  <c r="AE323" i="43"/>
  <c r="AE324" i="43"/>
  <c r="AE325" i="43"/>
  <c r="AG117" i="43" l="1"/>
  <c r="AG314" i="43" s="1"/>
  <c r="U39" i="82"/>
  <c r="AF14" i="43"/>
  <c r="AF231" i="43" s="1"/>
  <c r="AI78" i="43"/>
  <c r="AE13" i="80"/>
  <c r="AG59" i="43"/>
  <c r="AG159" i="43" s="1"/>
  <c r="AG161" i="43" s="1"/>
  <c r="AE159" i="43"/>
  <c r="AE161" i="43" s="1"/>
  <c r="AE175" i="43"/>
  <c r="AE124" i="43"/>
  <c r="AF124" i="43" s="1"/>
  <c r="AF126" i="43" s="1"/>
  <c r="AF175" i="43" s="1"/>
  <c r="AE58" i="79"/>
  <c r="AF219" i="43"/>
  <c r="AF248" i="43" s="1"/>
  <c r="AG201" i="43"/>
  <c r="AF136" i="43"/>
  <c r="AG248" i="43"/>
  <c r="AF262" i="43"/>
  <c r="AF305" i="43"/>
  <c r="AF304" i="43"/>
  <c r="AE19" i="78"/>
  <c r="AE20" i="78" s="1"/>
  <c r="AF15" i="78"/>
  <c r="AF28" i="43" s="1"/>
  <c r="AF17" i="79"/>
  <c r="AF18" i="79" s="1"/>
  <c r="AF13" i="79"/>
  <c r="AE16" i="77"/>
  <c r="AE17" i="77" s="1"/>
  <c r="AF12" i="77"/>
  <c r="AF29" i="43" s="1"/>
  <c r="AE30" i="43"/>
  <c r="AF11" i="80"/>
  <c r="AF30" i="43" s="1"/>
  <c r="AE14" i="77"/>
  <c r="AG9" i="77"/>
  <c r="AJ10" i="77" s="1"/>
  <c r="AE36" i="43"/>
  <c r="AF12" i="80"/>
  <c r="AG155" i="43"/>
  <c r="AE28" i="43"/>
  <c r="AE136" i="43"/>
  <c r="AE140" i="43"/>
  <c r="AE130" i="43"/>
  <c r="AE3" i="78"/>
  <c r="AE3" i="79"/>
  <c r="AE3" i="80"/>
  <c r="AE27" i="43"/>
  <c r="AE29" i="43"/>
  <c r="AE198" i="43"/>
  <c r="AE200" i="43" s="1"/>
  <c r="AE179" i="43"/>
  <c r="AE242" i="43"/>
  <c r="AE15" i="80"/>
  <c r="AE16" i="80" s="1"/>
  <c r="AE13" i="43"/>
  <c r="AE72" i="43"/>
  <c r="AE18" i="79"/>
  <c r="AE17" i="78"/>
  <c r="AE12" i="43"/>
  <c r="AE217" i="43"/>
  <c r="AE148" i="43"/>
  <c r="AE166" i="43"/>
  <c r="AE167" i="43" s="1"/>
  <c r="AE326" i="43"/>
  <c r="AF23" i="43" l="1"/>
  <c r="AF232" i="43"/>
  <c r="AF240" i="43" s="1"/>
  <c r="AF235" i="43"/>
  <c r="AF18" i="43"/>
  <c r="AI83" i="43" s="1"/>
  <c r="AF233" i="43"/>
  <c r="AF241" i="43" s="1"/>
  <c r="AF237" i="43"/>
  <c r="AF236" i="43"/>
  <c r="AI84" i="43"/>
  <c r="AI81" i="43"/>
  <c r="AF27" i="43"/>
  <c r="AF31" i="43" s="1"/>
  <c r="AF315" i="43" s="1"/>
  <c r="AE73" i="43"/>
  <c r="AE70" i="43" s="1"/>
  <c r="AF239" i="43"/>
  <c r="AF42" i="43"/>
  <c r="AF92" i="43" s="1"/>
  <c r="AF226" i="43"/>
  <c r="AE155" i="43"/>
  <c r="AF154" i="43" s="1"/>
  <c r="AF157" i="43" s="1"/>
  <c r="AF158" i="43" s="1"/>
  <c r="AF149" i="43"/>
  <c r="AF130" i="43"/>
  <c r="AF137" i="43" s="1"/>
  <c r="AG13" i="43"/>
  <c r="AF140" i="43"/>
  <c r="AG14" i="77"/>
  <c r="AG17" i="77"/>
  <c r="AE44" i="43"/>
  <c r="AF16" i="77"/>
  <c r="AE43" i="43"/>
  <c r="AF19" i="78"/>
  <c r="AG12" i="43"/>
  <c r="AF306" i="43"/>
  <c r="AF15" i="80"/>
  <c r="AF16" i="80" s="1"/>
  <c r="AF36" i="43"/>
  <c r="AF37" i="43" s="1"/>
  <c r="AF13" i="80"/>
  <c r="AG175" i="43"/>
  <c r="AE137" i="43"/>
  <c r="AE31" i="43"/>
  <c r="AE172" i="43" s="1"/>
  <c r="AE219" i="43"/>
  <c r="AE248" i="43" s="1"/>
  <c r="AE251" i="43"/>
  <c r="AE250" i="43"/>
  <c r="AE249" i="43"/>
  <c r="AF20" i="43" l="1"/>
  <c r="AF242" i="43"/>
  <c r="AF244" i="43" s="1"/>
  <c r="AF120" i="43" s="1"/>
  <c r="AF73" i="43"/>
  <c r="AF70" i="43" s="1"/>
  <c r="AF46" i="43"/>
  <c r="AF49" i="43" s="1"/>
  <c r="AF172" i="43"/>
  <c r="AF181" i="43"/>
  <c r="AF182" i="43" s="1"/>
  <c r="AF44" i="43"/>
  <c r="AF94" i="43" s="1"/>
  <c r="AF17" i="77"/>
  <c r="AF117" i="43"/>
  <c r="AF314" i="43" s="1"/>
  <c r="AF98" i="43"/>
  <c r="AE93" i="43"/>
  <c r="AF39" i="43"/>
  <c r="AE94" i="43"/>
  <c r="AF20" i="78"/>
  <c r="AF43" i="43"/>
  <c r="AG43" i="43" s="1"/>
  <c r="AG93" i="43" s="1"/>
  <c r="AF25" i="43"/>
  <c r="AE315" i="43"/>
  <c r="AE182" i="43"/>
  <c r="AE181" i="43" s="1"/>
  <c r="AE277" i="43"/>
  <c r="AE281" i="43" s="1"/>
  <c r="AE226" i="43"/>
  <c r="G70" i="82"/>
  <c r="F70" i="82"/>
  <c r="E70" i="82"/>
  <c r="D70" i="82"/>
  <c r="C70" i="82"/>
  <c r="G69" i="82"/>
  <c r="F69" i="82"/>
  <c r="E69" i="82"/>
  <c r="D69" i="82"/>
  <c r="C69" i="82"/>
  <c r="G68" i="82"/>
  <c r="F68" i="82"/>
  <c r="E68" i="82"/>
  <c r="D68" i="82"/>
  <c r="C68" i="82"/>
  <c r="G67" i="82"/>
  <c r="F67" i="82"/>
  <c r="E67" i="82"/>
  <c r="D67" i="82"/>
  <c r="C67" i="82"/>
  <c r="X68" i="82"/>
  <c r="X66" i="82"/>
  <c r="W64" i="82"/>
  <c r="V64" i="82"/>
  <c r="U64" i="82"/>
  <c r="T64" i="82"/>
  <c r="S64" i="82"/>
  <c r="R64" i="82"/>
  <c r="Q64" i="82"/>
  <c r="P64" i="82"/>
  <c r="G62" i="82"/>
  <c r="F62" i="82"/>
  <c r="E62" i="82"/>
  <c r="D62" i="82"/>
  <c r="C62" i="82"/>
  <c r="G61" i="82"/>
  <c r="F61" i="82"/>
  <c r="E61" i="82"/>
  <c r="D61" i="82"/>
  <c r="C61" i="82"/>
  <c r="G60" i="82"/>
  <c r="F60" i="82"/>
  <c r="E60" i="82"/>
  <c r="D60" i="82"/>
  <c r="C60" i="82"/>
  <c r="G58" i="82"/>
  <c r="F58" i="82"/>
  <c r="D58" i="82"/>
  <c r="C58" i="82"/>
  <c r="G57" i="82"/>
  <c r="F57" i="82"/>
  <c r="E57" i="82"/>
  <c r="D57" i="82"/>
  <c r="C57" i="82"/>
  <c r="G56" i="82"/>
  <c r="F56" i="82"/>
  <c r="E56" i="82"/>
  <c r="D56" i="82"/>
  <c r="C56" i="82"/>
  <c r="Q62" i="82"/>
  <c r="P62" i="82"/>
  <c r="G55" i="82"/>
  <c r="F55" i="82"/>
  <c r="E55" i="82"/>
  <c r="D55" i="82"/>
  <c r="C55" i="82"/>
  <c r="Q61" i="82"/>
  <c r="P61" i="82"/>
  <c r="W60" i="82"/>
  <c r="V60" i="82"/>
  <c r="U60" i="82"/>
  <c r="T60" i="82"/>
  <c r="S60" i="82"/>
  <c r="R60" i="82"/>
  <c r="Q60" i="82"/>
  <c r="P60" i="82"/>
  <c r="G52" i="82"/>
  <c r="F52" i="82"/>
  <c r="D52" i="82"/>
  <c r="C52" i="82"/>
  <c r="Q58" i="82"/>
  <c r="P58" i="82"/>
  <c r="G51" i="82"/>
  <c r="F51" i="82"/>
  <c r="E51" i="82"/>
  <c r="D51" i="82"/>
  <c r="C51" i="82"/>
  <c r="Q57" i="82"/>
  <c r="P57" i="82"/>
  <c r="G50" i="82"/>
  <c r="F50" i="82"/>
  <c r="E50" i="82"/>
  <c r="D50" i="82"/>
  <c r="C50" i="82"/>
  <c r="F49" i="82"/>
  <c r="E49" i="82"/>
  <c r="D49" i="82"/>
  <c r="C49" i="82"/>
  <c r="Q56" i="82"/>
  <c r="P56" i="82"/>
  <c r="E47" i="82"/>
  <c r="D47" i="82"/>
  <c r="C47" i="82"/>
  <c r="W55" i="82"/>
  <c r="V55" i="82"/>
  <c r="U55" i="82"/>
  <c r="T55" i="82"/>
  <c r="S55" i="82"/>
  <c r="R55" i="82"/>
  <c r="Q55" i="82"/>
  <c r="P55" i="82"/>
  <c r="G46" i="82"/>
  <c r="F46" i="82"/>
  <c r="E46" i="82"/>
  <c r="D46" i="82"/>
  <c r="C46" i="82"/>
  <c r="G45" i="82"/>
  <c r="F45" i="82"/>
  <c r="E45" i="82"/>
  <c r="D45" i="82"/>
  <c r="C45" i="82"/>
  <c r="G44" i="82"/>
  <c r="F44" i="82"/>
  <c r="E44" i="82"/>
  <c r="D44" i="82"/>
  <c r="C44" i="82"/>
  <c r="Q46" i="82"/>
  <c r="P46" i="82"/>
  <c r="J43" i="82"/>
  <c r="I43" i="82"/>
  <c r="H43" i="82"/>
  <c r="G43" i="82"/>
  <c r="F43" i="82"/>
  <c r="E43" i="82"/>
  <c r="D43" i="82"/>
  <c r="C43" i="82"/>
  <c r="Q45" i="82"/>
  <c r="P45" i="82"/>
  <c r="Q44" i="82"/>
  <c r="P44" i="82"/>
  <c r="Q43" i="82"/>
  <c r="P43" i="82"/>
  <c r="G40" i="82"/>
  <c r="F40" i="82"/>
  <c r="E40" i="82"/>
  <c r="D40" i="82"/>
  <c r="C40" i="82"/>
  <c r="W37" i="82"/>
  <c r="V37" i="82"/>
  <c r="U37" i="82"/>
  <c r="T37" i="82"/>
  <c r="S37" i="82"/>
  <c r="R37" i="82"/>
  <c r="Q37" i="82"/>
  <c r="P37" i="82"/>
  <c r="D38" i="82"/>
  <c r="C38" i="82"/>
  <c r="D37" i="82"/>
  <c r="C37" i="82"/>
  <c r="G36" i="82"/>
  <c r="F36" i="82"/>
  <c r="E36" i="82"/>
  <c r="D36" i="82"/>
  <c r="C36" i="82"/>
  <c r="Q35" i="82"/>
  <c r="P35" i="82"/>
  <c r="G35" i="82"/>
  <c r="F35" i="82"/>
  <c r="E35" i="82"/>
  <c r="D35" i="82"/>
  <c r="C35" i="82"/>
  <c r="D34" i="82"/>
  <c r="C34" i="82"/>
  <c r="R33" i="82"/>
  <c r="Q33" i="82"/>
  <c r="P33" i="82"/>
  <c r="R32" i="82"/>
  <c r="Q32" i="82"/>
  <c r="P32" i="82"/>
  <c r="D32" i="82"/>
  <c r="C32" i="82"/>
  <c r="W31" i="82"/>
  <c r="V31" i="82"/>
  <c r="U31" i="82"/>
  <c r="T31" i="82"/>
  <c r="S31" i="82"/>
  <c r="R31" i="82"/>
  <c r="Q31" i="82"/>
  <c r="P31" i="82"/>
  <c r="E31" i="82"/>
  <c r="D31" i="82"/>
  <c r="C31" i="82"/>
  <c r="G30" i="82"/>
  <c r="F30" i="82"/>
  <c r="E30" i="82"/>
  <c r="D30" i="82"/>
  <c r="C30" i="82"/>
  <c r="Q29" i="82"/>
  <c r="P29" i="82"/>
  <c r="D28" i="82"/>
  <c r="C28" i="82"/>
  <c r="G27" i="82"/>
  <c r="F27" i="82"/>
  <c r="E27" i="82"/>
  <c r="D27" i="82"/>
  <c r="C27" i="82"/>
  <c r="W26" i="82"/>
  <c r="V26" i="82"/>
  <c r="U26" i="82"/>
  <c r="T26" i="82"/>
  <c r="S26" i="82"/>
  <c r="R26" i="82"/>
  <c r="Q26" i="82"/>
  <c r="P26" i="82"/>
  <c r="J26" i="82"/>
  <c r="I26" i="82"/>
  <c r="H26" i="82"/>
  <c r="G26" i="82"/>
  <c r="F26" i="82"/>
  <c r="E26" i="82"/>
  <c r="D26" i="82"/>
  <c r="C26" i="82"/>
  <c r="D25" i="82"/>
  <c r="C25" i="82"/>
  <c r="J24" i="82"/>
  <c r="I24" i="82"/>
  <c r="H24" i="82"/>
  <c r="G24" i="82"/>
  <c r="F24" i="82"/>
  <c r="E24" i="82"/>
  <c r="D24" i="82"/>
  <c r="C24" i="82"/>
  <c r="D22" i="82"/>
  <c r="C22" i="82"/>
  <c r="D21" i="82"/>
  <c r="C21" i="82"/>
  <c r="D20" i="82"/>
  <c r="C20" i="82"/>
  <c r="Z19" i="82"/>
  <c r="D18" i="82"/>
  <c r="C18" i="82"/>
  <c r="D17" i="82"/>
  <c r="C17" i="82"/>
  <c r="G16" i="82"/>
  <c r="D16" i="82"/>
  <c r="C16" i="82"/>
  <c r="D15" i="82"/>
  <c r="C15" i="82"/>
  <c r="D14" i="82"/>
  <c r="C14" i="82"/>
  <c r="AB13" i="82"/>
  <c r="D13" i="82"/>
  <c r="C13" i="82"/>
  <c r="AB12" i="82"/>
  <c r="D12" i="82"/>
  <c r="C12" i="82"/>
  <c r="D11" i="82"/>
  <c r="C11" i="82"/>
  <c r="AC10" i="82"/>
  <c r="D10" i="82"/>
  <c r="C10" i="82"/>
  <c r="D9" i="82"/>
  <c r="C9" i="82"/>
  <c r="D8" i="82"/>
  <c r="C8" i="82"/>
  <c r="Z7" i="82"/>
  <c r="D7" i="82"/>
  <c r="C7" i="82"/>
  <c r="AC6" i="82"/>
  <c r="O7" i="82" s="1"/>
  <c r="AF281" i="43" l="1"/>
  <c r="AF296" i="43" s="1"/>
  <c r="AE294" i="43"/>
  <c r="AF65" i="43"/>
  <c r="AF277" i="43"/>
  <c r="AG44" i="43"/>
  <c r="AG94" i="43" s="1"/>
  <c r="AF47" i="43"/>
  <c r="AF95" i="43" s="1"/>
  <c r="AF178" i="43"/>
  <c r="AF177" i="43" s="1"/>
  <c r="AF38" i="43"/>
  <c r="AF152" i="43" s="1"/>
  <c r="AF53" i="43"/>
  <c r="AI54" i="43" s="1"/>
  <c r="AE178" i="43"/>
  <c r="AG181" i="43"/>
  <c r="AF93" i="43"/>
  <c r="AF45" i="43"/>
  <c r="AF121" i="43"/>
  <c r="F63" i="82"/>
  <c r="R66" i="82"/>
  <c r="T68" i="82"/>
  <c r="C63" i="82"/>
  <c r="P34" i="82"/>
  <c r="W68" i="82"/>
  <c r="D19" i="82"/>
  <c r="U66" i="82"/>
  <c r="AE295" i="43"/>
  <c r="AE296" i="43"/>
  <c r="E71" i="82"/>
  <c r="C59" i="82"/>
  <c r="F59" i="82"/>
  <c r="T66" i="82"/>
  <c r="C19" i="82"/>
  <c r="R34" i="82"/>
  <c r="W66" i="82"/>
  <c r="U68" i="82"/>
  <c r="D39" i="82"/>
  <c r="D41" i="82" s="1"/>
  <c r="P47" i="82"/>
  <c r="E48" i="82"/>
  <c r="G59" i="82"/>
  <c r="G71" i="82"/>
  <c r="D59" i="82"/>
  <c r="S68" i="82"/>
  <c r="R68" i="82"/>
  <c r="C71" i="82"/>
  <c r="C33" i="82"/>
  <c r="C48" i="82"/>
  <c r="C53" i="82"/>
  <c r="D63" i="82"/>
  <c r="S66" i="82"/>
  <c r="D71" i="82"/>
  <c r="F71" i="82"/>
  <c r="Q34" i="82"/>
  <c r="D33" i="82"/>
  <c r="D48" i="82"/>
  <c r="D53" i="82"/>
  <c r="E63" i="82"/>
  <c r="G63" i="82"/>
  <c r="C29" i="82"/>
  <c r="Q47" i="82"/>
  <c r="F53" i="82"/>
  <c r="V66" i="82"/>
  <c r="V68" i="82"/>
  <c r="D29" i="82"/>
  <c r="C39" i="82"/>
  <c r="C41" i="82" s="1"/>
  <c r="Z21" i="82"/>
  <c r="AF294" i="43" l="1"/>
  <c r="AF295" i="43"/>
  <c r="AF257" i="43"/>
  <c r="AF66" i="43"/>
  <c r="AI67" i="43" s="1"/>
  <c r="AF268" i="43"/>
  <c r="AG178" i="43"/>
  <c r="AG177" i="43" s="1"/>
  <c r="AG182" i="43"/>
  <c r="AF255" i="43"/>
  <c r="AF256" i="43"/>
  <c r="AF61" i="43"/>
  <c r="AF101" i="43" s="1"/>
  <c r="AF103" i="43" s="1"/>
  <c r="AF151" i="43"/>
  <c r="F64" i="82"/>
  <c r="C64" i="82"/>
  <c r="C54" i="82"/>
  <c r="D54" i="82"/>
  <c r="G64" i="82"/>
  <c r="D64" i="82"/>
  <c r="C65" i="82" l="1"/>
  <c r="D65" i="82"/>
  <c r="C29" i="83" l="1"/>
  <c r="C33" i="83" l="1"/>
  <c r="AD194" i="43"/>
  <c r="G49" i="82" s="1"/>
  <c r="G53" i="82" s="1"/>
  <c r="AD190" i="43"/>
  <c r="G47" i="82" s="1"/>
  <c r="G48" i="82" s="1"/>
  <c r="AD135" i="43"/>
  <c r="G38" i="82" s="1"/>
  <c r="AD134" i="43"/>
  <c r="G37" i="82" s="1"/>
  <c r="AD325" i="43"/>
  <c r="AD324" i="43"/>
  <c r="AD323" i="43"/>
  <c r="AD309" i="43"/>
  <c r="AC301" i="43"/>
  <c r="AC287" i="43"/>
  <c r="AD276" i="43"/>
  <c r="AD280" i="43" s="1"/>
  <c r="AG282" i="43" s="1"/>
  <c r="AD273" i="43"/>
  <c r="AC273" i="43"/>
  <c r="AC267" i="43"/>
  <c r="AC265" i="43"/>
  <c r="AD263" i="43"/>
  <c r="AD262" i="43"/>
  <c r="AD241" i="43"/>
  <c r="AD240" i="43"/>
  <c r="AD239" i="43"/>
  <c r="AD225" i="43"/>
  <c r="AC224" i="43"/>
  <c r="AC223" i="43"/>
  <c r="AC222" i="43"/>
  <c r="AC221" i="43"/>
  <c r="AC323" i="43" s="1"/>
  <c r="AD215" i="43"/>
  <c r="AC214" i="43"/>
  <c r="AC213" i="43"/>
  <c r="AC212" i="43"/>
  <c r="AC211" i="43"/>
  <c r="AD208" i="43"/>
  <c r="AC207" i="43"/>
  <c r="AC206" i="43"/>
  <c r="AC205" i="43"/>
  <c r="AC204" i="43"/>
  <c r="AC203" i="43"/>
  <c r="AC197" i="43"/>
  <c r="AC196" i="43"/>
  <c r="AC195" i="43"/>
  <c r="AC189" i="43"/>
  <c r="AC188" i="43"/>
  <c r="AC187" i="43"/>
  <c r="AD168" i="43"/>
  <c r="AD170" i="43" s="1"/>
  <c r="AD165" i="43"/>
  <c r="AD164" i="43"/>
  <c r="AC164" i="43"/>
  <c r="AD146" i="43"/>
  <c r="AD145" i="43"/>
  <c r="AD140" i="43"/>
  <c r="AC133" i="43"/>
  <c r="AC132" i="43"/>
  <c r="AC325" i="43" s="1"/>
  <c r="AD130" i="43"/>
  <c r="G34" i="82" s="1"/>
  <c r="AC129" i="43"/>
  <c r="AC128" i="43"/>
  <c r="AC176" i="43" s="1"/>
  <c r="AD125" i="43"/>
  <c r="AC122" i="43"/>
  <c r="AC119" i="43"/>
  <c r="AD87" i="43"/>
  <c r="AC74" i="43"/>
  <c r="AC276" i="43" s="1"/>
  <c r="AC57" i="43"/>
  <c r="AC168" i="43" s="1"/>
  <c r="AC170" i="43" s="1"/>
  <c r="AC56" i="43"/>
  <c r="AD36" i="43"/>
  <c r="T38" i="82" s="1"/>
  <c r="AD35" i="43"/>
  <c r="AD34" i="43"/>
  <c r="AD33" i="43"/>
  <c r="AC22" i="43"/>
  <c r="AD16" i="43"/>
  <c r="AD6" i="43"/>
  <c r="AD3" i="80" s="1"/>
  <c r="AC6" i="43"/>
  <c r="AC3" i="78" s="1"/>
  <c r="AD11" i="80"/>
  <c r="AD30" i="43" s="1"/>
  <c r="AC19" i="80"/>
  <c r="AD8" i="80"/>
  <c r="AD13" i="80" s="1"/>
  <c r="AC7" i="80"/>
  <c r="AC8" i="80" s="1"/>
  <c r="AD26" i="77"/>
  <c r="AG30" i="77" s="1"/>
  <c r="AG89" i="43" s="1"/>
  <c r="AD12" i="77"/>
  <c r="AD29" i="43" s="1"/>
  <c r="AC33" i="77"/>
  <c r="AD32" i="77"/>
  <c r="AC30" i="77"/>
  <c r="AC89" i="43" s="1"/>
  <c r="AD21" i="77"/>
  <c r="AC20" i="77"/>
  <c r="AC13" i="77"/>
  <c r="AC35" i="43" s="1"/>
  <c r="AC8" i="77"/>
  <c r="AD6" i="77"/>
  <c r="AC5" i="77"/>
  <c r="AF6" i="77" s="1"/>
  <c r="AD13" i="79"/>
  <c r="AD27" i="43" s="1"/>
  <c r="AD53" i="79"/>
  <c r="AC53" i="79"/>
  <c r="AD52" i="79"/>
  <c r="AC52" i="79"/>
  <c r="AD29" i="79"/>
  <c r="AD21" i="79"/>
  <c r="AD22" i="79" s="1"/>
  <c r="AC14" i="79"/>
  <c r="AC33" i="43" s="1"/>
  <c r="AD10" i="79"/>
  <c r="AD9" i="79"/>
  <c r="AC8" i="79"/>
  <c r="AF9" i="79" s="1"/>
  <c r="AD6" i="79"/>
  <c r="AC5" i="79"/>
  <c r="AF6" i="79" s="1"/>
  <c r="AD15" i="78"/>
  <c r="AD19" i="78" s="1"/>
  <c r="AF28" i="78"/>
  <c r="AF38" i="78" s="1"/>
  <c r="AD24" i="78"/>
  <c r="AC23" i="78"/>
  <c r="AC16" i="78"/>
  <c r="AC34" i="43" s="1"/>
  <c r="AD12" i="78"/>
  <c r="AC11" i="78"/>
  <c r="AD9" i="78"/>
  <c r="AD88" i="43" s="1"/>
  <c r="AC5" i="78"/>
  <c r="AF9" i="78" s="1"/>
  <c r="AF88" i="43" s="1"/>
  <c r="AD198" i="43" l="1"/>
  <c r="AD17" i="78"/>
  <c r="AG13" i="78"/>
  <c r="AD15" i="79"/>
  <c r="AG11" i="79"/>
  <c r="AD326" i="43"/>
  <c r="AE304" i="43"/>
  <c r="AG304" i="43" s="1"/>
  <c r="AE305" i="43"/>
  <c r="AG305" i="43" s="1"/>
  <c r="AD72" i="43"/>
  <c r="AD73" i="43" s="1"/>
  <c r="AD179" i="43"/>
  <c r="AE177" i="43" s="1"/>
  <c r="AC16" i="43"/>
  <c r="AD16" i="77"/>
  <c r="AD17" i="79"/>
  <c r="AD18" i="79" s="1"/>
  <c r="AC194" i="43"/>
  <c r="AC179" i="43" s="1"/>
  <c r="AC21" i="79"/>
  <c r="AC22" i="79" s="1"/>
  <c r="AD277" i="43"/>
  <c r="AD281" i="43" s="1"/>
  <c r="AD28" i="43"/>
  <c r="AD31" i="43" s="1"/>
  <c r="AD136" i="43"/>
  <c r="AD137" i="43" s="1"/>
  <c r="AD139" i="43" s="1"/>
  <c r="AC139" i="43" s="1"/>
  <c r="AC58" i="79"/>
  <c r="AD166" i="43"/>
  <c r="AD167" i="43" s="1"/>
  <c r="AC146" i="43"/>
  <c r="G20" i="82"/>
  <c r="G54" i="82"/>
  <c r="G65" i="82" s="1"/>
  <c r="AD58" i="79"/>
  <c r="AD15" i="80"/>
  <c r="AD16" i="80" s="1"/>
  <c r="AC125" i="43"/>
  <c r="G32" i="82"/>
  <c r="G39" i="82"/>
  <c r="G41" i="82" s="1"/>
  <c r="AD3" i="77"/>
  <c r="AD124" i="43"/>
  <c r="G31" i="82" s="1"/>
  <c r="T34" i="82" s="1"/>
  <c r="AD3" i="78"/>
  <c r="AD3" i="79"/>
  <c r="AC59" i="43"/>
  <c r="AD217" i="43"/>
  <c r="AD148" i="43"/>
  <c r="AG149" i="43" s="1"/>
  <c r="AD242" i="43"/>
  <c r="AC324" i="43"/>
  <c r="AC326" i="43" s="1"/>
  <c r="AD65" i="43"/>
  <c r="AD257" i="43" s="1"/>
  <c r="T62" i="82" s="1"/>
  <c r="AC208" i="43"/>
  <c r="AC3" i="79"/>
  <c r="AD37" i="43"/>
  <c r="T39" i="82" s="1"/>
  <c r="AC3" i="77"/>
  <c r="AC190" i="43"/>
  <c r="AC191" i="43" s="1"/>
  <c r="AD191" i="43"/>
  <c r="AC3" i="80"/>
  <c r="AC145" i="43"/>
  <c r="AC215" i="43"/>
  <c r="AC225" i="43"/>
  <c r="AD227" i="43" s="1"/>
  <c r="AD288" i="43"/>
  <c r="AG290" i="43" s="1"/>
  <c r="AC286" i="43"/>
  <c r="AD33" i="77"/>
  <c r="AC9" i="77"/>
  <c r="AF10" i="77" s="1"/>
  <c r="AC21" i="77"/>
  <c r="AC10" i="79"/>
  <c r="AC12" i="78"/>
  <c r="AF13" i="78" s="1"/>
  <c r="AC24" i="78"/>
  <c r="AD20" i="78"/>
  <c r="AD200" i="43" l="1"/>
  <c r="AD219" i="43" s="1"/>
  <c r="AD248" i="43" s="1"/>
  <c r="AG306" i="43"/>
  <c r="AD295" i="43"/>
  <c r="AG283" i="43"/>
  <c r="AC11" i="43"/>
  <c r="AF78" i="43" s="1"/>
  <c r="AF11" i="79"/>
  <c r="AF87" i="43" s="1"/>
  <c r="AE244" i="43"/>
  <c r="AE120" i="43" s="1"/>
  <c r="AG120" i="43" s="1"/>
  <c r="AG121" i="43" s="1"/>
  <c r="AG244" i="43"/>
  <c r="AE306" i="43"/>
  <c r="AF308" i="43" s="1"/>
  <c r="AD294" i="43"/>
  <c r="AD249" i="43"/>
  <c r="AE154" i="43"/>
  <c r="AC198" i="43"/>
  <c r="AC200" i="43" s="1"/>
  <c r="AC72" i="43"/>
  <c r="G33" i="82"/>
  <c r="G10" i="82"/>
  <c r="AD315" i="43"/>
  <c r="AC12" i="43"/>
  <c r="AF79" i="43" s="1"/>
  <c r="G18" i="82"/>
  <c r="G19" i="82" s="1"/>
  <c r="AC14" i="77"/>
  <c r="AC13" i="43"/>
  <c r="AF80" i="43" s="1"/>
  <c r="AD251" i="43"/>
  <c r="T56" i="82"/>
  <c r="G21" i="82"/>
  <c r="G17" i="82"/>
  <c r="T29" i="82"/>
  <c r="AD250" i="43"/>
  <c r="AD172" i="43"/>
  <c r="AC217" i="43"/>
  <c r="AD218" i="43" s="1"/>
  <c r="AC159" i="43"/>
  <c r="AC161" i="43" s="1"/>
  <c r="AC165" i="43"/>
  <c r="AC166" i="43" s="1"/>
  <c r="AC167" i="43" s="1"/>
  <c r="AC148" i="43"/>
  <c r="AD46" i="43"/>
  <c r="AD117" i="43"/>
  <c r="G25" i="82" s="1"/>
  <c r="AD296" i="43"/>
  <c r="AC288" i="43"/>
  <c r="AD299" i="43"/>
  <c r="AD301" i="43" s="1"/>
  <c r="AC15" i="79"/>
  <c r="AC17" i="78"/>
  <c r="AF290" i="43" l="1"/>
  <c r="AE157" i="43"/>
  <c r="AE158" i="43" s="1"/>
  <c r="AG154" i="43"/>
  <c r="AG157" i="43" s="1"/>
  <c r="AG158" i="43" s="1"/>
  <c r="AF310" i="43"/>
  <c r="AD226" i="43"/>
  <c r="AC14" i="43"/>
  <c r="G22" i="82"/>
  <c r="G11" i="82"/>
  <c r="AD314" i="43"/>
  <c r="AD201" i="43"/>
  <c r="AC219" i="43"/>
  <c r="AC251" i="43"/>
  <c r="AC249" i="43"/>
  <c r="AC155" i="43"/>
  <c r="AC250" i="43"/>
  <c r="AC235" i="43" l="1"/>
  <c r="AF81" i="43"/>
  <c r="AF84" i="43"/>
  <c r="AC231" i="43"/>
  <c r="AC239" i="43" s="1"/>
  <c r="AC23" i="43"/>
  <c r="AC237" i="43"/>
  <c r="AC232" i="43"/>
  <c r="AC240" i="43" s="1"/>
  <c r="AC233" i="43"/>
  <c r="AC241" i="43" s="1"/>
  <c r="AC18" i="43"/>
  <c r="AF83" i="43" s="1"/>
  <c r="AC236" i="43"/>
  <c r="AC248" i="43"/>
  <c r="AC226" i="43"/>
  <c r="AD155" i="43"/>
  <c r="C47" i="83"/>
  <c r="AB12" i="80"/>
  <c r="AC12" i="80" s="1"/>
  <c r="AC20" i="43" l="1"/>
  <c r="AC242" i="43"/>
  <c r="AC36" i="43"/>
  <c r="AC37" i="43" s="1"/>
  <c r="AC13" i="80"/>
  <c r="AC117" i="43" l="1"/>
  <c r="AC98" i="43"/>
  <c r="AC39" i="43"/>
  <c r="AC25" i="43"/>
  <c r="AO9" i="79"/>
  <c r="AQ9" i="79"/>
  <c r="AR9" i="79"/>
  <c r="AT9" i="79"/>
  <c r="AU9" i="79"/>
  <c r="AW9" i="79"/>
  <c r="AX9" i="79"/>
  <c r="AZ9" i="79"/>
  <c r="BA9" i="79"/>
  <c r="I32" i="82" l="1"/>
  <c r="AB127" i="43"/>
  <c r="AC127" i="43" s="1"/>
  <c r="AB126" i="43"/>
  <c r="AB124" i="43" s="1"/>
  <c r="AC124" i="43" s="1"/>
  <c r="AB59" i="43"/>
  <c r="AB36" i="43"/>
  <c r="AB35" i="43"/>
  <c r="AB34" i="43"/>
  <c r="AB33" i="43"/>
  <c r="AB16" i="43"/>
  <c r="AB325" i="43"/>
  <c r="AB324" i="43"/>
  <c r="AB323" i="43"/>
  <c r="AB301" i="43"/>
  <c r="AB288" i="43"/>
  <c r="AE290" i="43" s="1"/>
  <c r="AB276" i="43"/>
  <c r="AB280" i="43" s="1"/>
  <c r="AE282" i="43" s="1"/>
  <c r="AB273" i="43"/>
  <c r="AB262" i="43"/>
  <c r="AB265" i="43" s="1"/>
  <c r="AB241" i="43"/>
  <c r="AB240" i="43"/>
  <c r="AB239" i="43"/>
  <c r="AB225" i="43"/>
  <c r="AB194" i="43"/>
  <c r="AB190" i="43"/>
  <c r="AB176" i="43"/>
  <c r="AD176" i="43" s="1"/>
  <c r="AB168" i="43"/>
  <c r="AB170" i="43" s="1"/>
  <c r="AB165" i="43"/>
  <c r="AB164" i="43"/>
  <c r="AB145" i="43"/>
  <c r="AB135" i="43"/>
  <c r="AC135" i="43" s="1"/>
  <c r="AB134" i="43"/>
  <c r="AB24" i="78"/>
  <c r="AB12" i="78"/>
  <c r="AB9" i="78"/>
  <c r="AB88" i="43" s="1"/>
  <c r="AB15" i="78"/>
  <c r="AB53" i="79"/>
  <c r="AB52" i="79"/>
  <c r="AB22" i="79"/>
  <c r="AB10" i="79"/>
  <c r="AB9" i="79"/>
  <c r="AB6" i="79"/>
  <c r="AB25" i="79"/>
  <c r="AB13" i="79"/>
  <c r="AC13" i="79" s="1"/>
  <c r="AB33" i="77"/>
  <c r="AB30" i="77"/>
  <c r="AB89" i="43" s="1"/>
  <c r="AB21" i="77"/>
  <c r="AB9" i="77"/>
  <c r="AE10" i="77" s="1"/>
  <c r="AB6" i="77"/>
  <c r="AB12" i="77"/>
  <c r="AB8" i="80"/>
  <c r="AB13" i="80" s="1"/>
  <c r="AB11" i="80"/>
  <c r="AC11" i="80" s="1"/>
  <c r="AB29" i="79" l="1"/>
  <c r="AC29" i="79" s="1"/>
  <c r="AB76" i="79"/>
  <c r="AD27" i="78"/>
  <c r="AG28" i="78" s="1"/>
  <c r="AG38" i="78" s="1"/>
  <c r="AE28" i="78"/>
  <c r="AE38" i="78" s="1"/>
  <c r="AB11" i="43"/>
  <c r="AE11" i="79"/>
  <c r="AB17" i="78"/>
  <c r="AE13" i="78"/>
  <c r="AB30" i="43"/>
  <c r="AD59" i="43"/>
  <c r="AC27" i="43"/>
  <c r="AC30" i="43"/>
  <c r="AC15" i="80"/>
  <c r="AC16" i="80" s="1"/>
  <c r="AC280" i="43"/>
  <c r="AB14" i="77"/>
  <c r="AD9" i="77"/>
  <c r="AG10" i="77" s="1"/>
  <c r="AB16" i="77"/>
  <c r="AC16" i="77" s="1"/>
  <c r="AC12" i="77"/>
  <c r="AB136" i="43"/>
  <c r="AC134" i="43"/>
  <c r="AC136" i="43" s="1"/>
  <c r="AB15" i="80"/>
  <c r="AB16" i="80" s="1"/>
  <c r="AB19" i="78"/>
  <c r="AC19" i="78" s="1"/>
  <c r="AC15" i="78"/>
  <c r="AC28" i="43" s="1"/>
  <c r="AB58" i="79"/>
  <c r="AC126" i="43"/>
  <c r="AC262" i="43"/>
  <c r="AC305" i="43"/>
  <c r="AC304" i="43"/>
  <c r="AB72" i="43"/>
  <c r="AB15" i="79"/>
  <c r="AB27" i="43"/>
  <c r="AB17" i="79"/>
  <c r="AC17" i="79" s="1"/>
  <c r="AB28" i="43"/>
  <c r="AB159" i="43"/>
  <c r="AB161" i="43" s="1"/>
  <c r="AB140" i="43"/>
  <c r="AB175" i="43"/>
  <c r="AU125" i="43"/>
  <c r="AX125" i="43" s="1"/>
  <c r="BA125" i="43" s="1"/>
  <c r="AP125" i="43"/>
  <c r="K32" i="82" s="1"/>
  <c r="AB242" i="43"/>
  <c r="AC244" i="43" s="1"/>
  <c r="AC120" i="43" s="1"/>
  <c r="AC121" i="43" s="1"/>
  <c r="J32" i="82"/>
  <c r="AB326" i="43"/>
  <c r="AB12" i="43"/>
  <c r="AE79" i="43" s="1"/>
  <c r="AB37" i="43"/>
  <c r="AB13" i="43"/>
  <c r="AE80" i="43" s="1"/>
  <c r="AB29" i="43"/>
  <c r="AT125" i="43"/>
  <c r="AB166" i="43"/>
  <c r="AB167" i="43" s="1"/>
  <c r="AD76" i="79" l="1"/>
  <c r="AE77" i="79"/>
  <c r="AF282" i="43"/>
  <c r="AD11" i="43"/>
  <c r="AB31" i="43"/>
  <c r="AB172" i="43" s="1"/>
  <c r="AB17" i="77"/>
  <c r="AB44" i="43"/>
  <c r="AC306" i="43"/>
  <c r="AE308" i="43" s="1"/>
  <c r="AC29" i="43"/>
  <c r="AC31" i="43" s="1"/>
  <c r="AC43" i="43"/>
  <c r="AC20" i="78"/>
  <c r="AD12" i="43"/>
  <c r="AG79" i="43" s="1"/>
  <c r="AC44" i="43"/>
  <c r="AC17" i="77"/>
  <c r="AD159" i="43"/>
  <c r="AD161" i="43" s="1"/>
  <c r="G12" i="82"/>
  <c r="AB73" i="43"/>
  <c r="AD13" i="43"/>
  <c r="AG80" i="43" s="1"/>
  <c r="AB20" i="78"/>
  <c r="AB43" i="43"/>
  <c r="AB93" i="43" s="1"/>
  <c r="AC42" i="43"/>
  <c r="AC18" i="79"/>
  <c r="AD14" i="77"/>
  <c r="AD17" i="77"/>
  <c r="AC175" i="43"/>
  <c r="AD175" i="43" s="1"/>
  <c r="AC130" i="43"/>
  <c r="AC137" i="43" s="1"/>
  <c r="AC140" i="43"/>
  <c r="AB18" i="79"/>
  <c r="AB42" i="43"/>
  <c r="AS125" i="43"/>
  <c r="L32" i="82" s="1"/>
  <c r="AB117" i="43"/>
  <c r="AB14" i="43"/>
  <c r="AV125" i="43"/>
  <c r="M32" i="82" s="1"/>
  <c r="AW125" i="43"/>
  <c r="AD77" i="79" l="1"/>
  <c r="AG77" i="79"/>
  <c r="AC73" i="43"/>
  <c r="AB70" i="43"/>
  <c r="AE310" i="43"/>
  <c r="AG308" i="43"/>
  <c r="AG310" i="43" s="1"/>
  <c r="AB94" i="43"/>
  <c r="AB315" i="43"/>
  <c r="AB314" i="43" s="1"/>
  <c r="AB182" i="43"/>
  <c r="AB181" i="43" s="1"/>
  <c r="AB178" i="43" s="1"/>
  <c r="AB46" i="43"/>
  <c r="AB49" i="43" s="1"/>
  <c r="AB53" i="43" s="1"/>
  <c r="AC181" i="43"/>
  <c r="AC315" i="43"/>
  <c r="AC314" i="43" s="1"/>
  <c r="AC46" i="43"/>
  <c r="AC172" i="43"/>
  <c r="AC94" i="43"/>
  <c r="AD44" i="43"/>
  <c r="AD14" i="43"/>
  <c r="AD42" i="43"/>
  <c r="AC92" i="43"/>
  <c r="AD43" i="43"/>
  <c r="AC93" i="43"/>
  <c r="AB92" i="43"/>
  <c r="AB237" i="43"/>
  <c r="AB23" i="43"/>
  <c r="AB231" i="43"/>
  <c r="AB232" i="43"/>
  <c r="AB233" i="43"/>
  <c r="AB18" i="43"/>
  <c r="AB235" i="43"/>
  <c r="AB236" i="43"/>
  <c r="AB98" i="43"/>
  <c r="AY125" i="43"/>
  <c r="AZ125" i="43"/>
  <c r="BB125" i="43" s="1"/>
  <c r="AC70" i="43" l="1"/>
  <c r="AC65" i="43" s="1"/>
  <c r="AB62" i="43"/>
  <c r="AD181" i="43"/>
  <c r="AD182" i="43" s="1"/>
  <c r="AB47" i="43"/>
  <c r="AB95" i="43" s="1"/>
  <c r="AB45" i="43"/>
  <c r="AD98" i="43"/>
  <c r="G7" i="82"/>
  <c r="AD23" i="43"/>
  <c r="AD231" i="43"/>
  <c r="AD233" i="43"/>
  <c r="AD47" i="43"/>
  <c r="AD95" i="43" s="1"/>
  <c r="AD236" i="43"/>
  <c r="AD237" i="43"/>
  <c r="AD18" i="43"/>
  <c r="AD232" i="43"/>
  <c r="AD235" i="43"/>
  <c r="AD94" i="43"/>
  <c r="T45" i="82"/>
  <c r="AC45" i="43"/>
  <c r="AC49" i="43"/>
  <c r="AD49" i="43" s="1"/>
  <c r="T50" i="82" s="1"/>
  <c r="AC47" i="43"/>
  <c r="AC95" i="43" s="1"/>
  <c r="T44" i="82"/>
  <c r="AD93" i="43"/>
  <c r="AB39" i="43"/>
  <c r="T43" i="82"/>
  <c r="AD45" i="43"/>
  <c r="AD92" i="43"/>
  <c r="AC178" i="43"/>
  <c r="AC182" i="43"/>
  <c r="AB38" i="43"/>
  <c r="AB61" i="43"/>
  <c r="AB20" i="43"/>
  <c r="AB151" i="43"/>
  <c r="AC277" i="43" l="1"/>
  <c r="AD178" i="43"/>
  <c r="AD177" i="43" s="1"/>
  <c r="G8" i="82"/>
  <c r="AD39" i="43"/>
  <c r="T46" i="82"/>
  <c r="T47" i="82" s="1"/>
  <c r="AC53" i="43"/>
  <c r="AF54" i="43" s="1"/>
  <c r="AC38" i="43"/>
  <c r="AC66" i="43"/>
  <c r="AF67" i="43" s="1"/>
  <c r="AC257" i="43"/>
  <c r="AB101" i="43"/>
  <c r="AB25" i="43"/>
  <c r="AD20" i="43"/>
  <c r="AD25" i="43" s="1"/>
  <c r="AC152" i="43" l="1"/>
  <c r="AD38" i="43"/>
  <c r="T40" i="82" s="1"/>
  <c r="AC151" i="43"/>
  <c r="AC61" i="43"/>
  <c r="AD53" i="43"/>
  <c r="AB103" i="43"/>
  <c r="AA87" i="43"/>
  <c r="AD151" i="43" l="1"/>
  <c r="T57" i="82" s="1"/>
  <c r="AD62" i="43"/>
  <c r="AC101" i="43"/>
  <c r="AD61" i="43"/>
  <c r="AD152" i="43"/>
  <c r="T58" i="82" s="1"/>
  <c r="G9" i="82"/>
  <c r="AA29" i="79"/>
  <c r="Y29" i="79"/>
  <c r="X29" i="79"/>
  <c r="V29" i="79"/>
  <c r="BA9" i="78"/>
  <c r="BA88" i="43" s="1"/>
  <c r="AZ9" i="78"/>
  <c r="AZ88" i="43" s="1"/>
  <c r="AX9" i="78"/>
  <c r="AX88" i="43" s="1"/>
  <c r="AW9" i="78"/>
  <c r="AW88" i="43" s="1"/>
  <c r="AU9" i="78"/>
  <c r="AU88" i="43" s="1"/>
  <c r="AT9" i="78"/>
  <c r="AT88" i="43" s="1"/>
  <c r="AR9" i="78"/>
  <c r="AR88" i="43" s="1"/>
  <c r="AQ9" i="78"/>
  <c r="AQ88" i="43" s="1"/>
  <c r="AO9" i="78"/>
  <c r="AO88" i="43" s="1"/>
  <c r="AH88" i="43"/>
  <c r="AA286" i="43"/>
  <c r="Y286" i="43"/>
  <c r="W286" i="43"/>
  <c r="V286" i="43"/>
  <c r="X207" i="43"/>
  <c r="Y197" i="43"/>
  <c r="X197" i="43"/>
  <c r="E52" i="82" s="1"/>
  <c r="E53" i="82" s="1"/>
  <c r="E54" i="82" s="1"/>
  <c r="Y190" i="43"/>
  <c r="AA190" i="43"/>
  <c r="F47" i="82" s="1"/>
  <c r="F48" i="82" s="1"/>
  <c r="F54" i="82" s="1"/>
  <c r="F65" i="82" s="1"/>
  <c r="Y135" i="43"/>
  <c r="AA135" i="43"/>
  <c r="F38" i="82" s="1"/>
  <c r="X135" i="43"/>
  <c r="E38" i="82" s="1"/>
  <c r="X134" i="43"/>
  <c r="E37" i="82" s="1"/>
  <c r="Y134" i="43"/>
  <c r="AA134" i="43"/>
  <c r="F37" i="82" s="1"/>
  <c r="X125" i="43"/>
  <c r="E32" i="82" s="1"/>
  <c r="Y124" i="43"/>
  <c r="X120" i="43"/>
  <c r="E28" i="82" s="1"/>
  <c r="W164" i="43"/>
  <c r="W176" i="43"/>
  <c r="W187" i="43"/>
  <c r="W188" i="43"/>
  <c r="W189" i="43"/>
  <c r="W190" i="43"/>
  <c r="W194" i="43"/>
  <c r="W195" i="43"/>
  <c r="W196" i="43"/>
  <c r="W203" i="43"/>
  <c r="W204" i="43"/>
  <c r="W205" i="43"/>
  <c r="W206" i="43"/>
  <c r="W211" i="43"/>
  <c r="W212" i="43"/>
  <c r="W213" i="43"/>
  <c r="W214" i="43"/>
  <c r="W221" i="43"/>
  <c r="W222" i="43"/>
  <c r="W223" i="43"/>
  <c r="W224" i="43"/>
  <c r="V265" i="43"/>
  <c r="W262" i="43" s="1"/>
  <c r="AA73" i="43"/>
  <c r="Y73" i="43"/>
  <c r="X73" i="43"/>
  <c r="W73" i="43" s="1"/>
  <c r="AU76" i="79" l="1"/>
  <c r="AU83" i="79"/>
  <c r="AU80" i="79"/>
  <c r="AU85" i="79"/>
  <c r="AT76" i="79"/>
  <c r="AT83" i="79"/>
  <c r="AT80" i="79"/>
  <c r="AT85" i="79"/>
  <c r="AZ76" i="79"/>
  <c r="AZ80" i="79"/>
  <c r="AZ83" i="79"/>
  <c r="AZ85" i="79"/>
  <c r="AO76" i="79"/>
  <c r="AO85" i="79"/>
  <c r="AO80" i="79"/>
  <c r="AO83" i="79"/>
  <c r="BA76" i="79"/>
  <c r="BA80" i="79"/>
  <c r="BA83" i="79"/>
  <c r="BA85" i="79"/>
  <c r="AQ76" i="79"/>
  <c r="AQ83" i="79"/>
  <c r="AQ80" i="79"/>
  <c r="AQ85" i="79"/>
  <c r="AW76" i="79"/>
  <c r="AW83" i="79"/>
  <c r="AW80" i="79"/>
  <c r="AW85" i="79"/>
  <c r="AX76" i="79"/>
  <c r="AX83" i="79"/>
  <c r="AX80" i="79"/>
  <c r="AX85" i="79"/>
  <c r="AR76" i="79"/>
  <c r="AR80" i="79"/>
  <c r="AR83" i="79"/>
  <c r="AR85" i="79"/>
  <c r="E39" i="82"/>
  <c r="F39" i="82"/>
  <c r="W29" i="79"/>
  <c r="Z73" i="43"/>
  <c r="G13" i="82"/>
  <c r="AC103" i="43"/>
  <c r="AD101" i="43"/>
  <c r="AD103" i="43" s="1"/>
  <c r="W207" i="43"/>
  <c r="W208" i="43" s="1"/>
  <c r="E58" i="82"/>
  <c r="E59" i="82" s="1"/>
  <c r="E64" i="82" s="1"/>
  <c r="E65" i="82" s="1"/>
  <c r="G14" i="82"/>
  <c r="AD106" i="43"/>
  <c r="W197" i="43"/>
  <c r="W198" i="43" s="1"/>
  <c r="Z29" i="79"/>
  <c r="W191" i="43"/>
  <c r="W225" i="43"/>
  <c r="W146" i="43"/>
  <c r="W215" i="43"/>
  <c r="W179" i="43"/>
  <c r="AV83" i="79" l="1"/>
  <c r="AP85" i="79"/>
  <c r="AX77" i="79"/>
  <c r="AV85" i="79"/>
  <c r="AR81" i="79"/>
  <c r="AP83" i="79"/>
  <c r="BA81" i="79"/>
  <c r="AY85" i="79"/>
  <c r="BB85" i="79"/>
  <c r="BB83" i="79"/>
  <c r="AY83" i="79"/>
  <c r="AR77" i="79"/>
  <c r="BA77" i="79"/>
  <c r="AX81" i="79"/>
  <c r="AO81" i="79"/>
  <c r="AU81" i="79"/>
  <c r="AP76" i="79"/>
  <c r="AV76" i="79"/>
  <c r="AS85" i="79"/>
  <c r="AS80" i="79"/>
  <c r="AV80" i="79"/>
  <c r="BB80" i="79"/>
  <c r="AS83" i="79"/>
  <c r="AY80" i="79"/>
  <c r="BB76" i="79"/>
  <c r="AP80" i="79"/>
  <c r="AS76" i="79"/>
  <c r="AY76" i="79"/>
  <c r="AO77" i="79"/>
  <c r="AU77" i="79"/>
  <c r="W217" i="43"/>
  <c r="AD104" i="43"/>
  <c r="AD107" i="43"/>
  <c r="W200" i="43"/>
  <c r="W154" i="43"/>
  <c r="W175" i="43"/>
  <c r="BB77" i="79" l="1"/>
  <c r="AP81" i="79"/>
  <c r="AV81" i="79"/>
  <c r="AY81" i="79"/>
  <c r="AS77" i="79"/>
  <c r="AS81" i="79"/>
  <c r="AY77" i="79"/>
  <c r="AV77" i="79"/>
  <c r="AP77" i="79"/>
  <c r="BB81" i="79"/>
  <c r="W219" i="43"/>
  <c r="W226" i="43" s="1"/>
  <c r="W74" i="43"/>
  <c r="Z74" i="43"/>
  <c r="AA36" i="43" l="1"/>
  <c r="S38" i="82" s="1"/>
  <c r="Y36" i="43"/>
  <c r="X36" i="43"/>
  <c r="R38" i="82" s="1"/>
  <c r="V36" i="43"/>
  <c r="Z19" i="80"/>
  <c r="W19" i="80"/>
  <c r="V11" i="80"/>
  <c r="Y11" i="80"/>
  <c r="X11" i="80"/>
  <c r="X15" i="80" s="1"/>
  <c r="AA11" i="80"/>
  <c r="AA15" i="80" s="1"/>
  <c r="V21" i="77" l="1"/>
  <c r="Y21" i="77"/>
  <c r="V12" i="77"/>
  <c r="V16" i="77" s="1"/>
  <c r="Y12" i="77"/>
  <c r="Z13" i="77"/>
  <c r="Z8" i="77"/>
  <c r="Z5" i="77"/>
  <c r="AC6" i="77" s="1"/>
  <c r="X16" i="77"/>
  <c r="AA12" i="77"/>
  <c r="AA16" i="77" s="1"/>
  <c r="Z9" i="77" l="1"/>
  <c r="AC10" i="77" s="1"/>
  <c r="Z12" i="77"/>
  <c r="Y16" i="77"/>
  <c r="Z16" i="77" s="1"/>
  <c r="W16" i="77"/>
  <c r="Y6" i="77"/>
  <c r="AA6" i="77"/>
  <c r="Y9" i="77"/>
  <c r="AB10" i="77" s="1"/>
  <c r="V15" i="78"/>
  <c r="Y15" i="78"/>
  <c r="Z14" i="77" l="1"/>
  <c r="Z17" i="77"/>
  <c r="AA9" i="77"/>
  <c r="AD10" i="77" s="1"/>
  <c r="AA15" i="78" l="1"/>
  <c r="AA21" i="79"/>
  <c r="X21" i="79"/>
  <c r="V21" i="79"/>
  <c r="V13" i="79"/>
  <c r="Y13" i="79"/>
  <c r="AA13" i="79"/>
  <c r="AA125" i="43" l="1"/>
  <c r="AA325" i="43"/>
  <c r="AA323" i="43"/>
  <c r="AA309" i="43"/>
  <c r="Z301" i="43"/>
  <c r="AA288" i="43"/>
  <c r="Z287" i="43"/>
  <c r="Z286" i="43"/>
  <c r="AA273" i="43"/>
  <c r="Z273" i="43"/>
  <c r="Z267" i="43"/>
  <c r="Z265" i="43"/>
  <c r="AA263" i="43"/>
  <c r="AA241" i="43"/>
  <c r="AA240" i="43"/>
  <c r="AA239" i="43"/>
  <c r="Z224" i="43"/>
  <c r="Z223" i="43"/>
  <c r="Z222" i="43"/>
  <c r="Z221" i="43"/>
  <c r="Z323" i="43" s="1"/>
  <c r="Z214" i="43"/>
  <c r="Z213" i="43"/>
  <c r="Z212" i="43"/>
  <c r="Z211" i="43"/>
  <c r="Z207" i="43"/>
  <c r="Z206" i="43"/>
  <c r="Z205" i="43"/>
  <c r="Z204" i="43"/>
  <c r="Z203" i="43"/>
  <c r="Z197" i="43"/>
  <c r="Z196" i="43"/>
  <c r="Z195" i="43"/>
  <c r="Z189" i="43"/>
  <c r="Z188" i="43"/>
  <c r="Z187" i="43"/>
  <c r="Z194" i="43"/>
  <c r="Z190" i="43"/>
  <c r="AA168" i="43"/>
  <c r="AA170" i="43" s="1"/>
  <c r="AA165" i="43"/>
  <c r="AA164" i="43"/>
  <c r="Z164" i="43"/>
  <c r="AA145" i="43"/>
  <c r="Z145" i="43" s="1"/>
  <c r="Z165" i="43" s="1"/>
  <c r="AA140" i="43"/>
  <c r="Z133" i="43"/>
  <c r="Z132" i="43"/>
  <c r="Z129" i="43"/>
  <c r="Z128" i="43"/>
  <c r="Z176" i="43" s="1"/>
  <c r="Z127" i="43"/>
  <c r="Z122" i="43"/>
  <c r="Z119" i="43"/>
  <c r="Z57" i="43"/>
  <c r="Z168" i="43" s="1"/>
  <c r="Z170" i="43" s="1"/>
  <c r="Z56" i="43"/>
  <c r="AA35" i="43"/>
  <c r="AA34" i="43"/>
  <c r="AA33" i="43"/>
  <c r="AA30" i="43"/>
  <c r="AA29" i="43"/>
  <c r="AA28" i="43"/>
  <c r="AA27" i="43"/>
  <c r="Z22" i="43"/>
  <c r="AA16" i="43"/>
  <c r="AA53" i="79"/>
  <c r="AA52" i="79"/>
  <c r="AA22" i="79"/>
  <c r="AA17" i="79"/>
  <c r="AA10" i="79"/>
  <c r="AA9" i="79"/>
  <c r="AA6" i="79"/>
  <c r="Z53" i="79"/>
  <c r="Z52" i="79"/>
  <c r="Z14" i="79"/>
  <c r="Z33" i="43" s="1"/>
  <c r="Z13" i="79"/>
  <c r="Z8" i="79"/>
  <c r="AC9" i="79" s="1"/>
  <c r="Z5" i="79"/>
  <c r="AC6" i="79" s="1"/>
  <c r="AC28" i="78"/>
  <c r="AC38" i="78" s="1"/>
  <c r="AA24" i="78"/>
  <c r="AA19" i="78"/>
  <c r="AA12" i="78"/>
  <c r="AA9" i="78"/>
  <c r="AA88" i="43" s="1"/>
  <c r="Z16" i="78"/>
  <c r="Z34" i="43" s="1"/>
  <c r="Z15" i="78"/>
  <c r="Z11" i="78"/>
  <c r="Z5" i="78"/>
  <c r="AC9" i="78" s="1"/>
  <c r="AC88" i="43" s="1"/>
  <c r="Z33" i="77"/>
  <c r="AA21" i="77"/>
  <c r="Z35" i="43"/>
  <c r="AA8" i="80"/>
  <c r="AA16" i="80" s="1"/>
  <c r="Z11" i="80"/>
  <c r="Z7" i="80"/>
  <c r="Z8" i="80" s="1"/>
  <c r="AD290" i="43" l="1"/>
  <c r="F21" i="82"/>
  <c r="AA17" i="78"/>
  <c r="AD13" i="78"/>
  <c r="AA15" i="79"/>
  <c r="AD11" i="79"/>
  <c r="AA124" i="43"/>
  <c r="F31" i="82" s="1"/>
  <c r="S34" i="82" s="1"/>
  <c r="F32" i="82"/>
  <c r="Z166" i="43"/>
  <c r="Z167" i="43" s="1"/>
  <c r="AB304" i="43"/>
  <c r="AD304" i="43" s="1"/>
  <c r="AB305" i="43"/>
  <c r="AD305" i="43" s="1"/>
  <c r="Z215" i="43"/>
  <c r="AA37" i="43"/>
  <c r="S39" i="82" s="1"/>
  <c r="AA72" i="43"/>
  <c r="Z58" i="79"/>
  <c r="AA58" i="79"/>
  <c r="Z30" i="43"/>
  <c r="Z28" i="43"/>
  <c r="AA20" i="78"/>
  <c r="Z16" i="43"/>
  <c r="Z27" i="43"/>
  <c r="AA18" i="79"/>
  <c r="Z191" i="43"/>
  <c r="Z44" i="43"/>
  <c r="Z29" i="43"/>
  <c r="Z198" i="43"/>
  <c r="Z225" i="43"/>
  <c r="Z59" i="43"/>
  <c r="Z159" i="43" s="1"/>
  <c r="Z161" i="43" s="1"/>
  <c r="AA242" i="43"/>
  <c r="Z208" i="43"/>
  <c r="AA31" i="43"/>
  <c r="F10" i="82" s="1"/>
  <c r="AA299" i="43"/>
  <c r="AA301" i="43" s="1"/>
  <c r="F22" i="82" s="1"/>
  <c r="Z325" i="43"/>
  <c r="Z288" i="43"/>
  <c r="AC290" i="43" s="1"/>
  <c r="AA166" i="43"/>
  <c r="AA167" i="43" s="1"/>
  <c r="Z10" i="79"/>
  <c r="AC11" i="79" s="1"/>
  <c r="AC87" i="43" s="1"/>
  <c r="Z12" i="78"/>
  <c r="AC13" i="78" s="1"/>
  <c r="AA13" i="80"/>
  <c r="Z124" i="43" l="1"/>
  <c r="AA70" i="43"/>
  <c r="F18" i="82"/>
  <c r="AD306" i="43"/>
  <c r="AB244" i="43"/>
  <c r="AD244" i="43"/>
  <c r="Z217" i="43"/>
  <c r="AA117" i="43"/>
  <c r="F25" i="82" s="1"/>
  <c r="AB306" i="43"/>
  <c r="AC308" i="43" s="1"/>
  <c r="Z200" i="43"/>
  <c r="Z31" i="43"/>
  <c r="Z315" i="43" s="1"/>
  <c r="Z12" i="43"/>
  <c r="AC79" i="43" s="1"/>
  <c r="Z11" i="43"/>
  <c r="AC78" i="43" s="1"/>
  <c r="Z13" i="43"/>
  <c r="AC80" i="43" s="1"/>
  <c r="AA46" i="43"/>
  <c r="F11" i="82" s="1"/>
  <c r="AA315" i="43"/>
  <c r="AA172" i="43"/>
  <c r="Z276" i="43"/>
  <c r="Z324" i="43"/>
  <c r="Z326" i="43" s="1"/>
  <c r="Z15" i="79"/>
  <c r="Z17" i="78"/>
  <c r="AA314" i="43" l="1"/>
  <c r="AA65" i="43"/>
  <c r="AA257" i="43" s="1"/>
  <c r="S62" i="82" s="1"/>
  <c r="F16" i="82"/>
  <c r="F19" i="82" s="1"/>
  <c r="AC310" i="43"/>
  <c r="AX17" i="78"/>
  <c r="BA17" i="78" s="1"/>
  <c r="Z219" i="43"/>
  <c r="Z226" i="43" s="1"/>
  <c r="Z172" i="43"/>
  <c r="Z181" i="43"/>
  <c r="Z178" i="43" s="1"/>
  <c r="Z94" i="43"/>
  <c r="Z14" i="43"/>
  <c r="AC81" i="43" l="1"/>
  <c r="AC84" i="43"/>
  <c r="Z182" i="43"/>
  <c r="Z23" i="43"/>
  <c r="Z233" i="43"/>
  <c r="Z237" i="43"/>
  <c r="Z231" i="43"/>
  <c r="Z236" i="43"/>
  <c r="Z18" i="43"/>
  <c r="AC83" i="43" s="1"/>
  <c r="Z232" i="43"/>
  <c r="Z235" i="43"/>
  <c r="BA30" i="77"/>
  <c r="AZ30" i="77"/>
  <c r="BB28" i="77"/>
  <c r="BB27" i="77"/>
  <c r="AX30" i="77"/>
  <c r="AW30" i="77"/>
  <c r="AY28" i="77"/>
  <c r="AY27" i="77"/>
  <c r="AU30" i="77"/>
  <c r="AT30" i="77"/>
  <c r="AV28" i="77"/>
  <c r="AV27" i="77"/>
  <c r="AR30" i="77"/>
  <c r="AQ30" i="77"/>
  <c r="AS28" i="77"/>
  <c r="AS27" i="77"/>
  <c r="AO30" i="77"/>
  <c r="AP28" i="77"/>
  <c r="AP27" i="77"/>
  <c r="BB8" i="78"/>
  <c r="BB7" i="78"/>
  <c r="AY8" i="78"/>
  <c r="AY7" i="78"/>
  <c r="AV7" i="78"/>
  <c r="AS7" i="78"/>
  <c r="AS6" i="78"/>
  <c r="AP7" i="78"/>
  <c r="AP6" i="78"/>
  <c r="BB53" i="79"/>
  <c r="BA53" i="79"/>
  <c r="AZ53" i="79"/>
  <c r="BB52" i="79"/>
  <c r="BA52" i="79"/>
  <c r="AZ52" i="79"/>
  <c r="BB32" i="79"/>
  <c r="BB31" i="79"/>
  <c r="AY53" i="79"/>
  <c r="AX53" i="79"/>
  <c r="AW53" i="79"/>
  <c r="AY52" i="79"/>
  <c r="AX52" i="79"/>
  <c r="AW52" i="79"/>
  <c r="AY32" i="79"/>
  <c r="AY31" i="79"/>
  <c r="AV53" i="79"/>
  <c r="AU53" i="79"/>
  <c r="AT53" i="79"/>
  <c r="AV52" i="79"/>
  <c r="AU52" i="79"/>
  <c r="AT52" i="79"/>
  <c r="AV32" i="79"/>
  <c r="AV31" i="79"/>
  <c r="AS53" i="79"/>
  <c r="AR53" i="79"/>
  <c r="AQ53" i="79"/>
  <c r="AS52" i="79"/>
  <c r="AR52" i="79"/>
  <c r="AQ52" i="79"/>
  <c r="AS32" i="79"/>
  <c r="AS31" i="79"/>
  <c r="AP53" i="79"/>
  <c r="AO53" i="79"/>
  <c r="AP52" i="79"/>
  <c r="AO52" i="79"/>
  <c r="AP32" i="79"/>
  <c r="AP31" i="79"/>
  <c r="AT28" i="78" l="1"/>
  <c r="AT38" i="78" s="1"/>
  <c r="AV27" i="78"/>
  <c r="AR28" i="78"/>
  <c r="AR38" i="78" s="1"/>
  <c r="BB27" i="78"/>
  <c r="BA28" i="78"/>
  <c r="BA38" i="78" s="1"/>
  <c r="AW28" i="78"/>
  <c r="AW38" i="78" s="1"/>
  <c r="AX28" i="78"/>
  <c r="AX38" i="78" s="1"/>
  <c r="AZ28" i="78"/>
  <c r="AZ38" i="78" s="1"/>
  <c r="AS27" i="78"/>
  <c r="AU28" i="78"/>
  <c r="AU38" i="78" s="1"/>
  <c r="AY27" i="78"/>
  <c r="AP27" i="78"/>
  <c r="AQ28" i="78"/>
  <c r="AQ38" i="78" s="1"/>
  <c r="AP58" i="79"/>
  <c r="AT58" i="79"/>
  <c r="AT30" i="79" s="1"/>
  <c r="AT33" i="79" s="1"/>
  <c r="AT87" i="43" s="1"/>
  <c r="BB58" i="79"/>
  <c r="AX58" i="79"/>
  <c r="AX30" i="79" s="1"/>
  <c r="AX33" i="79" s="1"/>
  <c r="AX87" i="43" s="1"/>
  <c r="AU58" i="79"/>
  <c r="AU30" i="79" s="1"/>
  <c r="AU33" i="79" s="1"/>
  <c r="AU87" i="43" s="1"/>
  <c r="AY58" i="79"/>
  <c r="AR58" i="79"/>
  <c r="AV58" i="79"/>
  <c r="AZ58" i="79"/>
  <c r="AZ30" i="79" s="1"/>
  <c r="AZ33" i="79" s="1"/>
  <c r="AZ87" i="43" s="1"/>
  <c r="AQ58" i="79"/>
  <c r="AO58" i="79"/>
  <c r="AS58" i="79"/>
  <c r="AW58" i="79"/>
  <c r="AW30" i="79" s="1"/>
  <c r="AW33" i="79" s="1"/>
  <c r="AW87" i="43" s="1"/>
  <c r="BA58" i="79"/>
  <c r="BA30" i="79" s="1"/>
  <c r="BA33" i="79" s="1"/>
  <c r="BA87" i="43" s="1"/>
  <c r="AR30" i="79" l="1"/>
  <c r="AR33" i="79" s="1"/>
  <c r="AR87" i="43" s="1"/>
  <c r="AO30" i="79"/>
  <c r="AO33" i="79" s="1"/>
  <c r="AO87" i="43" s="1"/>
  <c r="AQ30" i="79"/>
  <c r="AQ33" i="79" s="1"/>
  <c r="AQ87" i="43" s="1"/>
  <c r="AY28" i="78"/>
  <c r="AY38" i="78" s="1"/>
  <c r="AV28" i="78"/>
  <c r="AV38" i="78" s="1"/>
  <c r="BB28" i="78"/>
  <c r="BB38" i="78" s="1"/>
  <c r="AS28" i="78"/>
  <c r="AS38" i="78" s="1"/>
  <c r="AY30" i="79"/>
  <c r="BB30" i="79"/>
  <c r="AV30" i="79"/>
  <c r="AS30" i="79" l="1"/>
  <c r="AP30" i="79"/>
  <c r="BB309" i="43" l="1"/>
  <c r="AY309" i="43"/>
  <c r="AV309" i="43"/>
  <c r="AS309" i="43"/>
  <c r="AP309" i="43"/>
  <c r="BA301" i="43"/>
  <c r="AZ301" i="43"/>
  <c r="AX301" i="43"/>
  <c r="AW301" i="43"/>
  <c r="AU301" i="43"/>
  <c r="AT301" i="43"/>
  <c r="AR301" i="43"/>
  <c r="AQ301" i="43"/>
  <c r="AO301" i="43"/>
  <c r="BB273" i="43"/>
  <c r="BA273" i="43"/>
  <c r="AZ273" i="43"/>
  <c r="AY273" i="43"/>
  <c r="AX273" i="43"/>
  <c r="AW273" i="43"/>
  <c r="AV273" i="43"/>
  <c r="AU273" i="43"/>
  <c r="AT273" i="43"/>
  <c r="AS273" i="43"/>
  <c r="AR273" i="43"/>
  <c r="AQ273" i="43"/>
  <c r="AP273" i="43"/>
  <c r="AO273" i="43"/>
  <c r="BB177" i="43"/>
  <c r="AY177" i="43"/>
  <c r="AV177" i="43"/>
  <c r="AS177" i="43"/>
  <c r="BB176" i="43"/>
  <c r="AY176" i="43"/>
  <c r="AV176" i="43"/>
  <c r="AS176" i="43"/>
  <c r="AP176" i="43"/>
  <c r="BB138" i="43"/>
  <c r="AY138" i="43"/>
  <c r="AV138" i="43"/>
  <c r="M40" i="82" s="1"/>
  <c r="AS138" i="43"/>
  <c r="L40" i="82" s="1"/>
  <c r="AP138" i="43"/>
  <c r="K40" i="82" s="1"/>
  <c r="BB129" i="43"/>
  <c r="AY129" i="43"/>
  <c r="AV129" i="43"/>
  <c r="AS129" i="43"/>
  <c r="AP129" i="43"/>
  <c r="BB128" i="43"/>
  <c r="AY128" i="43"/>
  <c r="AV128" i="43"/>
  <c r="AS128" i="43"/>
  <c r="AP128" i="43"/>
  <c r="BB127" i="43"/>
  <c r="AY127" i="43"/>
  <c r="AV127" i="43"/>
  <c r="AS127" i="43"/>
  <c r="AP127" i="43"/>
  <c r="BA89" i="43"/>
  <c r="AZ89" i="43"/>
  <c r="AX89" i="43"/>
  <c r="AW89" i="43"/>
  <c r="AU89" i="43"/>
  <c r="AT89" i="43"/>
  <c r="AR89" i="43"/>
  <c r="AQ89" i="43"/>
  <c r="AO89" i="43"/>
  <c r="BB73" i="43"/>
  <c r="AY73" i="43"/>
  <c r="AV73" i="43"/>
  <c r="AS73" i="43"/>
  <c r="AP73" i="43"/>
  <c r="BB72" i="43"/>
  <c r="AY72" i="43"/>
  <c r="AV72" i="43"/>
  <c r="AS72" i="43"/>
  <c r="AP72" i="43"/>
  <c r="BA57" i="43"/>
  <c r="AZ57" i="43"/>
  <c r="AX57" i="43"/>
  <c r="AW57" i="43"/>
  <c r="AU57" i="43"/>
  <c r="AT57" i="43"/>
  <c r="AR57" i="43"/>
  <c r="AQ57" i="43"/>
  <c r="AO57" i="43"/>
  <c r="BA56" i="43"/>
  <c r="AZ56" i="43"/>
  <c r="AX56" i="43"/>
  <c r="AW56" i="43"/>
  <c r="AU56" i="43"/>
  <c r="AT56" i="43"/>
  <c r="AR56" i="43"/>
  <c r="AQ56" i="43"/>
  <c r="AO56" i="43"/>
  <c r="BB6" i="43"/>
  <c r="BA6" i="43"/>
  <c r="AZ6" i="43"/>
  <c r="AY6" i="43"/>
  <c r="AX6" i="43"/>
  <c r="AW6" i="43"/>
  <c r="AV6" i="43"/>
  <c r="AU6" i="43"/>
  <c r="AT6" i="43"/>
  <c r="AS6" i="43"/>
  <c r="AR6" i="43"/>
  <c r="AQ6" i="43"/>
  <c r="AP6" i="43"/>
  <c r="AO6" i="43"/>
  <c r="M18" i="82" l="1"/>
  <c r="L18" i="82"/>
  <c r="K18" i="82"/>
  <c r="AO3" i="80"/>
  <c r="AO3" i="77"/>
  <c r="AO3" i="78"/>
  <c r="AO3" i="79"/>
  <c r="AW3" i="80"/>
  <c r="AW3" i="77"/>
  <c r="AW3" i="78"/>
  <c r="AW3" i="79"/>
  <c r="AP3" i="80"/>
  <c r="AP3" i="77"/>
  <c r="AP3" i="79"/>
  <c r="AP3" i="78"/>
  <c r="BB3" i="77"/>
  <c r="BB3" i="79"/>
  <c r="BB3" i="80"/>
  <c r="BB3" i="78"/>
  <c r="AR3" i="77"/>
  <c r="AR3" i="78"/>
  <c r="AR3" i="79"/>
  <c r="AR3" i="80"/>
  <c r="AV3" i="80"/>
  <c r="AV3" i="77"/>
  <c r="AV3" i="78"/>
  <c r="AV3" i="79"/>
  <c r="AZ3" i="80"/>
  <c r="AZ3" i="78"/>
  <c r="AZ3" i="79"/>
  <c r="AZ3" i="77"/>
  <c r="AS3" i="78"/>
  <c r="AS3" i="77"/>
  <c r="AS3" i="80"/>
  <c r="AS3" i="79"/>
  <c r="BA3" i="80"/>
  <c r="BA3" i="77"/>
  <c r="BA3" i="79"/>
  <c r="BA3" i="78"/>
  <c r="AT3" i="78"/>
  <c r="AT3" i="79"/>
  <c r="AT3" i="80"/>
  <c r="AT3" i="77"/>
  <c r="AX3" i="79"/>
  <c r="AX3" i="80"/>
  <c r="AX3" i="77"/>
  <c r="AX3" i="78"/>
  <c r="AQ3" i="80"/>
  <c r="AQ3" i="79"/>
  <c r="AQ3" i="77"/>
  <c r="AQ3" i="78"/>
  <c r="AU3" i="79"/>
  <c r="AU3" i="78"/>
  <c r="AU3" i="80"/>
  <c r="AU3" i="77"/>
  <c r="AY3" i="79"/>
  <c r="AY3" i="80"/>
  <c r="AY3" i="77"/>
  <c r="AY3" i="78"/>
  <c r="AV57" i="43"/>
  <c r="AT59" i="43"/>
  <c r="AT135" i="43" s="1"/>
  <c r="BB56" i="43"/>
  <c r="AU59" i="43"/>
  <c r="AU135" i="43" s="1"/>
  <c r="AP57" i="43"/>
  <c r="AW59" i="43"/>
  <c r="AW135" i="43" s="1"/>
  <c r="AY57" i="43"/>
  <c r="AX59" i="43"/>
  <c r="AX135" i="43" s="1"/>
  <c r="BB57" i="43"/>
  <c r="AY56" i="43"/>
  <c r="BA59" i="43"/>
  <c r="BA135" i="43" s="1"/>
  <c r="AP56" i="43"/>
  <c r="AO59" i="43"/>
  <c r="AO135" i="43" s="1"/>
  <c r="AZ59" i="43"/>
  <c r="AS57" i="43"/>
  <c r="AQ59" i="43"/>
  <c r="AS56" i="43"/>
  <c r="AR59" i="43"/>
  <c r="AR135" i="43" s="1"/>
  <c r="AV56" i="43"/>
  <c r="AV135" i="43" l="1"/>
  <c r="M38" i="82" s="1"/>
  <c r="AV59" i="43"/>
  <c r="AY135" i="43"/>
  <c r="AP59" i="43"/>
  <c r="AY59" i="43"/>
  <c r="AP135" i="43"/>
  <c r="K38" i="82" s="1"/>
  <c r="AZ135" i="43"/>
  <c r="BB135" i="43" s="1"/>
  <c r="BB59" i="43"/>
  <c r="AQ135" i="43"/>
  <c r="AS135" i="43" s="1"/>
  <c r="L38" i="82" s="1"/>
  <c r="AS59" i="43"/>
  <c r="M12" i="82" l="1"/>
  <c r="K12" i="82"/>
  <c r="L12" i="82"/>
  <c r="Y175" i="43" l="1"/>
  <c r="Y17" i="79"/>
  <c r="Y30" i="43"/>
  <c r="Y29" i="43"/>
  <c r="Y28" i="43"/>
  <c r="Y325" i="43"/>
  <c r="Y323" i="43"/>
  <c r="Y301" i="43"/>
  <c r="Y273" i="43"/>
  <c r="Y241" i="43"/>
  <c r="Y240" i="43"/>
  <c r="Y239" i="43"/>
  <c r="Y176" i="43"/>
  <c r="AA176" i="43" s="1"/>
  <c r="Y168" i="43"/>
  <c r="Y170" i="43" s="1"/>
  <c r="Y165" i="43"/>
  <c r="Y164" i="43"/>
  <c r="Y146" i="43"/>
  <c r="Y145" i="43"/>
  <c r="Y324" i="43"/>
  <c r="Y59" i="43"/>
  <c r="Y35" i="43"/>
  <c r="Y34" i="43"/>
  <c r="Y33" i="43"/>
  <c r="Y16" i="43"/>
  <c r="Y37" i="43" l="1"/>
  <c r="Y159" i="43"/>
  <c r="Y161" i="43" s="1"/>
  <c r="AA59" i="43"/>
  <c r="Y326" i="43"/>
  <c r="Y27" i="43"/>
  <c r="Y31" i="43" s="1"/>
  <c r="Y148" i="43"/>
  <c r="Y249" i="43" s="1"/>
  <c r="Y276" i="43"/>
  <c r="Y280" i="43" s="1"/>
  <c r="AB282" i="43" s="1"/>
  <c r="Y166" i="43"/>
  <c r="Y167" i="43" s="1"/>
  <c r="Y242" i="43"/>
  <c r="Y179" i="43"/>
  <c r="Y140" i="43"/>
  <c r="Z135" i="43"/>
  <c r="Z134" i="43"/>
  <c r="Y125" i="43"/>
  <c r="Z125" i="43" s="1"/>
  <c r="Z126" i="43" s="1"/>
  <c r="Y10" i="79"/>
  <c r="Y9" i="79"/>
  <c r="Y6" i="79"/>
  <c r="Y21" i="79"/>
  <c r="Y19" i="78"/>
  <c r="Y12" i="78"/>
  <c r="AB13" i="78" s="1"/>
  <c r="Y9" i="78"/>
  <c r="Y88" i="43" s="1"/>
  <c r="Y23" i="78"/>
  <c r="Y33" i="77"/>
  <c r="Y30" i="77"/>
  <c r="Y89" i="43" s="1"/>
  <c r="Z20" i="77"/>
  <c r="Z21" i="77" s="1"/>
  <c r="Y8" i="80"/>
  <c r="AA159" i="43" l="1"/>
  <c r="AA161" i="43" s="1"/>
  <c r="F12" i="82"/>
  <c r="Y18" i="79"/>
  <c r="AB11" i="79"/>
  <c r="AB87" i="43" s="1"/>
  <c r="Y117" i="43"/>
  <c r="Y46" i="43"/>
  <c r="Z23" i="78"/>
  <c r="Z24" i="78" s="1"/>
  <c r="Y24" i="78"/>
  <c r="Z21" i="79"/>
  <c r="Z22" i="79" s="1"/>
  <c r="Y22" i="79"/>
  <c r="Z136" i="43"/>
  <c r="AA277" i="43"/>
  <c r="AA281" i="43" s="1"/>
  <c r="Z175" i="43"/>
  <c r="AA175" i="43" s="1"/>
  <c r="Z140" i="43"/>
  <c r="Z130" i="43"/>
  <c r="Y155" i="43"/>
  <c r="Z154" i="43" s="1"/>
  <c r="AA14" i="77"/>
  <c r="AA17" i="77"/>
  <c r="Y172" i="43"/>
  <c r="Y315" i="43"/>
  <c r="Y182" i="43"/>
  <c r="Y181" i="43" s="1"/>
  <c r="Y13" i="43"/>
  <c r="Y11" i="43"/>
  <c r="Y15" i="79"/>
  <c r="Y14" i="77"/>
  <c r="Y12" i="43"/>
  <c r="Y17" i="78"/>
  <c r="AW17" i="78" s="1"/>
  <c r="AZ17" i="78" s="1"/>
  <c r="Y17" i="77"/>
  <c r="Y44" i="43"/>
  <c r="Y20" i="78"/>
  <c r="Y43" i="43"/>
  <c r="Y42" i="43"/>
  <c r="F17" i="82" l="1"/>
  <c r="S29" i="82"/>
  <c r="Y314" i="43"/>
  <c r="AD283" i="43"/>
  <c r="T33" i="82" s="1"/>
  <c r="AB78" i="43"/>
  <c r="Y49" i="43"/>
  <c r="Y53" i="43" s="1"/>
  <c r="AB54" i="43" s="1"/>
  <c r="AA44" i="43"/>
  <c r="AB79" i="43"/>
  <c r="AB80" i="43"/>
  <c r="Z72" i="43"/>
  <c r="Z70" i="43" s="1"/>
  <c r="Z65" i="43" s="1"/>
  <c r="Y72" i="43"/>
  <c r="Y70" i="43" s="1"/>
  <c r="Y65" i="43" s="1"/>
  <c r="Y257" i="43" s="1"/>
  <c r="Z137" i="43"/>
  <c r="AA11" i="43"/>
  <c r="AA12" i="43"/>
  <c r="AA13" i="43"/>
  <c r="Y178" i="43"/>
  <c r="AA181" i="43"/>
  <c r="AA295" i="43"/>
  <c r="AA294" i="43"/>
  <c r="AA296" i="43"/>
  <c r="Y93" i="43"/>
  <c r="Y14" i="43"/>
  <c r="Y94" i="43"/>
  <c r="Y45" i="43"/>
  <c r="Y92" i="43"/>
  <c r="AD78" i="43" l="1"/>
  <c r="S45" i="82"/>
  <c r="AD79" i="43"/>
  <c r="AA94" i="43"/>
  <c r="AD80" i="43"/>
  <c r="Y38" i="43"/>
  <c r="Y152" i="43" s="1"/>
  <c r="AB81" i="43"/>
  <c r="AB84" i="43"/>
  <c r="Z277" i="43"/>
  <c r="Y66" i="43"/>
  <c r="Y277" i="43"/>
  <c r="Y281" i="43" s="1"/>
  <c r="Z257" i="43"/>
  <c r="Z66" i="43"/>
  <c r="AC67" i="43" s="1"/>
  <c r="Y232" i="43"/>
  <c r="Y231" i="43"/>
  <c r="Y233" i="43"/>
  <c r="AA14" i="43"/>
  <c r="F7" i="82" s="1"/>
  <c r="AA182" i="43"/>
  <c r="AA178" i="43"/>
  <c r="Y18" i="43"/>
  <c r="Y23" i="43"/>
  <c r="Y237" i="43"/>
  <c r="Y236" i="43"/>
  <c r="Y98" i="43"/>
  <c r="Y235" i="43"/>
  <c r="Y47" i="43"/>
  <c r="Y95" i="43" s="1"/>
  <c r="Y151" i="43"/>
  <c r="Y61" i="43"/>
  <c r="Y62" i="43"/>
  <c r="AD84" i="43" l="1"/>
  <c r="T32" i="82" s="1"/>
  <c r="AD81" i="43"/>
  <c r="AB83" i="43"/>
  <c r="Y39" i="43"/>
  <c r="Z281" i="43"/>
  <c r="AA66" i="43"/>
  <c r="Y294" i="43"/>
  <c r="Y295" i="43"/>
  <c r="AA231" i="43"/>
  <c r="AA18" i="43"/>
  <c r="F8" i="82" s="1"/>
  <c r="AA237" i="43"/>
  <c r="AA232" i="43"/>
  <c r="AA23" i="43"/>
  <c r="AA233" i="43"/>
  <c r="AA236" i="43"/>
  <c r="AA98" i="43"/>
  <c r="AA235" i="43"/>
  <c r="AA47" i="43"/>
  <c r="AA95" i="43" s="1"/>
  <c r="Y101" i="43"/>
  <c r="Y106" i="43"/>
  <c r="Y20" i="43"/>
  <c r="Y25" i="43" s="1"/>
  <c r="AA39" i="43" l="1"/>
  <c r="AD83" i="43"/>
  <c r="Z294" i="43"/>
  <c r="Z268" i="43"/>
  <c r="Z295" i="43"/>
  <c r="Z296" i="43"/>
  <c r="Y107" i="43"/>
  <c r="Y103" i="43"/>
  <c r="Y104" i="43" s="1"/>
  <c r="Y105" i="43" s="1"/>
  <c r="C19" i="83" l="1"/>
  <c r="X12" i="78" l="1"/>
  <c r="AA13" i="78" s="1"/>
  <c r="W32" i="77"/>
  <c r="V33" i="77"/>
  <c r="X33" i="77"/>
  <c r="W26" i="77"/>
  <c r="Z30" i="77" s="1"/>
  <c r="Z89" i="43" s="1"/>
  <c r="W13" i="77"/>
  <c r="X29" i="43"/>
  <c r="X299" i="43"/>
  <c r="X301" i="43" s="1"/>
  <c r="E22" i="82" s="1"/>
  <c r="X325" i="43"/>
  <c r="X323" i="43"/>
  <c r="X309" i="43"/>
  <c r="W301" i="43"/>
  <c r="X273" i="43"/>
  <c r="W273" i="43"/>
  <c r="W267" i="43"/>
  <c r="W248" i="43" s="1"/>
  <c r="W288" i="43"/>
  <c r="X287" i="43"/>
  <c r="X286" i="43"/>
  <c r="X263" i="43"/>
  <c r="X241" i="43"/>
  <c r="X240" i="43"/>
  <c r="X239" i="43"/>
  <c r="X215" i="43"/>
  <c r="X198" i="43"/>
  <c r="X177" i="43"/>
  <c r="X168" i="43"/>
  <c r="X170" i="43" s="1"/>
  <c r="X165" i="43"/>
  <c r="X164" i="43"/>
  <c r="X146" i="43"/>
  <c r="X145" i="43"/>
  <c r="W145" i="43" s="1"/>
  <c r="W325" i="43"/>
  <c r="X140" i="43"/>
  <c r="X276" i="43"/>
  <c r="X280" i="43" s="1"/>
  <c r="E20" i="82" s="1"/>
  <c r="W57" i="43"/>
  <c r="W168" i="43" s="1"/>
  <c r="W170" i="43" s="1"/>
  <c r="W56" i="43"/>
  <c r="X19" i="78"/>
  <c r="X35" i="43"/>
  <c r="X34" i="43"/>
  <c r="X33" i="43"/>
  <c r="W22" i="43"/>
  <c r="X16" i="43"/>
  <c r="X53" i="79"/>
  <c r="X52" i="79"/>
  <c r="X22" i="79"/>
  <c r="X10" i="79"/>
  <c r="W53" i="79"/>
  <c r="W52" i="79"/>
  <c r="W21" i="79"/>
  <c r="W14" i="79"/>
  <c r="W8" i="79"/>
  <c r="Z9" i="79" s="1"/>
  <c r="W5" i="79"/>
  <c r="Z6" i="79" s="1"/>
  <c r="X24" i="78"/>
  <c r="Z28" i="78"/>
  <c r="Z38" i="78" s="1"/>
  <c r="W23" i="78"/>
  <c r="W16" i="78"/>
  <c r="W34" i="43" s="1"/>
  <c r="W11" i="78"/>
  <c r="W5" i="78"/>
  <c r="Z9" i="78" s="1"/>
  <c r="Z88" i="43" s="1"/>
  <c r="X21" i="77"/>
  <c r="W8" i="77"/>
  <c r="W5" i="77"/>
  <c r="Z6" i="77" s="1"/>
  <c r="X8" i="80"/>
  <c r="W7" i="80"/>
  <c r="X17" i="79"/>
  <c r="X18" i="79" l="1"/>
  <c r="X37" i="43"/>
  <c r="R39" i="82" s="1"/>
  <c r="X72" i="43"/>
  <c r="W165" i="43"/>
  <c r="W166" i="43" s="1"/>
  <c r="W167" i="43" s="1"/>
  <c r="W148" i="43"/>
  <c r="AA11" i="79"/>
  <c r="Z290" i="43"/>
  <c r="W22" i="79"/>
  <c r="W58" i="79"/>
  <c r="X28" i="43"/>
  <c r="X27" i="43"/>
  <c r="W8" i="80"/>
  <c r="W9" i="77"/>
  <c r="Z10" i="77" s="1"/>
  <c r="X15" i="79"/>
  <c r="W12" i="78"/>
  <c r="W16" i="43"/>
  <c r="W33" i="43"/>
  <c r="W33" i="77"/>
  <c r="X288" i="43"/>
  <c r="E21" i="82" s="1"/>
  <c r="X324" i="43"/>
  <c r="X326" i="43" s="1"/>
  <c r="X242" i="43"/>
  <c r="X208" i="43"/>
  <c r="X217" i="43" s="1"/>
  <c r="W323" i="43"/>
  <c r="X30" i="43"/>
  <c r="W11" i="80"/>
  <c r="W30" i="43" s="1"/>
  <c r="X136" i="43"/>
  <c r="X148" i="43"/>
  <c r="X166" i="43"/>
  <c r="X167" i="43" s="1"/>
  <c r="W59" i="43"/>
  <c r="W159" i="43" s="1"/>
  <c r="W161" i="43" s="1"/>
  <c r="X130" i="43"/>
  <c r="E34" i="82" s="1"/>
  <c r="X58" i="79"/>
  <c r="W10" i="79"/>
  <c r="Z11" i="79" s="1"/>
  <c r="Z87" i="43" s="1"/>
  <c r="W24" i="78"/>
  <c r="E33" i="82" l="1"/>
  <c r="E41" i="82"/>
  <c r="X70" i="43"/>
  <c r="E18" i="82"/>
  <c r="Y154" i="43"/>
  <c r="Y157" i="43" s="1"/>
  <c r="Y158" i="43" s="1"/>
  <c r="R56" i="82"/>
  <c r="X117" i="43"/>
  <c r="E25" i="82" s="1"/>
  <c r="E29" i="82" s="1"/>
  <c r="AA290" i="43"/>
  <c r="W251" i="43"/>
  <c r="W155" i="43"/>
  <c r="W157" i="43" s="1"/>
  <c r="W158" i="43" s="1"/>
  <c r="W250" i="43"/>
  <c r="W149" i="43"/>
  <c r="W249" i="43"/>
  <c r="W12" i="43"/>
  <c r="Z79" i="43" s="1"/>
  <c r="Z13" i="78"/>
  <c r="Y244" i="43"/>
  <c r="AA244" i="43"/>
  <c r="AQ7" i="80"/>
  <c r="X31" i="43"/>
  <c r="W13" i="43"/>
  <c r="W11" i="43"/>
  <c r="X218" i="43"/>
  <c r="X137" i="43"/>
  <c r="X249" i="43"/>
  <c r="Y256" i="43" s="1"/>
  <c r="W324" i="43"/>
  <c r="W326" i="43" s="1"/>
  <c r="W276" i="43"/>
  <c r="W15" i="79"/>
  <c r="W17" i="78"/>
  <c r="AA154" i="43" l="1"/>
  <c r="X315" i="43"/>
  <c r="X314" i="43" s="1"/>
  <c r="E10" i="82"/>
  <c r="X65" i="43"/>
  <c r="X257" i="43" s="1"/>
  <c r="R62" i="82" s="1"/>
  <c r="E16" i="82"/>
  <c r="E19" i="82" s="1"/>
  <c r="Z80" i="43"/>
  <c r="Z78" i="43"/>
  <c r="AQ8" i="80"/>
  <c r="AT7" i="80"/>
  <c r="AO7" i="80"/>
  <c r="X172" i="43"/>
  <c r="X46" i="43"/>
  <c r="E11" i="82" s="1"/>
  <c r="W14" i="43"/>
  <c r="W235" i="43" l="1"/>
  <c r="W236" i="43"/>
  <c r="W231" i="43"/>
  <c r="W239" i="43" s="1"/>
  <c r="W232" i="43"/>
  <c r="W240" i="43" s="1"/>
  <c r="W237" i="43"/>
  <c r="W233" i="43"/>
  <c r="W241" i="43" s="1"/>
  <c r="Z81" i="43"/>
  <c r="Z84" i="43"/>
  <c r="AW7" i="80"/>
  <c r="AT8" i="80"/>
  <c r="AO8" i="80"/>
  <c r="AR7" i="80"/>
  <c r="AP7" i="80"/>
  <c r="W23" i="43"/>
  <c r="W18" i="43"/>
  <c r="Z83" i="43" s="1"/>
  <c r="W242" i="43" l="1"/>
  <c r="W244" i="43" s="1"/>
  <c r="AW8" i="80"/>
  <c r="AZ7" i="80"/>
  <c r="AZ8" i="80" s="1"/>
  <c r="AU7" i="80"/>
  <c r="AS7" i="80"/>
  <c r="AR8" i="80"/>
  <c r="AP8" i="80"/>
  <c r="AS8" i="80" l="1"/>
  <c r="AX7" i="80"/>
  <c r="AV7" i="80"/>
  <c r="AU8" i="80"/>
  <c r="AV8" i="80" l="1"/>
  <c r="AX8" i="80"/>
  <c r="BA7" i="80"/>
  <c r="AY7" i="80"/>
  <c r="AY8" i="80" l="1"/>
  <c r="BB7" i="80"/>
  <c r="BA8" i="80"/>
  <c r="V325" i="43"/>
  <c r="V323" i="43"/>
  <c r="V301" i="43"/>
  <c r="V273" i="43"/>
  <c r="X176" i="43"/>
  <c r="V276" i="43"/>
  <c r="V280" i="43" s="1"/>
  <c r="V59" i="43"/>
  <c r="V33" i="43"/>
  <c r="V35" i="43"/>
  <c r="V34" i="43"/>
  <c r="V30" i="43"/>
  <c r="V16" i="43"/>
  <c r="V22" i="79"/>
  <c r="V10" i="79"/>
  <c r="W13" i="79"/>
  <c r="V24" i="78"/>
  <c r="V12" i="78"/>
  <c r="W15" i="78"/>
  <c r="V9" i="77"/>
  <c r="V8" i="80"/>
  <c r="V72" i="43" l="1"/>
  <c r="V70" i="43" s="1"/>
  <c r="V65" i="43" s="1"/>
  <c r="V66" i="43" s="1"/>
  <c r="Y67" i="43" s="1"/>
  <c r="V37" i="43"/>
  <c r="Y10" i="77"/>
  <c r="X9" i="77"/>
  <c r="Y282" i="43"/>
  <c r="W280" i="43"/>
  <c r="BB8" i="80"/>
  <c r="V12" i="43"/>
  <c r="Y13" i="78"/>
  <c r="V11" i="43"/>
  <c r="Y11" i="79"/>
  <c r="Y87" i="43" s="1"/>
  <c r="V29" i="43"/>
  <c r="W12" i="77"/>
  <c r="W27" i="43"/>
  <c r="W28" i="43"/>
  <c r="V13" i="43"/>
  <c r="W20" i="77"/>
  <c r="X175" i="43"/>
  <c r="X59" i="43"/>
  <c r="V324" i="43"/>
  <c r="V326" i="43" s="1"/>
  <c r="V14" i="77"/>
  <c r="V17" i="78"/>
  <c r="V15" i="79"/>
  <c r="V17" i="79"/>
  <c r="V27" i="43"/>
  <c r="V19" i="78"/>
  <c r="V28" i="43"/>
  <c r="X159" i="43" l="1"/>
  <c r="X161" i="43" s="1"/>
  <c r="E12" i="82"/>
  <c r="V277" i="43"/>
  <c r="V281" i="43" s="1"/>
  <c r="V294" i="43" s="1"/>
  <c r="AA10" i="77"/>
  <c r="W17" i="79"/>
  <c r="X11" i="43"/>
  <c r="AA78" i="43" s="1"/>
  <c r="Y78" i="43"/>
  <c r="X13" i="43"/>
  <c r="AA80" i="43" s="1"/>
  <c r="Y80" i="43"/>
  <c r="X12" i="43"/>
  <c r="AA79" i="43" s="1"/>
  <c r="Y79" i="43"/>
  <c r="V14" i="43"/>
  <c r="W29" i="43"/>
  <c r="W31" i="43" s="1"/>
  <c r="X14" i="77"/>
  <c r="V18" i="79"/>
  <c r="V42" i="43"/>
  <c r="V31" i="43"/>
  <c r="V20" i="78"/>
  <c r="V43" i="43"/>
  <c r="V17" i="77"/>
  <c r="V44" i="43"/>
  <c r="V295" i="43" l="1"/>
  <c r="Y283" i="43"/>
  <c r="W181" i="43"/>
  <c r="X181" i="43" s="1"/>
  <c r="W172" i="43"/>
  <c r="W18" i="79"/>
  <c r="W42" i="43"/>
  <c r="W92" i="43" s="1"/>
  <c r="Y81" i="43"/>
  <c r="Y84" i="43"/>
  <c r="X14" i="43"/>
  <c r="E7" i="82" s="1"/>
  <c r="V18" i="43"/>
  <c r="V98" i="43"/>
  <c r="V23" i="43"/>
  <c r="W315" i="43"/>
  <c r="W314" i="43" s="1"/>
  <c r="V93" i="43"/>
  <c r="V94" i="43"/>
  <c r="V92" i="43"/>
  <c r="V315" i="43"/>
  <c r="V314" i="43" s="1"/>
  <c r="Y83" i="43" l="1"/>
  <c r="V39" i="43"/>
  <c r="W178" i="43"/>
  <c r="W182" i="43"/>
  <c r="X42" i="43"/>
  <c r="AA81" i="43"/>
  <c r="AA84" i="43"/>
  <c r="S32" i="82" s="1"/>
  <c r="V20" i="43"/>
  <c r="X235" i="43"/>
  <c r="X47" i="43"/>
  <c r="X95" i="43" s="1"/>
  <c r="X237" i="43"/>
  <c r="X233" i="43"/>
  <c r="X236" i="43"/>
  <c r="X231" i="43"/>
  <c r="X18" i="43"/>
  <c r="E8" i="82" s="1"/>
  <c r="X98" i="43"/>
  <c r="X23" i="43"/>
  <c r="X232" i="43"/>
  <c r="X182" i="43"/>
  <c r="X178" i="43"/>
  <c r="X92" i="43" l="1"/>
  <c r="R43" i="82"/>
  <c r="AA83" i="43"/>
  <c r="X39" i="43"/>
  <c r="C60" i="83"/>
  <c r="C59" i="83"/>
  <c r="T6" i="43" l="1"/>
  <c r="AQ26" i="77" l="1"/>
  <c r="AT26" i="77" l="1"/>
  <c r="AQ9" i="77"/>
  <c r="AT33" i="77"/>
  <c r="AW26" i="77" l="1"/>
  <c r="AT9" i="77"/>
  <c r="AQ10" i="77"/>
  <c r="AQ13" i="43"/>
  <c r="AT10" i="77" l="1"/>
  <c r="AT13" i="43"/>
  <c r="AQ80" i="43"/>
  <c r="AZ26" i="77"/>
  <c r="AW9" i="77"/>
  <c r="AQ32" i="77"/>
  <c r="AQ13" i="77" s="1"/>
  <c r="AW33" i="77" l="1"/>
  <c r="AZ33" i="77" s="1"/>
  <c r="AT80" i="43"/>
  <c r="AT32" i="77"/>
  <c r="AT13" i="77" s="1"/>
  <c r="AW10" i="77"/>
  <c r="AW13" i="43"/>
  <c r="AZ9" i="77"/>
  <c r="AQ14" i="77"/>
  <c r="AQ35" i="43"/>
  <c r="X244" i="43"/>
  <c r="X154" i="43"/>
  <c r="X149" i="43"/>
  <c r="AT14" i="77" l="1"/>
  <c r="AT35" i="43"/>
  <c r="AZ32" i="77"/>
  <c r="AZ13" i="77" s="1"/>
  <c r="AW32" i="77"/>
  <c r="AW13" i="77" s="1"/>
  <c r="AW80" i="43"/>
  <c r="AZ10" i="77"/>
  <c r="AZ13" i="43"/>
  <c r="AW14" i="77" l="1"/>
  <c r="AW35" i="43"/>
  <c r="AZ80" i="43"/>
  <c r="AZ14" i="77"/>
  <c r="AZ35" i="43"/>
  <c r="AO28" i="78" l="1"/>
  <c r="AO38" i="78" s="1"/>
  <c r="X27" i="78"/>
  <c r="W38" i="78"/>
  <c r="AJ27" i="78" l="1"/>
  <c r="AK28" i="78"/>
  <c r="AK38" i="78" s="1"/>
  <c r="AA27" i="78"/>
  <c r="AB28" i="78"/>
  <c r="AB38" i="78" s="1"/>
  <c r="AJ28" i="78" l="1"/>
  <c r="AJ38" i="78" s="1"/>
  <c r="AM28" i="78"/>
  <c r="AM38" i="78" s="1"/>
  <c r="AA28" i="78"/>
  <c r="AA38" i="78" s="1"/>
  <c r="AD28" i="78"/>
  <c r="AD38" i="78" s="1"/>
  <c r="AH53" i="79" l="1"/>
  <c r="Y53" i="79"/>
  <c r="V53" i="79"/>
  <c r="AH52" i="79"/>
  <c r="Y52" i="79"/>
  <c r="V52" i="79"/>
  <c r="Y58" i="79" l="1"/>
  <c r="V58" i="79"/>
  <c r="AH58" i="79"/>
  <c r="AH87" i="43" l="1"/>
  <c r="AQ29" i="79" l="1"/>
  <c r="AO29" i="79" l="1"/>
  <c r="AO5" i="79" s="1"/>
  <c r="AQ5" i="79"/>
  <c r="AT29" i="79"/>
  <c r="AT5" i="79" l="1"/>
  <c r="AW29" i="79"/>
  <c r="AQ6" i="79"/>
  <c r="AR29" i="79"/>
  <c r="AP29" i="79"/>
  <c r="AP33" i="79" s="1"/>
  <c r="AP87" i="43" s="1"/>
  <c r="AO6" i="79" l="1"/>
  <c r="AP5" i="79"/>
  <c r="AP6" i="79" s="1"/>
  <c r="AU29" i="79"/>
  <c r="AR5" i="79"/>
  <c r="AS29" i="79"/>
  <c r="AS33" i="79" s="1"/>
  <c r="AS87" i="43" s="1"/>
  <c r="AW5" i="79"/>
  <c r="AZ29" i="79"/>
  <c r="AT6" i="79"/>
  <c r="AW6" i="79" l="1"/>
  <c r="AR6" i="79"/>
  <c r="AS5" i="79"/>
  <c r="AS6" i="79" s="1"/>
  <c r="AX29" i="79"/>
  <c r="AU5" i="79"/>
  <c r="AV29" i="79"/>
  <c r="AV33" i="79" s="1"/>
  <c r="AV87" i="43" s="1"/>
  <c r="AZ5" i="79"/>
  <c r="BA29" i="79" l="1"/>
  <c r="AX5" i="79"/>
  <c r="AY29" i="79"/>
  <c r="AY33" i="79" s="1"/>
  <c r="AY87" i="43" s="1"/>
  <c r="AU6" i="79"/>
  <c r="AV5" i="79"/>
  <c r="AV6" i="79" s="1"/>
  <c r="AZ6" i="79"/>
  <c r="C43" i="83"/>
  <c r="AX6" i="79" l="1"/>
  <c r="AY5" i="79"/>
  <c r="AY6" i="79" s="1"/>
  <c r="BA5" i="79"/>
  <c r="BB29" i="79"/>
  <c r="BB33" i="79" s="1"/>
  <c r="BB87" i="43" s="1"/>
  <c r="BA6" i="79" l="1"/>
  <c r="BB5" i="79"/>
  <c r="BB6" i="79" s="1"/>
  <c r="M15" i="80" l="1"/>
  <c r="M11" i="80"/>
  <c r="M8" i="80"/>
  <c r="N7" i="80"/>
  <c r="N8" i="80" s="1"/>
  <c r="B3" i="80"/>
  <c r="B3" i="77"/>
  <c r="B3" i="78"/>
  <c r="B3" i="79"/>
  <c r="AH301" i="43"/>
  <c r="C291" i="43"/>
  <c r="AH273" i="43"/>
  <c r="J40" i="82"/>
  <c r="I40" i="82"/>
  <c r="H40" i="82"/>
  <c r="H32" i="82"/>
  <c r="AH6" i="43"/>
  <c r="AB6" i="43"/>
  <c r="AA6" i="43"/>
  <c r="Z6" i="43"/>
  <c r="Y6" i="43"/>
  <c r="X6" i="43"/>
  <c r="W6" i="43"/>
  <c r="V6" i="43"/>
  <c r="U6" i="43"/>
  <c r="S6" i="43"/>
  <c r="R6" i="43"/>
  <c r="Q6" i="43"/>
  <c r="P6" i="43"/>
  <c r="O6" i="43"/>
  <c r="N6" i="43"/>
  <c r="M6" i="43"/>
  <c r="L6" i="43"/>
  <c r="K6" i="43"/>
  <c r="J6" i="43"/>
  <c r="I6" i="43"/>
  <c r="H6" i="43"/>
  <c r="G6" i="43"/>
  <c r="F6" i="43"/>
  <c r="E6" i="43"/>
  <c r="D6" i="43"/>
  <c r="C56" i="83"/>
  <c r="C57" i="83" s="1"/>
  <c r="C9" i="83"/>
  <c r="AN292" i="43" l="1"/>
  <c r="AN291" i="43"/>
  <c r="AM291" i="43"/>
  <c r="AL292" i="43"/>
  <c r="AM292" i="43"/>
  <c r="AL291" i="43"/>
  <c r="AK292" i="43"/>
  <c r="AK291" i="43"/>
  <c r="AJ292" i="43"/>
  <c r="AJ291" i="43"/>
  <c r="AI292" i="43"/>
  <c r="AI291" i="43"/>
  <c r="AG292" i="43"/>
  <c r="AG291" i="43"/>
  <c r="AF291" i="43"/>
  <c r="AF292" i="43"/>
  <c r="AE292" i="43"/>
  <c r="AE291" i="43"/>
  <c r="J18" i="82"/>
  <c r="H18" i="82"/>
  <c r="AD292" i="43"/>
  <c r="AD291" i="43"/>
  <c r="T35" i="82" s="1"/>
  <c r="AC292" i="43"/>
  <c r="AC291" i="43"/>
  <c r="AB292" i="43"/>
  <c r="AB291" i="43"/>
  <c r="V292" i="43"/>
  <c r="W292" i="43"/>
  <c r="AA292" i="43"/>
  <c r="Y292" i="43"/>
  <c r="Z292" i="43"/>
  <c r="AA291" i="43"/>
  <c r="S35" i="82" s="1"/>
  <c r="Z291" i="43"/>
  <c r="W291" i="43"/>
  <c r="X292" i="43"/>
  <c r="X291" i="43"/>
  <c r="R35" i="82" s="1"/>
  <c r="AO207" i="43"/>
  <c r="AP207" i="43" s="1"/>
  <c r="AQ207" i="43" s="1"/>
  <c r="AR207" i="43" s="1"/>
  <c r="AS207" i="43" s="1"/>
  <c r="AT207" i="43" s="1"/>
  <c r="AU207" i="43" s="1"/>
  <c r="AV207" i="43" s="1"/>
  <c r="AW207" i="43" s="1"/>
  <c r="AX207" i="43" s="1"/>
  <c r="AY207" i="43" s="1"/>
  <c r="AZ207" i="43" s="1"/>
  <c r="BA207" i="43" s="1"/>
  <c r="BB207" i="43" s="1"/>
  <c r="J71" i="83"/>
  <c r="K71" i="83" s="1"/>
  <c r="L71" i="83" s="1"/>
  <c r="M71" i="83" s="1"/>
  <c r="W3" i="77"/>
  <c r="C44" i="83"/>
  <c r="C61" i="83"/>
  <c r="N11" i="80"/>
  <c r="M16" i="80"/>
  <c r="M12" i="80"/>
  <c r="M13" i="80" s="1"/>
  <c r="N15" i="80"/>
  <c r="E3" i="77"/>
  <c r="E3" i="78"/>
  <c r="E3" i="80"/>
  <c r="E3" i="79"/>
  <c r="Q3" i="77"/>
  <c r="Q3" i="78"/>
  <c r="Q3" i="79"/>
  <c r="Q3" i="80"/>
  <c r="I3" i="77"/>
  <c r="I3" i="78"/>
  <c r="I3" i="79"/>
  <c r="I3" i="80"/>
  <c r="F3" i="80"/>
  <c r="F3" i="77"/>
  <c r="F3" i="78"/>
  <c r="F3" i="79"/>
  <c r="R3" i="80"/>
  <c r="R3" i="78"/>
  <c r="R3" i="79"/>
  <c r="R3" i="77"/>
  <c r="J38" i="82"/>
  <c r="M3" i="77"/>
  <c r="M3" i="78"/>
  <c r="M3" i="80"/>
  <c r="M3" i="79"/>
  <c r="U3" i="77"/>
  <c r="U3" i="78"/>
  <c r="U3" i="79"/>
  <c r="U3" i="80"/>
  <c r="Y3" i="77"/>
  <c r="Y3" i="78"/>
  <c r="Y3" i="80"/>
  <c r="Y3" i="79"/>
  <c r="J3" i="80"/>
  <c r="J3" i="78"/>
  <c r="J3" i="79"/>
  <c r="J3" i="77"/>
  <c r="N3" i="80"/>
  <c r="N3" i="77"/>
  <c r="N3" i="78"/>
  <c r="N3" i="79"/>
  <c r="V3" i="80"/>
  <c r="V3" i="77"/>
  <c r="V3" i="78"/>
  <c r="V3" i="79"/>
  <c r="Z3" i="80"/>
  <c r="Z3" i="78"/>
  <c r="Z3" i="79"/>
  <c r="Z3" i="77"/>
  <c r="AH3" i="80"/>
  <c r="AH3" i="78"/>
  <c r="AH3" i="79"/>
  <c r="AH3" i="77"/>
  <c r="AH59" i="43"/>
  <c r="AJ59" i="43" s="1"/>
  <c r="AJ159" i="43" s="1"/>
  <c r="AJ161" i="43" s="1"/>
  <c r="G3" i="79"/>
  <c r="G3" i="80"/>
  <c r="G3" i="78"/>
  <c r="G3" i="77"/>
  <c r="K3" i="79"/>
  <c r="K3" i="80"/>
  <c r="K3" i="77"/>
  <c r="O3" i="79"/>
  <c r="O3" i="80"/>
  <c r="O3" i="77"/>
  <c r="O3" i="78"/>
  <c r="S3" i="79"/>
  <c r="S3" i="80"/>
  <c r="S3" i="78"/>
  <c r="S3" i="77"/>
  <c r="W3" i="79"/>
  <c r="W3" i="80"/>
  <c r="W3" i="78"/>
  <c r="AA3" i="79"/>
  <c r="AA3" i="80"/>
  <c r="AA3" i="77"/>
  <c r="AA3" i="78"/>
  <c r="K3" i="78"/>
  <c r="D3" i="77"/>
  <c r="D3" i="78"/>
  <c r="D3" i="79"/>
  <c r="D3" i="80"/>
  <c r="H3" i="77"/>
  <c r="H3" i="78"/>
  <c r="H3" i="79"/>
  <c r="H3" i="80"/>
  <c r="L3" i="77"/>
  <c r="L3" i="78"/>
  <c r="L3" i="79"/>
  <c r="L3" i="80"/>
  <c r="P3" i="77"/>
  <c r="P3" i="78"/>
  <c r="P3" i="79"/>
  <c r="P3" i="80"/>
  <c r="T3" i="77"/>
  <c r="T3" i="78"/>
  <c r="T3" i="79"/>
  <c r="T3" i="80"/>
  <c r="X3" i="77"/>
  <c r="X3" i="78"/>
  <c r="X3" i="79"/>
  <c r="X3" i="80"/>
  <c r="AB3" i="77"/>
  <c r="AB3" i="78"/>
  <c r="AB3" i="79"/>
  <c r="AB3" i="80"/>
  <c r="I79" i="83" l="1"/>
  <c r="I36" i="82"/>
  <c r="AH159" i="43"/>
  <c r="H36" i="82"/>
  <c r="H12" i="82"/>
  <c r="H38" i="82"/>
  <c r="I38" i="82"/>
  <c r="X262" i="43"/>
  <c r="X265" i="43" s="1"/>
  <c r="C66" i="83"/>
  <c r="N12" i="80"/>
  <c r="N16" i="80"/>
  <c r="AP28" i="78"/>
  <c r="AP38" i="78" s="1"/>
  <c r="X38" i="78"/>
  <c r="AH28" i="78"/>
  <c r="AH38" i="78" s="1"/>
  <c r="V38" i="78"/>
  <c r="Y28" i="78"/>
  <c r="Y38" i="78" s="1"/>
  <c r="AO214" i="43" l="1"/>
  <c r="AP214" i="43" s="1"/>
  <c r="AQ214" i="43" s="1"/>
  <c r="AR214" i="43" s="1"/>
  <c r="AS214" i="43" s="1"/>
  <c r="AT214" i="43" s="1"/>
  <c r="AU214" i="43" s="1"/>
  <c r="AV214" i="43" s="1"/>
  <c r="AW214" i="43" s="1"/>
  <c r="AX214" i="43" s="1"/>
  <c r="AY214" i="43" s="1"/>
  <c r="AZ214" i="43" s="1"/>
  <c r="BA214" i="43" s="1"/>
  <c r="BB214" i="43" s="1"/>
  <c r="I12" i="82"/>
  <c r="J12" i="82"/>
  <c r="H61" i="82"/>
  <c r="AA262" i="43"/>
  <c r="W265" i="43"/>
  <c r="I80" i="83"/>
  <c r="M80" i="83"/>
  <c r="L80" i="83"/>
  <c r="K80" i="83"/>
  <c r="J80" i="83"/>
  <c r="Y262" i="43"/>
  <c r="Y265" i="43" s="1"/>
  <c r="H70" i="82"/>
  <c r="N80" i="83"/>
  <c r="N13" i="80"/>
  <c r="H52" i="82" l="1"/>
  <c r="H50" i="82"/>
  <c r="H62" i="82"/>
  <c r="H58" i="82"/>
  <c r="H57" i="82"/>
  <c r="H56" i="82"/>
  <c r="Z262" i="43"/>
  <c r="Z304" i="43"/>
  <c r="Z305" i="43"/>
  <c r="Y305" i="43"/>
  <c r="Y304" i="43"/>
  <c r="W305" i="43"/>
  <c r="W304" i="43"/>
  <c r="I61" i="82"/>
  <c r="V304" i="43"/>
  <c r="V305" i="43"/>
  <c r="AH29" i="43"/>
  <c r="H68" i="82" l="1"/>
  <c r="Y306" i="43"/>
  <c r="Z308" i="43" s="1"/>
  <c r="AA304" i="43"/>
  <c r="Z306" i="43"/>
  <c r="AB308" i="43" s="1"/>
  <c r="AA305" i="43"/>
  <c r="J61" i="82"/>
  <c r="AQ12" i="77"/>
  <c r="X305" i="43"/>
  <c r="X304" i="43"/>
  <c r="W306" i="43"/>
  <c r="Y308" i="43" s="1"/>
  <c r="Y310" i="43" s="1"/>
  <c r="AH224" i="43"/>
  <c r="AI224" i="43" s="1"/>
  <c r="AI225" i="43" s="1"/>
  <c r="I52" i="82"/>
  <c r="I50" i="82"/>
  <c r="I57" i="82"/>
  <c r="I58" i="82"/>
  <c r="I56" i="82"/>
  <c r="V306" i="43"/>
  <c r="W308" i="43" s="1"/>
  <c r="AH28" i="43"/>
  <c r="AJ227" i="43" l="1"/>
  <c r="AI251" i="43"/>
  <c r="AI250" i="43"/>
  <c r="AI226" i="43"/>
  <c r="I62" i="82"/>
  <c r="C96" i="83"/>
  <c r="AB310" i="43"/>
  <c r="AD308" i="43"/>
  <c r="AD310" i="43" s="1"/>
  <c r="AO212" i="43"/>
  <c r="AP212" i="43" s="1"/>
  <c r="H47" i="82"/>
  <c r="Z241" i="43"/>
  <c r="Z240" i="43"/>
  <c r="Z239" i="43"/>
  <c r="AA306" i="43"/>
  <c r="AA308" i="43"/>
  <c r="AA310" i="43" s="1"/>
  <c r="Z310" i="43"/>
  <c r="J52" i="82"/>
  <c r="J57" i="82"/>
  <c r="J50" i="82"/>
  <c r="J58" i="82"/>
  <c r="J56" i="82"/>
  <c r="AQ15" i="78"/>
  <c r="AT12" i="77"/>
  <c r="AQ29" i="43"/>
  <c r="AQ16" i="77"/>
  <c r="X306" i="43"/>
  <c r="W310" i="43"/>
  <c r="AH27" i="43"/>
  <c r="J62" i="82" l="1"/>
  <c r="I68" i="82"/>
  <c r="I70" i="82"/>
  <c r="J70" i="82"/>
  <c r="AQ212" i="43"/>
  <c r="AR212" i="43" s="1"/>
  <c r="AS212" i="43" s="1"/>
  <c r="K61" i="82"/>
  <c r="AO195" i="43"/>
  <c r="AP195" i="43" s="1"/>
  <c r="AO206" i="43"/>
  <c r="AP206" i="43" s="1"/>
  <c r="AO205" i="43"/>
  <c r="AP205" i="43" s="1"/>
  <c r="AO204" i="43"/>
  <c r="AP204" i="43" s="1"/>
  <c r="AO197" i="43"/>
  <c r="AP197" i="43" s="1"/>
  <c r="Z242" i="43"/>
  <c r="Z244" i="43" s="1"/>
  <c r="AT15" i="78"/>
  <c r="AQ28" i="43"/>
  <c r="AW12" i="77"/>
  <c r="AT29" i="43"/>
  <c r="AT16" i="77"/>
  <c r="AQ17" i="77"/>
  <c r="AQ44" i="43"/>
  <c r="AQ94" i="43" s="1"/>
  <c r="J79" i="83"/>
  <c r="I81" i="83"/>
  <c r="AH89" i="43"/>
  <c r="AO12" i="77"/>
  <c r="J81" i="83" l="1"/>
  <c r="AO213" i="43"/>
  <c r="AP213" i="43" s="1"/>
  <c r="K62" i="82" s="1"/>
  <c r="AT212" i="43"/>
  <c r="AU212" i="43" s="1"/>
  <c r="AV212" i="43" s="1"/>
  <c r="L61" i="82"/>
  <c r="J68" i="82"/>
  <c r="AO224" i="43"/>
  <c r="AQ197" i="43"/>
  <c r="AR197" i="43" s="1"/>
  <c r="AS197" i="43" s="1"/>
  <c r="K52" i="82"/>
  <c r="AQ204" i="43"/>
  <c r="AR204" i="43" s="1"/>
  <c r="AS204" i="43" s="1"/>
  <c r="K56" i="82"/>
  <c r="AQ206" i="43"/>
  <c r="AR206" i="43" s="1"/>
  <c r="AS206" i="43" s="1"/>
  <c r="K58" i="82"/>
  <c r="AQ195" i="43"/>
  <c r="AR195" i="43" s="1"/>
  <c r="AS195" i="43" s="1"/>
  <c r="K50" i="82"/>
  <c r="AQ205" i="43"/>
  <c r="AR205" i="43" s="1"/>
  <c r="AS205" i="43" s="1"/>
  <c r="K57" i="82"/>
  <c r="H51" i="82"/>
  <c r="AW15" i="78"/>
  <c r="AT28" i="43"/>
  <c r="AT17" i="77"/>
  <c r="AT44" i="43"/>
  <c r="AT94" i="43" s="1"/>
  <c r="AZ12" i="77"/>
  <c r="AW29" i="43"/>
  <c r="AW16" i="77"/>
  <c r="AP12" i="77"/>
  <c r="AP29" i="43" s="1"/>
  <c r="AR12" i="77"/>
  <c r="AO29" i="43"/>
  <c r="K79" i="83"/>
  <c r="AH30" i="43"/>
  <c r="AH31" i="43" s="1"/>
  <c r="AO15" i="78"/>
  <c r="AP224" i="43" l="1"/>
  <c r="K70" i="82" s="1"/>
  <c r="AW212" i="43"/>
  <c r="AX212" i="43" s="1"/>
  <c r="AY212" i="43" s="1"/>
  <c r="AZ212" i="43" s="1"/>
  <c r="BA212" i="43" s="1"/>
  <c r="BB212" i="43" s="1"/>
  <c r="M61" i="82"/>
  <c r="AQ213" i="43"/>
  <c r="AR213" i="43" s="1"/>
  <c r="AS213" i="43" s="1"/>
  <c r="L62" i="82" s="1"/>
  <c r="AQ224" i="43"/>
  <c r="AR224" i="43" s="1"/>
  <c r="AS224" i="43" s="1"/>
  <c r="AT224" i="43" s="1"/>
  <c r="AU224" i="43" s="1"/>
  <c r="AV224" i="43" s="1"/>
  <c r="AT195" i="43"/>
  <c r="AU195" i="43" s="1"/>
  <c r="AV195" i="43" s="1"/>
  <c r="L50" i="82"/>
  <c r="AT204" i="43"/>
  <c r="AU204" i="43" s="1"/>
  <c r="AV204" i="43" s="1"/>
  <c r="L56" i="82"/>
  <c r="AT206" i="43"/>
  <c r="AU206" i="43" s="1"/>
  <c r="AV206" i="43" s="1"/>
  <c r="L58" i="82"/>
  <c r="AT197" i="43"/>
  <c r="AU197" i="43" s="1"/>
  <c r="AV197" i="43" s="1"/>
  <c r="L52" i="82"/>
  <c r="AT205" i="43"/>
  <c r="AU205" i="43" s="1"/>
  <c r="AV205" i="43" s="1"/>
  <c r="L57" i="82"/>
  <c r="AO222" i="43"/>
  <c r="AP222" i="43" s="1"/>
  <c r="AQ222" i="43" s="1"/>
  <c r="AR222" i="43" s="1"/>
  <c r="AS222" i="43" s="1"/>
  <c r="H10" i="82"/>
  <c r="H67" i="82"/>
  <c r="AZ15" i="78"/>
  <c r="AW28" i="43"/>
  <c r="AR15" i="78"/>
  <c r="AU15" i="78" s="1"/>
  <c r="AO28" i="43"/>
  <c r="AP15" i="78"/>
  <c r="AP28" i="43" s="1"/>
  <c r="AZ29" i="43"/>
  <c r="AZ16" i="77"/>
  <c r="AW17" i="77"/>
  <c r="AW44" i="43"/>
  <c r="AW94" i="43" s="1"/>
  <c r="AS12" i="77"/>
  <c r="AS29" i="43" s="1"/>
  <c r="AU12" i="77"/>
  <c r="AR29" i="43"/>
  <c r="K81" i="83"/>
  <c r="L79" i="83"/>
  <c r="I51" i="82"/>
  <c r="AH315" i="43"/>
  <c r="AH181" i="43"/>
  <c r="AJ181" i="43" s="1"/>
  <c r="Y130" i="43"/>
  <c r="AH13" i="43"/>
  <c r="AK80" i="43" s="1"/>
  <c r="I47" i="82"/>
  <c r="AW204" i="43" l="1"/>
  <c r="AX204" i="43" s="1"/>
  <c r="AY204" i="43" s="1"/>
  <c r="AZ204" i="43" s="1"/>
  <c r="BA204" i="43" s="1"/>
  <c r="BB204" i="43" s="1"/>
  <c r="M56" i="82"/>
  <c r="AW205" i="43"/>
  <c r="AX205" i="43" s="1"/>
  <c r="AY205" i="43" s="1"/>
  <c r="AZ205" i="43" s="1"/>
  <c r="BA205" i="43" s="1"/>
  <c r="BB205" i="43" s="1"/>
  <c r="M57" i="82"/>
  <c r="AW195" i="43"/>
  <c r="AX195" i="43" s="1"/>
  <c r="AY195" i="43" s="1"/>
  <c r="AZ195" i="43" s="1"/>
  <c r="BA195" i="43" s="1"/>
  <c r="BB195" i="43" s="1"/>
  <c r="M50" i="82"/>
  <c r="AW224" i="43"/>
  <c r="AX224" i="43" s="1"/>
  <c r="AY224" i="43" s="1"/>
  <c r="AZ224" i="43" s="1"/>
  <c r="BA224" i="43" s="1"/>
  <c r="BB224" i="43" s="1"/>
  <c r="M70" i="82"/>
  <c r="AW197" i="43"/>
  <c r="AX197" i="43" s="1"/>
  <c r="AY197" i="43" s="1"/>
  <c r="AZ197" i="43" s="1"/>
  <c r="BA197" i="43" s="1"/>
  <c r="BB197" i="43" s="1"/>
  <c r="M52" i="82"/>
  <c r="AW206" i="43"/>
  <c r="AX206" i="43" s="1"/>
  <c r="AY206" i="43" s="1"/>
  <c r="AZ206" i="43" s="1"/>
  <c r="BA206" i="43" s="1"/>
  <c r="BB206" i="43" s="1"/>
  <c r="M58" i="82"/>
  <c r="AT213" i="43"/>
  <c r="AU213" i="43" s="1"/>
  <c r="AV213" i="43" s="1"/>
  <c r="L70" i="82"/>
  <c r="AJ13" i="43"/>
  <c r="V40" i="82" s="1"/>
  <c r="AJ182" i="43"/>
  <c r="AJ178" i="43"/>
  <c r="AJ177" i="43" s="1"/>
  <c r="K68" i="82"/>
  <c r="AT222" i="43"/>
  <c r="AU222" i="43" s="1"/>
  <c r="AV222" i="43" s="1"/>
  <c r="L68" i="82"/>
  <c r="I10" i="82"/>
  <c r="I67" i="82"/>
  <c r="AH80" i="43"/>
  <c r="J51" i="82"/>
  <c r="AZ28" i="43"/>
  <c r="AR28" i="43"/>
  <c r="AS15" i="78"/>
  <c r="AS28" i="43" s="1"/>
  <c r="AZ17" i="77"/>
  <c r="AZ44" i="43"/>
  <c r="AZ94" i="43" s="1"/>
  <c r="AX12" i="77"/>
  <c r="AV12" i="77"/>
  <c r="AV29" i="43" s="1"/>
  <c r="AU29" i="43"/>
  <c r="M79" i="83"/>
  <c r="L81" i="83"/>
  <c r="AH178" i="43"/>
  <c r="AH182" i="43"/>
  <c r="AA130" i="43"/>
  <c r="F34" i="82" s="1"/>
  <c r="AJ80" i="43" l="1"/>
  <c r="AM80" i="43"/>
  <c r="AW213" i="43"/>
  <c r="AX213" i="43" s="1"/>
  <c r="AY213" i="43" s="1"/>
  <c r="AZ213" i="43" s="1"/>
  <c r="BA213" i="43" s="1"/>
  <c r="BB213" i="43" s="1"/>
  <c r="M62" i="82"/>
  <c r="AW222" i="43"/>
  <c r="AX222" i="43" s="1"/>
  <c r="AY222" i="43" s="1"/>
  <c r="AZ222" i="43" s="1"/>
  <c r="BA222" i="43" s="1"/>
  <c r="BB222" i="43" s="1"/>
  <c r="M68" i="82"/>
  <c r="F33" i="82"/>
  <c r="F41" i="82"/>
  <c r="AO196" i="43"/>
  <c r="AP196" i="43" s="1"/>
  <c r="AH323" i="43"/>
  <c r="AX15" i="78"/>
  <c r="AU28" i="43"/>
  <c r="AV15" i="78"/>
  <c r="AV28" i="43" s="1"/>
  <c r="AY12" i="77"/>
  <c r="AY29" i="43" s="1"/>
  <c r="BA12" i="77"/>
  <c r="AX29" i="43"/>
  <c r="M81" i="83"/>
  <c r="N79" i="83"/>
  <c r="J47" i="82"/>
  <c r="AH262" i="43"/>
  <c r="J10" i="82" l="1"/>
  <c r="AQ196" i="43"/>
  <c r="AR196" i="43" s="1"/>
  <c r="AS196" i="43" s="1"/>
  <c r="K51" i="82"/>
  <c r="AH265" i="43"/>
  <c r="AO190" i="43"/>
  <c r="AP190" i="43" s="1"/>
  <c r="BA15" i="78"/>
  <c r="AX28" i="43"/>
  <c r="AY15" i="78"/>
  <c r="AY28" i="43" s="1"/>
  <c r="AQ8" i="77"/>
  <c r="BB12" i="77"/>
  <c r="BB29" i="43" s="1"/>
  <c r="BA29" i="43"/>
  <c r="N81" i="83"/>
  <c r="AB130" i="43"/>
  <c r="AB137" i="43" s="1"/>
  <c r="AO11" i="80" l="1"/>
  <c r="AH267" i="43"/>
  <c r="AH268" i="43" s="1"/>
  <c r="AI304" i="43"/>
  <c r="AI262" i="43"/>
  <c r="AI305" i="43"/>
  <c r="AT196" i="43"/>
  <c r="AU196" i="43" s="1"/>
  <c r="AV196" i="43" s="1"/>
  <c r="L51" i="82"/>
  <c r="AQ190" i="43"/>
  <c r="AR190" i="43" s="1"/>
  <c r="AS190" i="43" s="1"/>
  <c r="K47" i="82"/>
  <c r="AH305" i="43"/>
  <c r="BA28" i="43"/>
  <c r="BB15" i="78"/>
  <c r="BB28" i="43" s="1"/>
  <c r="AT8" i="77"/>
  <c r="AQ5" i="77"/>
  <c r="AQ6" i="77" s="1"/>
  <c r="AW196" i="43" l="1"/>
  <c r="AX196" i="43" s="1"/>
  <c r="AY196" i="43" s="1"/>
  <c r="AZ196" i="43" s="1"/>
  <c r="BA196" i="43" s="1"/>
  <c r="BB196" i="43" s="1"/>
  <c r="M51" i="82"/>
  <c r="AQ11" i="80"/>
  <c r="AO30" i="43"/>
  <c r="AP11" i="80"/>
  <c r="AP30" i="43" s="1"/>
  <c r="AJ305" i="43"/>
  <c r="AI306" i="43"/>
  <c r="AK308" i="43" s="1"/>
  <c r="AT190" i="43"/>
  <c r="AU190" i="43" s="1"/>
  <c r="AV190" i="43" s="1"/>
  <c r="L47" i="82"/>
  <c r="AT5" i="77"/>
  <c r="AT6" i="77" s="1"/>
  <c r="AW8" i="77"/>
  <c r="AK310" i="43" l="1"/>
  <c r="AM308" i="43"/>
  <c r="AM310" i="43" s="1"/>
  <c r="AW190" i="43"/>
  <c r="AX190" i="43" s="1"/>
  <c r="AY190" i="43" s="1"/>
  <c r="AZ190" i="43" s="1"/>
  <c r="BA190" i="43" s="1"/>
  <c r="BB190" i="43" s="1"/>
  <c r="M47" i="82"/>
  <c r="AQ30" i="43"/>
  <c r="AR11" i="80"/>
  <c r="AW5" i="77"/>
  <c r="AW6" i="77" s="1"/>
  <c r="AZ8" i="77"/>
  <c r="AE16" i="43"/>
  <c r="H31" i="82"/>
  <c r="AT11" i="80" l="1"/>
  <c r="AR30" i="43"/>
  <c r="AS11" i="80"/>
  <c r="AS30" i="43" s="1"/>
  <c r="AZ5" i="77"/>
  <c r="AZ6" i="77" s="1"/>
  <c r="AE11" i="43"/>
  <c r="AT30" i="43" l="1"/>
  <c r="AU11" i="80"/>
  <c r="AG11" i="43"/>
  <c r="AE14" i="43"/>
  <c r="AE23" i="43" s="1"/>
  <c r="AE78" i="43"/>
  <c r="AE87" i="43"/>
  <c r="Y208" i="43"/>
  <c r="AN16" i="43"/>
  <c r="AH10" i="79"/>
  <c r="H34" i="82"/>
  <c r="H33" i="82" s="1"/>
  <c r="AH15" i="79" l="1"/>
  <c r="AW15" i="79" s="1"/>
  <c r="AZ15" i="79" s="1"/>
  <c r="AK11" i="79"/>
  <c r="AU30" i="43"/>
  <c r="AV11" i="80"/>
  <c r="AV30" i="43" s="1"/>
  <c r="AW11" i="80"/>
  <c r="AG78" i="43"/>
  <c r="AG14" i="43"/>
  <c r="AE233" i="43"/>
  <c r="AH233" i="43" s="1"/>
  <c r="AE235" i="43"/>
  <c r="AE81" i="43"/>
  <c r="AE18" i="43"/>
  <c r="AE231" i="43"/>
  <c r="AH231" i="43" s="1"/>
  <c r="AE236" i="43"/>
  <c r="AE84" i="43"/>
  <c r="AE237" i="43"/>
  <c r="AE232" i="43"/>
  <c r="AH232" i="43" s="1"/>
  <c r="AK232" i="43" s="1"/>
  <c r="AN232" i="43" s="1"/>
  <c r="AQ8" i="79"/>
  <c r="AN11" i="43"/>
  <c r="AH11" i="79"/>
  <c r="AH11" i="43"/>
  <c r="AK78" i="43" s="1"/>
  <c r="AN14" i="43" l="1"/>
  <c r="AN78" i="43"/>
  <c r="AK231" i="43"/>
  <c r="AK233" i="43"/>
  <c r="AX11" i="80"/>
  <c r="AW30" i="43"/>
  <c r="AJ11" i="43"/>
  <c r="V38" i="82" s="1"/>
  <c r="AE20" i="43"/>
  <c r="AG20" i="43" s="1"/>
  <c r="AQ232" i="43"/>
  <c r="AT232" i="43" s="1"/>
  <c r="AW232" i="43" s="1"/>
  <c r="AZ232" i="43" s="1"/>
  <c r="AG236" i="43"/>
  <c r="AG232" i="43"/>
  <c r="AG235" i="43"/>
  <c r="AG23" i="43"/>
  <c r="AG47" i="43"/>
  <c r="AG95" i="43" s="1"/>
  <c r="AG81" i="43"/>
  <c r="AG237" i="43"/>
  <c r="AG84" i="43"/>
  <c r="AG98" i="43"/>
  <c r="AG231" i="43"/>
  <c r="AG18" i="43"/>
  <c r="AG233" i="43"/>
  <c r="AE83" i="43"/>
  <c r="J31" i="82"/>
  <c r="AN33" i="43"/>
  <c r="AT8" i="79"/>
  <c r="AQ10" i="79"/>
  <c r="AH78" i="43"/>
  <c r="AN233" i="43" l="1"/>
  <c r="AQ233" i="43" s="1"/>
  <c r="AT233" i="43" s="1"/>
  <c r="AW233" i="43" s="1"/>
  <c r="AZ233" i="43" s="1"/>
  <c r="AN231" i="43"/>
  <c r="AQ231" i="43" s="1"/>
  <c r="AT231" i="43" s="1"/>
  <c r="AW231" i="43" s="1"/>
  <c r="AZ231" i="43" s="1"/>
  <c r="AN81" i="43"/>
  <c r="AN23" i="43"/>
  <c r="AN236" i="43"/>
  <c r="AN18" i="43"/>
  <c r="AN235" i="43"/>
  <c r="AN237" i="43"/>
  <c r="AN84" i="43"/>
  <c r="AY11" i="80"/>
  <c r="AY30" i="43" s="1"/>
  <c r="AZ11" i="80"/>
  <c r="AX30" i="43"/>
  <c r="AJ78" i="43"/>
  <c r="AG25" i="43"/>
  <c r="AG83" i="43"/>
  <c r="AG39" i="43"/>
  <c r="AQ11" i="79"/>
  <c r="AQ11" i="43"/>
  <c r="AQ14" i="79"/>
  <c r="AW8" i="79"/>
  <c r="AT10" i="79"/>
  <c r="AN83" i="43" l="1"/>
  <c r="AN19" i="43"/>
  <c r="AN20" i="43"/>
  <c r="BA11" i="80"/>
  <c r="AZ30" i="43"/>
  <c r="J34" i="82"/>
  <c r="J33" i="82" s="1"/>
  <c r="AT11" i="79"/>
  <c r="AT11" i="43"/>
  <c r="AT14" i="79"/>
  <c r="AZ8" i="79"/>
  <c r="AZ10" i="79" s="1"/>
  <c r="AW10" i="79"/>
  <c r="AQ33" i="43"/>
  <c r="AQ78" i="43"/>
  <c r="BB11" i="80" l="1"/>
  <c r="BB30" i="43" s="1"/>
  <c r="BA30" i="43"/>
  <c r="AW11" i="79"/>
  <c r="AW11" i="43"/>
  <c r="AW14" i="79"/>
  <c r="AT33" i="43"/>
  <c r="AT78" i="43"/>
  <c r="AZ11" i="79"/>
  <c r="AZ11" i="43"/>
  <c r="AZ14" i="79"/>
  <c r="AW33" i="43" l="1"/>
  <c r="AZ78" i="43"/>
  <c r="AW78" i="43"/>
  <c r="AZ33" i="43"/>
  <c r="AX15" i="79" l="1"/>
  <c r="BA15" i="79" l="1"/>
  <c r="V322" i="43" l="1"/>
  <c r="V327" i="43" s="1"/>
  <c r="W322" i="43" s="1"/>
  <c r="W327" i="43" s="1"/>
  <c r="X322" i="43"/>
  <c r="X327" i="43" s="1"/>
  <c r="Y322" i="43" l="1"/>
  <c r="Y327" i="43" s="1"/>
  <c r="Z322" i="43" s="1"/>
  <c r="Z327" i="43" s="1"/>
  <c r="AA322" i="43"/>
  <c r="V308" i="43"/>
  <c r="V310" i="43" l="1"/>
  <c r="X308" i="43"/>
  <c r="X310" i="43" s="1"/>
  <c r="AH8" i="80" l="1"/>
  <c r="AH13" i="80" s="1"/>
  <c r="AE33" i="43" l="1"/>
  <c r="AE37" i="43" l="1"/>
  <c r="AE25" i="43" s="1"/>
  <c r="AE46" i="43" l="1"/>
  <c r="AE49" i="43" s="1"/>
  <c r="AG49" i="43" s="1"/>
  <c r="U50" i="82" s="1"/>
  <c r="AE39" i="43"/>
  <c r="AE98" i="43"/>
  <c r="AE117" i="43"/>
  <c r="AE121" i="43" s="1"/>
  <c r="AE47" i="43" l="1"/>
  <c r="AE95" i="43" s="1"/>
  <c r="AE314" i="43"/>
  <c r="AE38" i="43"/>
  <c r="AE53" i="43"/>
  <c r="AH33" i="43"/>
  <c r="AG53" i="43" l="1"/>
  <c r="AG62" i="43" s="1"/>
  <c r="AE61" i="43"/>
  <c r="AE101" i="43" s="1"/>
  <c r="AE103" i="43" s="1"/>
  <c r="AE152" i="43"/>
  <c r="AG38" i="43"/>
  <c r="AE54" i="43"/>
  <c r="AE256" i="43"/>
  <c r="AE106" i="43"/>
  <c r="AE151" i="43"/>
  <c r="AE255" i="43"/>
  <c r="AH18" i="79"/>
  <c r="AH42" i="43"/>
  <c r="AG152" i="43" l="1"/>
  <c r="U40" i="82"/>
  <c r="AG255" i="43"/>
  <c r="AG256" i="43"/>
  <c r="AG151" i="43"/>
  <c r="AJ42" i="43"/>
  <c r="AG54" i="43"/>
  <c r="AG61" i="43"/>
  <c r="AE65" i="43"/>
  <c r="AE66" i="43" s="1"/>
  <c r="AG106" i="43"/>
  <c r="AF62" i="43"/>
  <c r="AF106" i="43" s="1"/>
  <c r="AH92" i="43"/>
  <c r="AJ92" i="43" l="1"/>
  <c r="AF104" i="43"/>
  <c r="AF105" i="43" s="1"/>
  <c r="AF107" i="43"/>
  <c r="AE104" i="43"/>
  <c r="AE105" i="43" s="1"/>
  <c r="AG101" i="43"/>
  <c r="AG103" i="43" s="1"/>
  <c r="AG104" i="43" s="1"/>
  <c r="AE107" i="43"/>
  <c r="AG66" i="43"/>
  <c r="AE257" i="43"/>
  <c r="AG107" i="43" l="1"/>
  <c r="AG105" i="43"/>
  <c r="W35" i="43" l="1"/>
  <c r="W21" i="77" l="1"/>
  <c r="W72" i="43" s="1"/>
  <c r="W70" i="43" s="1"/>
  <c r="W14" i="77"/>
  <c r="W20" i="43"/>
  <c r="X20" i="43" s="1"/>
  <c r="X25" i="43" s="1"/>
  <c r="W65" i="43" l="1"/>
  <c r="W277" i="43"/>
  <c r="W44" i="43"/>
  <c r="W17" i="77"/>
  <c r="W257" i="43" l="1"/>
  <c r="W66" i="43"/>
  <c r="Z67" i="43" s="1"/>
  <c r="X17" i="77"/>
  <c r="W94" i="43"/>
  <c r="X44" i="43"/>
  <c r="R45" i="82" s="1"/>
  <c r="X94" i="43" l="1"/>
  <c r="Y120" i="43"/>
  <c r="Y121" i="43" s="1"/>
  <c r="X121" i="43" l="1"/>
  <c r="AH35" i="43" l="1"/>
  <c r="AH16" i="77"/>
  <c r="AI16" i="77" s="1"/>
  <c r="AI44" i="43" l="1"/>
  <c r="AI94" i="43" s="1"/>
  <c r="AI17" i="77"/>
  <c r="AH17" i="77"/>
  <c r="AH44" i="43"/>
  <c r="AJ44" i="43" l="1"/>
  <c r="AJ94" i="43" s="1"/>
  <c r="AH94" i="43"/>
  <c r="V25" i="43" l="1"/>
  <c r="V46" i="43"/>
  <c r="V49" i="43" l="1"/>
  <c r="V45" i="43"/>
  <c r="V15" i="80" s="1"/>
  <c r="V47" i="43"/>
  <c r="V95" i="43" s="1"/>
  <c r="V53" i="43" l="1"/>
  <c r="V38" i="43"/>
  <c r="V16" i="80"/>
  <c r="W16" i="80" s="1"/>
  <c r="V13" i="80"/>
  <c r="V63" i="43" l="1"/>
  <c r="W63" i="43" s="1"/>
  <c r="X63" i="43" s="1"/>
  <c r="E15" i="82" s="1"/>
  <c r="V61" i="43"/>
  <c r="V62" i="43"/>
  <c r="V106" i="43" s="1"/>
  <c r="Y54" i="43"/>
  <c r="V101" i="43" l="1"/>
  <c r="Y63" i="43"/>
  <c r="V103" i="43" l="1"/>
  <c r="V104" i="43" s="1"/>
  <c r="V105" i="43" s="1"/>
  <c r="V107" i="43"/>
  <c r="Y149" i="43"/>
  <c r="V288" i="43" l="1"/>
  <c r="V291" i="43" s="1"/>
  <c r="V296" i="43" l="1"/>
  <c r="AE42" i="43" l="1"/>
  <c r="AG42" i="43" l="1"/>
  <c r="AE92" i="43"/>
  <c r="AE45" i="43"/>
  <c r="AG92" i="43" l="1"/>
  <c r="AG45" i="43"/>
  <c r="W19" i="78" l="1"/>
  <c r="W43" i="43" l="1"/>
  <c r="W20" i="78"/>
  <c r="W93" i="43" l="1"/>
  <c r="X43" i="43"/>
  <c r="R44" i="82" s="1"/>
  <c r="X20" i="78"/>
  <c r="X17" i="78"/>
  <c r="X93" i="43" l="1"/>
  <c r="X45" i="43"/>
  <c r="R46" i="82" s="1"/>
  <c r="R47" i="82" s="1"/>
  <c r="AL16" i="43" l="1"/>
  <c r="AO8" i="79" l="1"/>
  <c r="AP8" i="79" s="1"/>
  <c r="Z20" i="43"/>
  <c r="AL11" i="43"/>
  <c r="Z120" i="43"/>
  <c r="AM16" i="43" l="1"/>
  <c r="AM11" i="43"/>
  <c r="W38" i="82" s="1"/>
  <c r="AL78" i="43"/>
  <c r="AL14" i="43"/>
  <c r="AO10" i="79"/>
  <c r="AO14" i="79" s="1"/>
  <c r="AR8" i="79"/>
  <c r="AR10" i="79" s="1"/>
  <c r="AP9" i="79"/>
  <c r="AA120" i="43"/>
  <c r="AA20" i="43"/>
  <c r="AA25" i="43" s="1"/>
  <c r="AP10" i="79"/>
  <c r="AA208" i="43"/>
  <c r="AL33" i="43"/>
  <c r="AL37" i="43" s="1"/>
  <c r="AM78" i="43" l="1"/>
  <c r="AM14" i="43"/>
  <c r="AL18" i="43"/>
  <c r="AL39" i="43" s="1"/>
  <c r="AL81" i="43"/>
  <c r="AL235" i="43"/>
  <c r="AL232" i="43"/>
  <c r="AL231" i="43"/>
  <c r="AL239" i="43" s="1"/>
  <c r="AL23" i="43"/>
  <c r="AO23" i="43" s="1"/>
  <c r="AR23" i="43" s="1"/>
  <c r="AU23" i="43" s="1"/>
  <c r="AX23" i="43" s="1"/>
  <c r="BA23" i="43" s="1"/>
  <c r="AL84" i="43"/>
  <c r="AL236" i="43"/>
  <c r="AL237" i="43"/>
  <c r="AL233" i="43"/>
  <c r="AL46" i="43"/>
  <c r="AL117" i="43"/>
  <c r="AL98" i="43"/>
  <c r="AO11" i="43"/>
  <c r="AP11" i="43" s="1"/>
  <c r="AO11" i="79"/>
  <c r="AS8" i="79"/>
  <c r="AS9" i="79" s="1"/>
  <c r="AU8" i="79"/>
  <c r="AX8" i="79" s="1"/>
  <c r="AA121" i="43"/>
  <c r="F28" i="82"/>
  <c r="F29" i="82" s="1"/>
  <c r="AR11" i="79"/>
  <c r="AR11" i="43"/>
  <c r="AR14" i="79"/>
  <c r="AP14" i="79"/>
  <c r="AO33" i="43"/>
  <c r="AP11" i="79"/>
  <c r="AM33" i="43"/>
  <c r="AM37" i="43" s="1"/>
  <c r="AM46" i="43" s="1"/>
  <c r="AL42" i="43"/>
  <c r="AM42" i="43" s="1"/>
  <c r="X38" i="82" l="1"/>
  <c r="AO78" i="43"/>
  <c r="AM117" i="43"/>
  <c r="AM98" i="43"/>
  <c r="AL240" i="43"/>
  <c r="AO232" i="43"/>
  <c r="AR232" i="43" s="1"/>
  <c r="AU232" i="43" s="1"/>
  <c r="AX232" i="43" s="1"/>
  <c r="BA232" i="43" s="1"/>
  <c r="AL45" i="43"/>
  <c r="AL47" i="43"/>
  <c r="AL95" i="43" s="1"/>
  <c r="AL49" i="43"/>
  <c r="AL241" i="43"/>
  <c r="AO233" i="43"/>
  <c r="AR233" i="43" s="1"/>
  <c r="AU233" i="43" s="1"/>
  <c r="AX233" i="43" s="1"/>
  <c r="BA233" i="43" s="1"/>
  <c r="AM231" i="43"/>
  <c r="AM232" i="43"/>
  <c r="AM23" i="43"/>
  <c r="AM233" i="43"/>
  <c r="AM236" i="43"/>
  <c r="AM235" i="43"/>
  <c r="AM237" i="43"/>
  <c r="AM18" i="43"/>
  <c r="AL92" i="43"/>
  <c r="AM92" i="43"/>
  <c r="AL314" i="43"/>
  <c r="AL20" i="43"/>
  <c r="AM20" i="43" s="1"/>
  <c r="AL83" i="43"/>
  <c r="AS10" i="79"/>
  <c r="AS11" i="79" s="1"/>
  <c r="AU10" i="79"/>
  <c r="AU11" i="43" s="1"/>
  <c r="AV8" i="79"/>
  <c r="AV9" i="79" s="1"/>
  <c r="U43" i="82"/>
  <c r="AP78" i="43"/>
  <c r="AP15" i="79"/>
  <c r="AP33" i="43"/>
  <c r="AX10" i="79"/>
  <c r="BA8" i="79"/>
  <c r="AY8" i="79"/>
  <c r="AS14" i="79"/>
  <c r="AR33" i="43"/>
  <c r="AS11" i="43"/>
  <c r="AR78" i="43"/>
  <c r="Y38" i="82" l="1"/>
  <c r="AL242" i="43"/>
  <c r="AL244" i="43" s="1"/>
  <c r="AL120" i="43" s="1"/>
  <c r="AM120" i="43" s="1"/>
  <c r="AM121" i="43" s="1"/>
  <c r="AL25" i="43"/>
  <c r="AM25" i="43"/>
  <c r="AM49" i="43"/>
  <c r="AL53" i="43"/>
  <c r="AL38" i="43"/>
  <c r="AM39" i="43"/>
  <c r="AM45" i="43"/>
  <c r="AM47" i="43"/>
  <c r="AM95" i="43" s="1"/>
  <c r="AM314" i="43"/>
  <c r="AU11" i="79"/>
  <c r="AU14" i="79"/>
  <c r="AV14" i="79" s="1"/>
  <c r="AV10" i="79"/>
  <c r="AV11" i="79" s="1"/>
  <c r="AY9" i="79"/>
  <c r="AS15" i="79"/>
  <c r="AS33" i="43"/>
  <c r="AY10" i="79"/>
  <c r="AS78" i="43"/>
  <c r="BA10" i="79"/>
  <c r="BB8" i="79"/>
  <c r="BB9" i="79" s="1"/>
  <c r="AU78" i="43"/>
  <c r="AV11" i="43"/>
  <c r="Z38" i="82" s="1"/>
  <c r="AB38" i="82" s="1"/>
  <c r="AX11" i="79"/>
  <c r="AX11" i="43"/>
  <c r="AX14" i="79"/>
  <c r="AV78" i="43" l="1"/>
  <c r="AL121" i="43"/>
  <c r="AM38" i="43"/>
  <c r="AM152" i="43" s="1"/>
  <c r="AL152" i="43"/>
  <c r="AL54" i="43"/>
  <c r="AL151" i="43"/>
  <c r="AL61" i="43"/>
  <c r="AM53" i="43"/>
  <c r="AL255" i="43"/>
  <c r="AL256" i="43"/>
  <c r="AU33" i="43"/>
  <c r="AY11" i="79"/>
  <c r="W43" i="82"/>
  <c r="W49" i="82" s="1"/>
  <c r="X16" i="80"/>
  <c r="AY14" i="79"/>
  <c r="AX33" i="43"/>
  <c r="AV15" i="79"/>
  <c r="AV33" i="43"/>
  <c r="BB10" i="79"/>
  <c r="BB11" i="79" s="1"/>
  <c r="BA11" i="79"/>
  <c r="BA11" i="43"/>
  <c r="BA14" i="79"/>
  <c r="AX78" i="43"/>
  <c r="AY11" i="43"/>
  <c r="W15" i="80"/>
  <c r="AY78" i="43" l="1"/>
  <c r="AM62" i="43"/>
  <c r="AM151" i="43"/>
  <c r="AM256" i="43"/>
  <c r="AM255" i="43"/>
  <c r="AL101" i="43"/>
  <c r="AM61" i="43"/>
  <c r="AY15" i="79"/>
  <c r="AY33" i="43"/>
  <c r="BB14" i="79"/>
  <c r="BA33" i="43"/>
  <c r="BB11" i="43"/>
  <c r="BA78" i="43"/>
  <c r="W12" i="80"/>
  <c r="X13" i="80"/>
  <c r="BB78" i="43" l="1"/>
  <c r="AM101" i="43"/>
  <c r="AM103" i="43" s="1"/>
  <c r="AL103" i="43"/>
  <c r="AL62" i="43"/>
  <c r="AL106" i="43" s="1"/>
  <c r="AM106" i="43"/>
  <c r="W13" i="80"/>
  <c r="W36" i="43"/>
  <c r="W37" i="43" s="1"/>
  <c r="BB15" i="79"/>
  <c r="BB33" i="43"/>
  <c r="AM107" i="43" l="1"/>
  <c r="AM104" i="43"/>
  <c r="AL104" i="43"/>
  <c r="AL105" i="43" s="1"/>
  <c r="AM105" i="43" s="1"/>
  <c r="AL107" i="43"/>
  <c r="W39" i="43"/>
  <c r="W98" i="43"/>
  <c r="W46" i="43"/>
  <c r="W25" i="43"/>
  <c r="W49" i="43" l="1"/>
  <c r="W47" i="43"/>
  <c r="W95" i="43" s="1"/>
  <c r="W45" i="43"/>
  <c r="X66" i="43"/>
  <c r="W53" i="43" l="1"/>
  <c r="W38" i="43"/>
  <c r="X49" i="43"/>
  <c r="R50" i="82" s="1"/>
  <c r="AA67" i="43"/>
  <c r="X277" i="43"/>
  <c r="X281" i="43" s="1"/>
  <c r="X225" i="43"/>
  <c r="R29" i="82" l="1"/>
  <c r="E17" i="82"/>
  <c r="W152" i="43"/>
  <c r="X38" i="43"/>
  <c r="W151" i="43"/>
  <c r="W255" i="43"/>
  <c r="W256" i="43"/>
  <c r="W61" i="43"/>
  <c r="X53" i="43"/>
  <c r="W281" i="43"/>
  <c r="AA283" i="43"/>
  <c r="S33" i="82" s="1"/>
  <c r="X227" i="43"/>
  <c r="X250" i="43"/>
  <c r="X251" i="43"/>
  <c r="X296" i="43"/>
  <c r="X295" i="43"/>
  <c r="X294" i="43"/>
  <c r="E9" i="82" l="1"/>
  <c r="R40" i="82"/>
  <c r="W101" i="43"/>
  <c r="X61" i="43"/>
  <c r="E13" i="82" s="1"/>
  <c r="X152" i="43"/>
  <c r="R58" i="82" s="1"/>
  <c r="X256" i="43"/>
  <c r="X151" i="43"/>
  <c r="R57" i="82" s="1"/>
  <c r="X62" i="43"/>
  <c r="E14" i="82" s="1"/>
  <c r="Z283" i="43"/>
  <c r="W268" i="43"/>
  <c r="W295" i="43"/>
  <c r="W294" i="43"/>
  <c r="W296" i="43"/>
  <c r="X106" i="43" l="1"/>
  <c r="W62" i="43"/>
  <c r="W106" i="43" s="1"/>
  <c r="W107" i="43" s="1"/>
  <c r="W103" i="43"/>
  <c r="X101" i="43"/>
  <c r="X103" i="43" s="1"/>
  <c r="W104" i="43" l="1"/>
  <c r="W105" i="43" s="1"/>
  <c r="X105" i="43" s="1"/>
  <c r="X107" i="43"/>
  <c r="X104" i="43"/>
  <c r="X155" i="43"/>
  <c r="X157" i="43" s="1"/>
  <c r="X158" i="43" s="1"/>
  <c r="AZ158" i="43" l="1"/>
  <c r="BA158" i="43" s="1"/>
  <c r="X191" i="43"/>
  <c r="X200" i="43" s="1"/>
  <c r="X201" i="43" l="1"/>
  <c r="X219" i="43"/>
  <c r="X255" i="43"/>
  <c r="R61" i="82" s="1"/>
  <c r="X248" i="43" l="1"/>
  <c r="X226" i="43"/>
  <c r="X179" i="43" l="1"/>
  <c r="Y177" i="43" s="1"/>
  <c r="Y198" i="43" l="1"/>
  <c r="Y136" i="43" l="1"/>
  <c r="Y137" i="43" s="1"/>
  <c r="Y225" i="43"/>
  <c r="Y251" i="43" l="1"/>
  <c r="Y250" i="43"/>
  <c r="Y215" i="43"/>
  <c r="Y217" i="43" s="1"/>
  <c r="Y191" i="43"/>
  <c r="Y200" i="43" s="1"/>
  <c r="Y255" i="43" l="1"/>
  <c r="Y219" i="43"/>
  <c r="Y288" i="43"/>
  <c r="Y291" i="43" l="1"/>
  <c r="AB290" i="43"/>
  <c r="Y248" i="43"/>
  <c r="Y226" i="43"/>
  <c r="Y290" i="43"/>
  <c r="Y296" i="43"/>
  <c r="Z248" i="43" l="1"/>
  <c r="C49" i="83" l="1"/>
  <c r="C50" i="83" s="1"/>
  <c r="C100" i="83" l="1"/>
  <c r="D96" i="83" s="1"/>
  <c r="Z12" i="82"/>
  <c r="Z13" i="82" s="1"/>
  <c r="D91" i="83" l="1"/>
  <c r="D98" i="83"/>
  <c r="D92" i="83"/>
  <c r="D95" i="83"/>
  <c r="AA32" i="77" l="1"/>
  <c r="AA26" i="77"/>
  <c r="AA30" i="77" l="1"/>
  <c r="AA89" i="43" s="1"/>
  <c r="AD30" i="77"/>
  <c r="AD89" i="43" s="1"/>
  <c r="AA33" i="77"/>
  <c r="AU33" i="77" l="1"/>
  <c r="AX33" i="77" s="1"/>
  <c r="BA33" i="77" s="1"/>
  <c r="AO26" i="77" l="1"/>
  <c r="AO9" i="77" s="1"/>
  <c r="AP26" i="77" l="1"/>
  <c r="AR26" i="77"/>
  <c r="AO32" i="77"/>
  <c r="AP32" i="77" l="1"/>
  <c r="AO13" i="77"/>
  <c r="AS26" i="77"/>
  <c r="AR32" i="77"/>
  <c r="AU26" i="77"/>
  <c r="AR9" i="77"/>
  <c r="AP30" i="77"/>
  <c r="AP9" i="77"/>
  <c r="AO10" i="77"/>
  <c r="AO13" i="43"/>
  <c r="AO8" i="77"/>
  <c r="AO5" i="77" s="1"/>
  <c r="AP10" i="77" l="1"/>
  <c r="U45" i="82"/>
  <c r="AS30" i="77"/>
  <c r="AS9" i="77"/>
  <c r="AS10" i="77" s="1"/>
  <c r="AP5" i="77"/>
  <c r="AP6" i="77" s="1"/>
  <c r="AO6" i="77"/>
  <c r="AO35" i="43"/>
  <c r="AO14" i="77"/>
  <c r="AO16" i="77"/>
  <c r="AP29" i="77"/>
  <c r="AP89" i="43"/>
  <c r="AR10" i="77"/>
  <c r="AR13" i="43"/>
  <c r="AP33" i="77"/>
  <c r="AP13" i="77"/>
  <c r="AR8" i="77"/>
  <c r="AP8" i="77"/>
  <c r="AV26" i="77"/>
  <c r="AU9" i="77"/>
  <c r="AU32" i="77"/>
  <c r="AX26" i="77"/>
  <c r="AO80" i="43"/>
  <c r="AP13" i="43"/>
  <c r="AS32" i="77"/>
  <c r="AR13" i="77"/>
  <c r="X40" i="82" l="1"/>
  <c r="V45" i="82"/>
  <c r="V51" i="82" s="1"/>
  <c r="AV30" i="77"/>
  <c r="AV9" i="77"/>
  <c r="AV10" i="77" s="1"/>
  <c r="AS8" i="77"/>
  <c r="AU8" i="77"/>
  <c r="AU5" i="77" s="1"/>
  <c r="AR80" i="43"/>
  <c r="AS13" i="43"/>
  <c r="AP16" i="77"/>
  <c r="AO17" i="77"/>
  <c r="AO44" i="43"/>
  <c r="AS33" i="77"/>
  <c r="AS13" i="77"/>
  <c r="AR5" i="77"/>
  <c r="AR14" i="77"/>
  <c r="AR35" i="43"/>
  <c r="AR16" i="77"/>
  <c r="AY26" i="77"/>
  <c r="AX32" i="77"/>
  <c r="AX9" i="77"/>
  <c r="BA26" i="77"/>
  <c r="AS89" i="43"/>
  <c r="AS29" i="77"/>
  <c r="AV32" i="77"/>
  <c r="AU13" i="77"/>
  <c r="AP80" i="43"/>
  <c r="AU10" i="77"/>
  <c r="AU13" i="43"/>
  <c r="AP14" i="77"/>
  <c r="AP35" i="43"/>
  <c r="Y40" i="82" l="1"/>
  <c r="AP17" i="77"/>
  <c r="W45" i="82"/>
  <c r="W51" i="82" s="1"/>
  <c r="AV13" i="77"/>
  <c r="AV33" i="77"/>
  <c r="AY30" i="77"/>
  <c r="AY9" i="77"/>
  <c r="AY10" i="77" s="1"/>
  <c r="AS80" i="43"/>
  <c r="AU80" i="43"/>
  <c r="AV13" i="43"/>
  <c r="AS5" i="77"/>
  <c r="AS6" i="77" s="1"/>
  <c r="AR6" i="77"/>
  <c r="BB26" i="77"/>
  <c r="BA9" i="77"/>
  <c r="BA32" i="77"/>
  <c r="AS14" i="77"/>
  <c r="AS35" i="43"/>
  <c r="AX10" i="77"/>
  <c r="AX13" i="43"/>
  <c r="AR17" i="77"/>
  <c r="AS16" i="77"/>
  <c r="AS17" i="77" s="1"/>
  <c r="AR44" i="43"/>
  <c r="AO94" i="43"/>
  <c r="AP44" i="43"/>
  <c r="AU6" i="77"/>
  <c r="AV5" i="77"/>
  <c r="AU35" i="43"/>
  <c r="AU14" i="77"/>
  <c r="AU16" i="77"/>
  <c r="AY32" i="77"/>
  <c r="AX13" i="77"/>
  <c r="AV8" i="77"/>
  <c r="AX8" i="77"/>
  <c r="AX5" i="77" s="1"/>
  <c r="AV89" i="43"/>
  <c r="AV29" i="77"/>
  <c r="Z40" i="82" l="1"/>
  <c r="AB40" i="82" s="1"/>
  <c r="X45" i="82"/>
  <c r="X51" i="82" s="1"/>
  <c r="AV6" i="77"/>
  <c r="AX6" i="77"/>
  <c r="AY5" i="77"/>
  <c r="AY6" i="77" s="1"/>
  <c r="AP94" i="43"/>
  <c r="BA8" i="77"/>
  <c r="BA5" i="77" s="1"/>
  <c r="AY8" i="77"/>
  <c r="BB32" i="77"/>
  <c r="BA13" i="77"/>
  <c r="AU17" i="77"/>
  <c r="AV16" i="77"/>
  <c r="AV17" i="77" s="1"/>
  <c r="AU44" i="43"/>
  <c r="BA10" i="77"/>
  <c r="BA13" i="43"/>
  <c r="AR94" i="43"/>
  <c r="AS44" i="43"/>
  <c r="AX14" i="77"/>
  <c r="AX35" i="43"/>
  <c r="AX16" i="77"/>
  <c r="AY33" i="77"/>
  <c r="AY13" i="77"/>
  <c r="AX80" i="43"/>
  <c r="AY13" i="43"/>
  <c r="BB30" i="77"/>
  <c r="BB9" i="77"/>
  <c r="BB10" i="77" s="1"/>
  <c r="AV80" i="43"/>
  <c r="AY89" i="43"/>
  <c r="AY29" i="77"/>
  <c r="AV14" i="77"/>
  <c r="AV35" i="43"/>
  <c r="Y45" i="82" l="1"/>
  <c r="Y51" i="82" s="1"/>
  <c r="AU94" i="43"/>
  <c r="AV44" i="43"/>
  <c r="BB89" i="43"/>
  <c r="BB29" i="77"/>
  <c r="AY80" i="43"/>
  <c r="BA80" i="43"/>
  <c r="BB13" i="43"/>
  <c r="AS94" i="43"/>
  <c r="BA6" i="77"/>
  <c r="BB5" i="77"/>
  <c r="BB6" i="77" s="1"/>
  <c r="BA35" i="43"/>
  <c r="BA14" i="77"/>
  <c r="BA16" i="77"/>
  <c r="BB8" i="77"/>
  <c r="AX17" i="77"/>
  <c r="AY16" i="77"/>
  <c r="AY17" i="77" s="1"/>
  <c r="AX44" i="43"/>
  <c r="AY35" i="43"/>
  <c r="AY14" i="77"/>
  <c r="BB33" i="77"/>
  <c r="BB13" i="77"/>
  <c r="Z45" i="82" l="1"/>
  <c r="AV94" i="43"/>
  <c r="BB14" i="77"/>
  <c r="BB35" i="43"/>
  <c r="AX94" i="43"/>
  <c r="AY44" i="43"/>
  <c r="BA17" i="77"/>
  <c r="BB16" i="77"/>
  <c r="BB17" i="77" s="1"/>
  <c r="BA44" i="43"/>
  <c r="BB80" i="43"/>
  <c r="AB45" i="82" l="1"/>
  <c r="Z51" i="82"/>
  <c r="AY94" i="43"/>
  <c r="BA94" i="43"/>
  <c r="BB44" i="43"/>
  <c r="BB94" i="43" l="1"/>
  <c r="Z19" i="78" l="1"/>
  <c r="Z43" i="43" s="1"/>
  <c r="Z93" i="43" l="1"/>
  <c r="AA43" i="43"/>
  <c r="Z20" i="78"/>
  <c r="AA93" i="43" l="1"/>
  <c r="S44" i="82"/>
  <c r="Z17" i="79"/>
  <c r="Z42" i="43" s="1"/>
  <c r="Z92" i="43" l="1"/>
  <c r="AA42" i="43"/>
  <c r="Z18" i="79"/>
  <c r="S43" i="82" l="1"/>
  <c r="AA45" i="43"/>
  <c r="AA92" i="43"/>
  <c r="S46" i="82" l="1"/>
  <c r="S47" i="82" s="1"/>
  <c r="R8" i="83"/>
  <c r="R7" i="83" l="1"/>
  <c r="AA276" i="43" l="1"/>
  <c r="AA280" i="43" s="1"/>
  <c r="AA324" i="43"/>
  <c r="AD282" i="43" l="1"/>
  <c r="F20" i="82"/>
  <c r="AA326" i="43"/>
  <c r="AA327" i="43" s="1"/>
  <c r="AA282" i="43"/>
  <c r="Z280" i="43"/>
  <c r="Z282" i="43" l="1"/>
  <c r="AC282" i="43"/>
  <c r="AB322" i="43"/>
  <c r="AB327" i="43" s="1"/>
  <c r="AC322" i="43" s="1"/>
  <c r="AC327" i="43" s="1"/>
  <c r="AD322" i="43"/>
  <c r="AD327" i="43" s="1"/>
  <c r="AA225" i="43"/>
  <c r="AE322" i="43" l="1"/>
  <c r="AE327" i="43" s="1"/>
  <c r="AF322" i="43" s="1"/>
  <c r="AF327" i="43" s="1"/>
  <c r="AG322" i="43"/>
  <c r="AG327" i="43" s="1"/>
  <c r="AJ322" i="43" s="1"/>
  <c r="AJ327" i="43" s="1"/>
  <c r="AA227" i="43"/>
  <c r="AK322" i="43" l="1"/>
  <c r="AK327" i="43" s="1"/>
  <c r="AL322" i="43" s="1"/>
  <c r="AL327" i="43" s="1"/>
  <c r="AM322" i="43"/>
  <c r="AM327" i="43" s="1"/>
  <c r="AN322" i="43" s="1"/>
  <c r="AN327" i="43" s="1"/>
  <c r="R9" i="83"/>
  <c r="Z146" i="43" l="1"/>
  <c r="Z148" i="43" s="1"/>
  <c r="Z249" i="43" l="1"/>
  <c r="Z251" i="43"/>
  <c r="Z250" i="43"/>
  <c r="Z149" i="43"/>
  <c r="Z155" i="43"/>
  <c r="AA146" i="43"/>
  <c r="AA148" i="43" s="1"/>
  <c r="S56" i="82" s="1"/>
  <c r="AA136" i="43"/>
  <c r="AA137" i="43" s="1"/>
  <c r="AA139" i="43" s="1"/>
  <c r="Z139" i="43" s="1"/>
  <c r="AB154" i="43" l="1"/>
  <c r="AD154" i="43" s="1"/>
  <c r="AD157" i="43" s="1"/>
  <c r="AD158" i="43" s="1"/>
  <c r="AD149" i="43"/>
  <c r="AA251" i="43"/>
  <c r="AA250" i="43"/>
  <c r="AA249" i="43"/>
  <c r="AD256" i="43" s="1"/>
  <c r="Z157" i="43"/>
  <c r="Z158" i="43" s="1"/>
  <c r="AA155" i="43"/>
  <c r="AA157" i="43" s="1"/>
  <c r="AA158" i="43" s="1"/>
  <c r="AA149" i="43"/>
  <c r="AA215" i="43"/>
  <c r="AA217" i="43" s="1"/>
  <c r="AA218" i="43" s="1"/>
  <c r="AA191" i="43"/>
  <c r="AA198" i="43" l="1"/>
  <c r="AA200" i="43" s="1"/>
  <c r="AD255" i="43" s="1"/>
  <c r="T61" i="82" s="1"/>
  <c r="Z179" i="43"/>
  <c r="AA179" i="43"/>
  <c r="AA219" i="43" l="1"/>
  <c r="Z177" i="43"/>
  <c r="AA177" i="43"/>
  <c r="AA248" i="43" l="1"/>
  <c r="AA226" i="43"/>
  <c r="AA201" i="43"/>
  <c r="Y13" i="80" l="1"/>
  <c r="Y15" i="80"/>
  <c r="Z12" i="80"/>
  <c r="Z15" i="80" s="1"/>
  <c r="Z16" i="80" s="1"/>
  <c r="Z13" i="80" l="1"/>
  <c r="Z36" i="43"/>
  <c r="Y16" i="80"/>
  <c r="Z37" i="43" l="1"/>
  <c r="Z39" i="43" s="1"/>
  <c r="Z25" i="43" l="1"/>
  <c r="Z46" i="43"/>
  <c r="Z117" i="43"/>
  <c r="Z121" i="43" s="1"/>
  <c r="Z98" i="43"/>
  <c r="Z47" i="43" l="1"/>
  <c r="Z95" i="43" s="1"/>
  <c r="Z45" i="43"/>
  <c r="Z314" i="43"/>
  <c r="Z49" i="43"/>
  <c r="Z38" i="43" s="1"/>
  <c r="AA49" i="43" l="1"/>
  <c r="S50" i="82" s="1"/>
  <c r="Z53" i="43"/>
  <c r="AC54" i="43" s="1"/>
  <c r="AA38" i="43"/>
  <c r="Z152" i="43"/>
  <c r="F9" i="82" l="1"/>
  <c r="S40" i="82"/>
  <c r="Z61" i="43"/>
  <c r="AA61" i="43" s="1"/>
  <c r="F13" i="82" s="1"/>
  <c r="Z256" i="43"/>
  <c r="Z255" i="43"/>
  <c r="Z54" i="43"/>
  <c r="Z63" i="43" s="1"/>
  <c r="AB63" i="43" s="1"/>
  <c r="AA53" i="43"/>
  <c r="AD54" i="43" s="1"/>
  <c r="Z151" i="43"/>
  <c r="U46" i="82"/>
  <c r="AA152" i="43"/>
  <c r="S58" i="82" s="1"/>
  <c r="AA62" i="43" l="1"/>
  <c r="Z62" i="43" s="1"/>
  <c r="Z106" i="43" s="1"/>
  <c r="Z101" i="43"/>
  <c r="AA101" i="43" s="1"/>
  <c r="AA103" i="43" s="1"/>
  <c r="AA63" i="43"/>
  <c r="F15" i="82" s="1"/>
  <c r="AA54" i="43"/>
  <c r="AA151" i="43"/>
  <c r="S57" i="82" s="1"/>
  <c r="AA255" i="43"/>
  <c r="S61" i="82" s="1"/>
  <c r="AA256" i="43"/>
  <c r="AC63" i="43"/>
  <c r="AE63" i="43" s="1"/>
  <c r="AF63" i="43" s="1"/>
  <c r="AG63" i="43" s="1"/>
  <c r="AA106" i="43" l="1"/>
  <c r="AA104" i="43" s="1"/>
  <c r="F14" i="82"/>
  <c r="Z103" i="43"/>
  <c r="Z104" i="43" s="1"/>
  <c r="Z105" i="43" s="1"/>
  <c r="AA105" i="43" s="1"/>
  <c r="AD63" i="43"/>
  <c r="Z107" i="43"/>
  <c r="AA107" i="43" l="1"/>
  <c r="G15" i="82"/>
  <c r="AB208" i="43" l="1"/>
  <c r="AB120" i="43" l="1"/>
  <c r="AB121" i="43" l="1"/>
  <c r="AD120" i="43"/>
  <c r="AD121" i="43" l="1"/>
  <c r="G28" i="82"/>
  <c r="G29" i="82" s="1"/>
  <c r="AO5" i="78"/>
  <c r="AR5" i="78" l="1"/>
  <c r="AP5" i="78"/>
  <c r="AQ5" i="78"/>
  <c r="AH12" i="78" l="1"/>
  <c r="AK13" i="78" s="1"/>
  <c r="AP9" i="78"/>
  <c r="AP88" i="43" s="1"/>
  <c r="AU5" i="78"/>
  <c r="AT5" i="78"/>
  <c r="AS5" i="78"/>
  <c r="AH17" i="78" l="1"/>
  <c r="AH13" i="78"/>
  <c r="AX5" i="78"/>
  <c r="AS9" i="78"/>
  <c r="AS88" i="43" s="1"/>
  <c r="AV5" i="78"/>
  <c r="AW5" i="78"/>
  <c r="AO11" i="78" l="1"/>
  <c r="BA5" i="78"/>
  <c r="AV9" i="78"/>
  <c r="AV88" i="43" s="1"/>
  <c r="AY5" i="78"/>
  <c r="AY9" i="78" s="1"/>
  <c r="AY88" i="43" s="1"/>
  <c r="AZ5" i="78"/>
  <c r="AH12" i="43"/>
  <c r="AH16" i="43"/>
  <c r="AJ12" i="43" l="1"/>
  <c r="V39" i="82" s="1"/>
  <c r="AK79" i="43"/>
  <c r="AH14" i="43"/>
  <c r="AO12" i="78"/>
  <c r="S8" i="83"/>
  <c r="AO16" i="43"/>
  <c r="BB5" i="78"/>
  <c r="BB9" i="78" s="1"/>
  <c r="BB88" i="43" s="1"/>
  <c r="AO231" i="43"/>
  <c r="AR231" i="43" s="1"/>
  <c r="AU231" i="43" s="1"/>
  <c r="AX231" i="43" s="1"/>
  <c r="BA231" i="43" s="1"/>
  <c r="AH79" i="43"/>
  <c r="AJ79" i="43" l="1"/>
  <c r="AM79" i="43"/>
  <c r="AJ14" i="43"/>
  <c r="AJ18" i="43" s="1"/>
  <c r="AK84" i="43"/>
  <c r="AK81" i="43"/>
  <c r="AJ236" i="43"/>
  <c r="AJ237" i="43"/>
  <c r="AJ232" i="43"/>
  <c r="AP11" i="78"/>
  <c r="AP16" i="43" s="1"/>
  <c r="AQ11" i="78"/>
  <c r="AQ12" i="78" s="1"/>
  <c r="AH208" i="43"/>
  <c r="AH23" i="43"/>
  <c r="AQ23" i="43" s="1"/>
  <c r="AT23" i="43" s="1"/>
  <c r="AW23" i="43" s="1"/>
  <c r="AZ23" i="43" s="1"/>
  <c r="AH18" i="43"/>
  <c r="AH84" i="43"/>
  <c r="AH81" i="43"/>
  <c r="H45" i="82"/>
  <c r="U44" i="82"/>
  <c r="U47" i="82" s="1"/>
  <c r="H46" i="82"/>
  <c r="AO16" i="78"/>
  <c r="AO13" i="78"/>
  <c r="AO12" i="43"/>
  <c r="J45" i="82"/>
  <c r="AJ235" i="43" l="1"/>
  <c r="AJ98" i="43"/>
  <c r="AJ233" i="43"/>
  <c r="AJ84" i="43"/>
  <c r="AJ19" i="43"/>
  <c r="AM83" i="43"/>
  <c r="AM19" i="43"/>
  <c r="AJ47" i="43"/>
  <c r="AJ95" i="43" s="1"/>
  <c r="AM84" i="43"/>
  <c r="AM81" i="43"/>
  <c r="AJ23" i="43"/>
  <c r="AJ81" i="43"/>
  <c r="AJ231" i="43"/>
  <c r="AK83" i="43"/>
  <c r="AK19" i="43"/>
  <c r="AQ16" i="43"/>
  <c r="AP16" i="78"/>
  <c r="AJ39" i="43"/>
  <c r="AJ83" i="43"/>
  <c r="AR11" i="78"/>
  <c r="AS11" i="78" s="1"/>
  <c r="AS12" i="78" s="1"/>
  <c r="AP12" i="78"/>
  <c r="AH20" i="43"/>
  <c r="AJ20" i="43" s="1"/>
  <c r="AJ25" i="43" s="1"/>
  <c r="AH242" i="43"/>
  <c r="AI244" i="43" s="1"/>
  <c r="AI120" i="43" s="1"/>
  <c r="AI121" i="43" s="1"/>
  <c r="AH83" i="43"/>
  <c r="H7" i="82"/>
  <c r="AH236" i="43"/>
  <c r="H11" i="82"/>
  <c r="AH235" i="43"/>
  <c r="T8" i="83"/>
  <c r="AO14" i="43"/>
  <c r="AO79" i="43"/>
  <c r="AP12" i="43"/>
  <c r="AO18" i="78"/>
  <c r="AO34" i="43"/>
  <c r="AO19" i="78"/>
  <c r="AQ16" i="78"/>
  <c r="AQ12" i="43"/>
  <c r="AQ13" i="78"/>
  <c r="U32" i="82"/>
  <c r="J55" i="82"/>
  <c r="J59" i="82" s="1"/>
  <c r="J46" i="82"/>
  <c r="X39" i="82" l="1"/>
  <c r="AP13" i="78"/>
  <c r="AR12" i="78"/>
  <c r="AR16" i="78" s="1"/>
  <c r="AS16" i="78" s="1"/>
  <c r="AS16" i="43"/>
  <c r="AT11" i="78"/>
  <c r="AT16" i="43" s="1"/>
  <c r="AU11" i="78"/>
  <c r="AU12" i="78" s="1"/>
  <c r="AR16" i="43"/>
  <c r="AS13" i="78"/>
  <c r="H55" i="82"/>
  <c r="H59" i="82" s="1"/>
  <c r="AH237" i="43"/>
  <c r="H28" i="82"/>
  <c r="W44" i="82"/>
  <c r="W50" i="82" s="1"/>
  <c r="H8" i="82"/>
  <c r="AO18" i="43"/>
  <c r="AO19" i="43" s="1"/>
  <c r="AO22" i="43"/>
  <c r="AO240" i="43"/>
  <c r="AO188" i="43" s="1"/>
  <c r="AP188" i="43" s="1"/>
  <c r="K45" i="82" s="1"/>
  <c r="AO81" i="43"/>
  <c r="AO241" i="43"/>
  <c r="AO203" i="43" s="1"/>
  <c r="AO239" i="43"/>
  <c r="AO84" i="43"/>
  <c r="AP17" i="78"/>
  <c r="AP18" i="78"/>
  <c r="AP34" i="43"/>
  <c r="AO21" i="78"/>
  <c r="AO43" i="43"/>
  <c r="AO20" i="78"/>
  <c r="AP14" i="43"/>
  <c r="AP79" i="43"/>
  <c r="AQ19" i="78"/>
  <c r="AQ18" i="78"/>
  <c r="AQ34" i="43"/>
  <c r="S7" i="83"/>
  <c r="AQ14" i="43"/>
  <c r="AQ79" i="43"/>
  <c r="AR12" i="43" l="1"/>
  <c r="AS12" i="43" s="1"/>
  <c r="AR13" i="78"/>
  <c r="AP19" i="78"/>
  <c r="AP43" i="43"/>
  <c r="AT12" i="78"/>
  <c r="AT12" i="43" s="1"/>
  <c r="AV11" i="78"/>
  <c r="AV16" i="43" s="1"/>
  <c r="AW11" i="78"/>
  <c r="AW12" i="78" s="1"/>
  <c r="AU16" i="43"/>
  <c r="J7" i="82"/>
  <c r="W41" i="82" s="1"/>
  <c r="K7" i="82"/>
  <c r="X41" i="82" s="1"/>
  <c r="U57" i="82"/>
  <c r="H9" i="82"/>
  <c r="AH244" i="43"/>
  <c r="AH120" i="43" s="1"/>
  <c r="AJ120" i="43" s="1"/>
  <c r="H25" i="82"/>
  <c r="AP22" i="43"/>
  <c r="AP23" i="43" s="1"/>
  <c r="AO236" i="43"/>
  <c r="AP232" i="43"/>
  <c r="AP240" i="43"/>
  <c r="AQ240" i="43"/>
  <c r="AQ188" i="43" s="1"/>
  <c r="AQ236" i="43" s="1"/>
  <c r="AQ84" i="43"/>
  <c r="AQ18" i="43"/>
  <c r="AQ19" i="43" s="1"/>
  <c r="AQ81" i="43"/>
  <c r="AQ22" i="43"/>
  <c r="AQ239" i="43"/>
  <c r="AQ241" i="43"/>
  <c r="AQ203" i="43" s="1"/>
  <c r="AQ208" i="43" s="1"/>
  <c r="AS17" i="78"/>
  <c r="AS18" i="78"/>
  <c r="AS34" i="43"/>
  <c r="AO93" i="43"/>
  <c r="AU16" i="78"/>
  <c r="AU13" i="78"/>
  <c r="AU12" i="43"/>
  <c r="AO237" i="43"/>
  <c r="AP18" i="43"/>
  <c r="AP236" i="43"/>
  <c r="AP84" i="43"/>
  <c r="X32" i="82" s="1"/>
  <c r="AP81" i="43"/>
  <c r="AO189" i="43"/>
  <c r="AP189" i="43" s="1"/>
  <c r="K46" i="82" s="1"/>
  <c r="AO242" i="43"/>
  <c r="AQ43" i="43"/>
  <c r="AQ21" i="78"/>
  <c r="AQ20" i="78"/>
  <c r="AR19" i="78"/>
  <c r="AR34" i="43"/>
  <c r="AR18" i="78"/>
  <c r="AB146" i="43"/>
  <c r="AB148" i="43" s="1"/>
  <c r="AP203" i="43"/>
  <c r="K55" i="82" s="1"/>
  <c r="K59" i="82" s="1"/>
  <c r="AO208" i="43"/>
  <c r="AO20" i="43"/>
  <c r="AO83" i="43"/>
  <c r="Y39" i="82" l="1"/>
  <c r="AS79" i="43"/>
  <c r="AS14" i="43"/>
  <c r="L7" i="82" s="1"/>
  <c r="Y41" i="82" s="1"/>
  <c r="AR14" i="43"/>
  <c r="AR241" i="43" s="1"/>
  <c r="AR203" i="43" s="1"/>
  <c r="AR237" i="43" s="1"/>
  <c r="AP19" i="43"/>
  <c r="AR79" i="43"/>
  <c r="AX11" i="78"/>
  <c r="AX12" i="78" s="1"/>
  <c r="AV12" i="78"/>
  <c r="AV13" i="78" s="1"/>
  <c r="AT16" i="78"/>
  <c r="AT19" i="78" s="1"/>
  <c r="AT13" i="78"/>
  <c r="AW16" i="43"/>
  <c r="J8" i="82"/>
  <c r="AP20" i="78"/>
  <c r="AP21" i="78"/>
  <c r="AJ121" i="43"/>
  <c r="X44" i="82"/>
  <c r="X50" i="82" s="1"/>
  <c r="AP83" i="43"/>
  <c r="K8" i="82"/>
  <c r="AC149" i="43"/>
  <c r="AE149" i="43"/>
  <c r="H15" i="82"/>
  <c r="T7" i="83"/>
  <c r="H13" i="82"/>
  <c r="AB249" i="43"/>
  <c r="AB250" i="43"/>
  <c r="AB251" i="43"/>
  <c r="AB155" i="43"/>
  <c r="AB152" i="43"/>
  <c r="AB149" i="43"/>
  <c r="AQ93" i="43"/>
  <c r="AP239" i="43"/>
  <c r="AP231" i="43"/>
  <c r="AP208" i="43"/>
  <c r="AP233" i="43"/>
  <c r="AP241" i="43"/>
  <c r="AS19" i="78"/>
  <c r="AR43" i="43"/>
  <c r="AR21" i="78"/>
  <c r="AR20" i="78"/>
  <c r="AO235" i="43"/>
  <c r="AU14" i="43"/>
  <c r="AU79" i="43"/>
  <c r="AB215" i="43"/>
  <c r="AB217" i="43" s="1"/>
  <c r="AP235" i="43"/>
  <c r="AW16" i="78"/>
  <c r="AW12" i="43"/>
  <c r="AW13" i="78"/>
  <c r="AQ237" i="43"/>
  <c r="AB191" i="43"/>
  <c r="AO244" i="43"/>
  <c r="AO120" i="43" s="1"/>
  <c r="AP237" i="43"/>
  <c r="AU19" i="78"/>
  <c r="AU34" i="43"/>
  <c r="AU18" i="78"/>
  <c r="AP93" i="43"/>
  <c r="AP20" i="43"/>
  <c r="AV12" i="43"/>
  <c r="AT79" i="43"/>
  <c r="AT14" i="43"/>
  <c r="AQ189" i="43"/>
  <c r="AQ242" i="43"/>
  <c r="AQ20" i="43"/>
  <c r="AQ83" i="43"/>
  <c r="AS84" i="43" l="1"/>
  <c r="Y32" i="82" s="1"/>
  <c r="Z39" i="82"/>
  <c r="AB39" i="82" s="1"/>
  <c r="AR240" i="43"/>
  <c r="AR188" i="43" s="1"/>
  <c r="AS188" i="43" s="1"/>
  <c r="L45" i="82" s="1"/>
  <c r="AR239" i="43"/>
  <c r="AR189" i="43" s="1"/>
  <c r="AR235" i="43" s="1"/>
  <c r="AS81" i="43"/>
  <c r="AR81" i="43"/>
  <c r="AS18" i="43"/>
  <c r="L8" i="82" s="1"/>
  <c r="AR22" i="43"/>
  <c r="AS22" i="43" s="1"/>
  <c r="AS23" i="43" s="1"/>
  <c r="AR18" i="43"/>
  <c r="AR19" i="43" s="1"/>
  <c r="AY11" i="78"/>
  <c r="AY16" i="43" s="1"/>
  <c r="AR84" i="43"/>
  <c r="AX16" i="43"/>
  <c r="AZ11" i="78"/>
  <c r="AZ12" i="78" s="1"/>
  <c r="AZ16" i="78" s="1"/>
  <c r="AV16" i="78"/>
  <c r="AV17" i="78" s="1"/>
  <c r="AT34" i="43"/>
  <c r="AT18" i="78"/>
  <c r="AB256" i="43"/>
  <c r="AC256" i="43"/>
  <c r="AB157" i="43"/>
  <c r="AB158" i="43" s="1"/>
  <c r="AC154" i="43"/>
  <c r="AC157" i="43" s="1"/>
  <c r="AC158" i="43" s="1"/>
  <c r="AP242" i="43"/>
  <c r="AP244" i="43" s="1"/>
  <c r="AV14" i="43"/>
  <c r="M7" i="82" s="1"/>
  <c r="Z41" i="82" s="1"/>
  <c r="AB41" i="82" s="1"/>
  <c r="AV79" i="43"/>
  <c r="AX16" i="78"/>
  <c r="AY16" i="78" s="1"/>
  <c r="AX12" i="43"/>
  <c r="AY12" i="43" s="1"/>
  <c r="AX13" i="78"/>
  <c r="AV19" i="78"/>
  <c r="AU21" i="78"/>
  <c r="AU43" i="43"/>
  <c r="AU20" i="78"/>
  <c r="AT21" i="78"/>
  <c r="AT43" i="43"/>
  <c r="AT20" i="78"/>
  <c r="AU239" i="43"/>
  <c r="AU18" i="43"/>
  <c r="AU241" i="43"/>
  <c r="AU203" i="43" s="1"/>
  <c r="AU84" i="43"/>
  <c r="AU240" i="43"/>
  <c r="AU188" i="43" s="1"/>
  <c r="AV188" i="43" s="1"/>
  <c r="M45" i="82" s="1"/>
  <c r="AU81" i="43"/>
  <c r="AU22" i="43"/>
  <c r="AR93" i="43"/>
  <c r="AT81" i="43"/>
  <c r="AT239" i="43"/>
  <c r="AT240" i="43"/>
  <c r="AT188" i="43" s="1"/>
  <c r="AT18" i="43"/>
  <c r="AT19" i="43" s="1"/>
  <c r="AT84" i="43"/>
  <c r="AT22" i="43"/>
  <c r="AT241" i="43"/>
  <c r="AT203" i="43" s="1"/>
  <c r="AT208" i="43" s="1"/>
  <c r="AW79" i="43"/>
  <c r="AW14" i="43"/>
  <c r="AR208" i="43"/>
  <c r="AS203" i="43"/>
  <c r="L55" i="82" s="1"/>
  <c r="L59" i="82" s="1"/>
  <c r="AS21" i="78"/>
  <c r="AS20" i="78"/>
  <c r="AW18" i="78"/>
  <c r="AW34" i="43"/>
  <c r="AW19" i="78"/>
  <c r="AQ235" i="43"/>
  <c r="AS43" i="43"/>
  <c r="AP120" i="43"/>
  <c r="K28" i="82" s="1"/>
  <c r="AR242" i="43" l="1"/>
  <c r="AR244" i="43" s="1"/>
  <c r="AR120" i="43" s="1"/>
  <c r="AV18" i="78"/>
  <c r="AS240" i="43"/>
  <c r="AT236" i="43"/>
  <c r="AS232" i="43"/>
  <c r="AR236" i="43"/>
  <c r="AS83" i="43"/>
  <c r="AS236" i="43"/>
  <c r="AY12" i="78"/>
  <c r="AY13" i="78" s="1"/>
  <c r="AS19" i="43"/>
  <c r="AR83" i="43"/>
  <c r="BA11" i="78"/>
  <c r="BA12" i="78" s="1"/>
  <c r="AU19" i="43"/>
  <c r="AR20" i="43"/>
  <c r="AS20" i="43" s="1"/>
  <c r="AZ12" i="43"/>
  <c r="AZ79" i="43" s="1"/>
  <c r="AZ13" i="78"/>
  <c r="AZ16" i="43"/>
  <c r="AV34" i="43"/>
  <c r="Y44" i="82"/>
  <c r="Y50" i="82" s="1"/>
  <c r="AV22" i="43"/>
  <c r="AV23" i="43" s="1"/>
  <c r="AQ244" i="43"/>
  <c r="AQ120" i="43" s="1"/>
  <c r="AS208" i="43"/>
  <c r="AS241" i="43"/>
  <c r="AS233" i="43"/>
  <c r="AS237" i="43"/>
  <c r="AT237" i="43"/>
  <c r="AU20" i="43"/>
  <c r="AU83" i="43"/>
  <c r="AS189" i="43"/>
  <c r="AX34" i="43"/>
  <c r="AX18" i="78"/>
  <c r="AX19" i="78"/>
  <c r="AZ34" i="43"/>
  <c r="AZ18" i="78"/>
  <c r="AZ19" i="78"/>
  <c r="AT83" i="43"/>
  <c r="AT20" i="43"/>
  <c r="AV240" i="43"/>
  <c r="AV232" i="43"/>
  <c r="AU189" i="43"/>
  <c r="AV189" i="43" s="1"/>
  <c r="M46" i="82" s="1"/>
  <c r="AU242" i="43"/>
  <c r="AV21" i="78"/>
  <c r="AV20" i="78"/>
  <c r="AY18" i="78"/>
  <c r="AY34" i="43"/>
  <c r="AU236" i="43"/>
  <c r="AU237" i="43"/>
  <c r="AV81" i="43"/>
  <c r="AV18" i="43"/>
  <c r="M8" i="82" s="1"/>
  <c r="AV84" i="43"/>
  <c r="Z32" i="82" s="1"/>
  <c r="AV236" i="43"/>
  <c r="AW21" i="78"/>
  <c r="AW43" i="43"/>
  <c r="AW20" i="78"/>
  <c r="AY79" i="43"/>
  <c r="AY14" i="43"/>
  <c r="AS93" i="43"/>
  <c r="AW81" i="43"/>
  <c r="AW241" i="43"/>
  <c r="AW203" i="43" s="1"/>
  <c r="AW208" i="43" s="1"/>
  <c r="AW239" i="43"/>
  <c r="AW240" i="43"/>
  <c r="AW188" i="43" s="1"/>
  <c r="AW236" i="43" s="1"/>
  <c r="AW18" i="43"/>
  <c r="AW19" i="43" s="1"/>
  <c r="AW84" i="43"/>
  <c r="AW22" i="43"/>
  <c r="AT242" i="43"/>
  <c r="AT189" i="43"/>
  <c r="AU208" i="43"/>
  <c r="AV203" i="43"/>
  <c r="M55" i="82" s="1"/>
  <c r="M59" i="82" s="1"/>
  <c r="AV43" i="43"/>
  <c r="AT93" i="43"/>
  <c r="AU93" i="43"/>
  <c r="AX14" i="43"/>
  <c r="AX79" i="43"/>
  <c r="I74" i="83"/>
  <c r="BB11" i="78" l="1"/>
  <c r="BB16" i="43" s="1"/>
  <c r="AS120" i="43"/>
  <c r="L28" i="82" s="1"/>
  <c r="BA16" i="43"/>
  <c r="AY17" i="78"/>
  <c r="Z44" i="82"/>
  <c r="AZ14" i="43"/>
  <c r="AZ84" i="43" s="1"/>
  <c r="AV83" i="43"/>
  <c r="AV19" i="43"/>
  <c r="AS235" i="43"/>
  <c r="L46" i="82"/>
  <c r="AU235" i="43"/>
  <c r="AW237" i="43"/>
  <c r="AV235" i="43"/>
  <c r="AV237" i="43"/>
  <c r="AZ43" i="43"/>
  <c r="AZ21" i="78"/>
  <c r="AZ20" i="78"/>
  <c r="AV93" i="43"/>
  <c r="AW20" i="43"/>
  <c r="AW83" i="43"/>
  <c r="AW93" i="43"/>
  <c r="AV20" i="43"/>
  <c r="AY19" i="78"/>
  <c r="AX21" i="78"/>
  <c r="AX43" i="43"/>
  <c r="AX20" i="78"/>
  <c r="AS239" i="43"/>
  <c r="AS242" i="43" s="1"/>
  <c r="AS244" i="43" s="1"/>
  <c r="AS231" i="43"/>
  <c r="AT235" i="43"/>
  <c r="AW189" i="43"/>
  <c r="AW235" i="43" s="1"/>
  <c r="AW242" i="43"/>
  <c r="AY84" i="43"/>
  <c r="AY81" i="43"/>
  <c r="AY18" i="43"/>
  <c r="AY19" i="43" s="1"/>
  <c r="AX239" i="43"/>
  <c r="AX81" i="43"/>
  <c r="AX241" i="43"/>
  <c r="AX203" i="43" s="1"/>
  <c r="AX237" i="43" s="1"/>
  <c r="AX22" i="43"/>
  <c r="AY22" i="43" s="1"/>
  <c r="AY23" i="43" s="1"/>
  <c r="AX240" i="43"/>
  <c r="AX188" i="43" s="1"/>
  <c r="AY188" i="43" s="1"/>
  <c r="AX18" i="43"/>
  <c r="AX19" i="43" s="1"/>
  <c r="AX84" i="43"/>
  <c r="AU244" i="43"/>
  <c r="AU120" i="43" s="1"/>
  <c r="AV241" i="43"/>
  <c r="AV233" i="43"/>
  <c r="AV208" i="43"/>
  <c r="AV231" i="43"/>
  <c r="AV239" i="43"/>
  <c r="BA16" i="78"/>
  <c r="BA12" i="43"/>
  <c r="BA13" i="78"/>
  <c r="J74" i="83" l="1"/>
  <c r="BB12" i="78"/>
  <c r="BB13" i="78" s="1"/>
  <c r="AB44" i="82"/>
  <c r="Z50" i="82"/>
  <c r="AZ241" i="43"/>
  <c r="AZ203" i="43" s="1"/>
  <c r="AZ208" i="43" s="1"/>
  <c r="AZ81" i="43"/>
  <c r="AZ18" i="43"/>
  <c r="AZ19" i="43" s="1"/>
  <c r="AZ240" i="43"/>
  <c r="AZ188" i="43" s="1"/>
  <c r="AZ236" i="43" s="1"/>
  <c r="AZ239" i="43"/>
  <c r="AZ189" i="43" s="1"/>
  <c r="AZ22" i="43"/>
  <c r="AX236" i="43"/>
  <c r="AT244" i="43"/>
  <c r="AT120" i="43" s="1"/>
  <c r="AV120" i="43" s="1"/>
  <c r="BA14" i="43"/>
  <c r="BA79" i="43"/>
  <c r="BB12" i="43"/>
  <c r="AY240" i="43"/>
  <c r="AY232" i="43"/>
  <c r="AX189" i="43"/>
  <c r="AX242" i="43"/>
  <c r="AX244" i="43" s="1"/>
  <c r="AX120" i="43" s="1"/>
  <c r="AZ93" i="43"/>
  <c r="AY21" i="78"/>
  <c r="AY20" i="78"/>
  <c r="BA18" i="78"/>
  <c r="BA34" i="43"/>
  <c r="BA19" i="78"/>
  <c r="BB16" i="78"/>
  <c r="AY83" i="43"/>
  <c r="AX208" i="43"/>
  <c r="AY203" i="43"/>
  <c r="AY236" i="43"/>
  <c r="AV242" i="43"/>
  <c r="AV244" i="43" s="1"/>
  <c r="AX83" i="43"/>
  <c r="AX20" i="43"/>
  <c r="AX93" i="43"/>
  <c r="AY43" i="43"/>
  <c r="AZ83" i="43" l="1"/>
  <c r="AZ242" i="43"/>
  <c r="AZ20" i="43"/>
  <c r="K74" i="83"/>
  <c r="M28" i="82"/>
  <c r="H14" i="82"/>
  <c r="AY93" i="43"/>
  <c r="BB17" i="78"/>
  <c r="BB34" i="43"/>
  <c r="BB18" i="78"/>
  <c r="AZ237" i="43"/>
  <c r="AY233" i="43"/>
  <c r="AY241" i="43"/>
  <c r="AY208" i="43"/>
  <c r="AY237" i="43"/>
  <c r="BB19" i="78"/>
  <c r="BA43" i="43"/>
  <c r="BA21" i="78"/>
  <c r="BA20" i="78"/>
  <c r="AY189" i="43"/>
  <c r="AY235" i="43" s="1"/>
  <c r="BA22" i="43"/>
  <c r="BB22" i="43" s="1"/>
  <c r="BA81" i="43"/>
  <c r="BA239" i="43"/>
  <c r="BA84" i="43"/>
  <c r="BA241" i="43"/>
  <c r="BA203" i="43" s="1"/>
  <c r="BA18" i="43"/>
  <c r="BA19" i="43" s="1"/>
  <c r="BA240" i="43"/>
  <c r="BA188" i="43" s="1"/>
  <c r="AY20" i="43"/>
  <c r="AX235" i="43"/>
  <c r="AW244" i="43"/>
  <c r="AW120" i="43" s="1"/>
  <c r="AY120" i="43" s="1"/>
  <c r="L74" i="83" s="1"/>
  <c r="BB79" i="43"/>
  <c r="BB14" i="43"/>
  <c r="H20" i="82" l="1"/>
  <c r="H27" i="82"/>
  <c r="BB188" i="43"/>
  <c r="BA236" i="43"/>
  <c r="BA242" i="43"/>
  <c r="BA244" i="43" s="1"/>
  <c r="BA120" i="43" s="1"/>
  <c r="BA189" i="43"/>
  <c r="BB18" i="43"/>
  <c r="BB19" i="43" s="1"/>
  <c r="BB81" i="43"/>
  <c r="BB84" i="43"/>
  <c r="BA20" i="43"/>
  <c r="BB20" i="43" s="1"/>
  <c r="BA83" i="43"/>
  <c r="AY239" i="43"/>
  <c r="AY242" i="43" s="1"/>
  <c r="AY231" i="43"/>
  <c r="AZ235" i="43"/>
  <c r="BA93" i="43"/>
  <c r="BB43" i="43"/>
  <c r="BA208" i="43"/>
  <c r="BB203" i="43"/>
  <c r="BB237" i="43" s="1"/>
  <c r="BB23" i="43"/>
  <c r="BB21" i="78"/>
  <c r="BB20" i="78"/>
  <c r="BA237" i="43"/>
  <c r="H30" i="82" l="1"/>
  <c r="AY244" i="43"/>
  <c r="AZ244" i="43"/>
  <c r="AZ120" i="43" s="1"/>
  <c r="BB120" i="43" s="1"/>
  <c r="M74" i="83" s="1"/>
  <c r="N74" i="83" s="1"/>
  <c r="BB232" i="43"/>
  <c r="BB240" i="43"/>
  <c r="BB93" i="43"/>
  <c r="BB83" i="43"/>
  <c r="BB189" i="43"/>
  <c r="BB235" i="43" s="1"/>
  <c r="BA235" i="43"/>
  <c r="BB233" i="43"/>
  <c r="BB208" i="43"/>
  <c r="BB241" i="43"/>
  <c r="BB236" i="43"/>
  <c r="H16" i="82" l="1"/>
  <c r="H19" i="82" s="1"/>
  <c r="H29" i="82"/>
  <c r="U34" i="82"/>
  <c r="BB239" i="43"/>
  <c r="BB242" i="43" s="1"/>
  <c r="BB244" i="43" s="1"/>
  <c r="BB231" i="43"/>
  <c r="H17" i="82" l="1"/>
  <c r="U29" i="82"/>
  <c r="T9" i="83"/>
  <c r="H22" i="82" l="1"/>
  <c r="AH308" i="43"/>
  <c r="AH310" i="43" s="1"/>
  <c r="AH325" i="43" s="1"/>
  <c r="H37" i="82" l="1"/>
  <c r="H35" i="82"/>
  <c r="U35" i="82"/>
  <c r="H21" i="82"/>
  <c r="H39" i="82" l="1"/>
  <c r="H41" i="82" s="1"/>
  <c r="H69" i="82"/>
  <c r="H71" i="82" s="1"/>
  <c r="H44" i="82"/>
  <c r="H48" i="82" s="1"/>
  <c r="H60" i="82" l="1"/>
  <c r="H63" i="82" s="1"/>
  <c r="H64" i="82" s="1"/>
  <c r="AH164" i="43"/>
  <c r="AH154" i="43" l="1"/>
  <c r="AJ154" i="43" s="1"/>
  <c r="AJ157" i="43" s="1"/>
  <c r="AJ158" i="43" s="1"/>
  <c r="U56" i="82" l="1"/>
  <c r="U58" i="82"/>
  <c r="AB179" i="43" l="1"/>
  <c r="AB198" i="43"/>
  <c r="AB200" i="43" s="1"/>
  <c r="AB255" i="43" l="1"/>
  <c r="AC255" i="43"/>
  <c r="AB177" i="43"/>
  <c r="AC177" i="43"/>
  <c r="AB219" i="43"/>
  <c r="H49" i="82"/>
  <c r="H53" i="82" s="1"/>
  <c r="H54" i="82" s="1"/>
  <c r="H65" i="82" s="1"/>
  <c r="AB248" i="43" l="1"/>
  <c r="AB226" i="43"/>
  <c r="AH198" i="43" l="1"/>
  <c r="U61" i="82" l="1"/>
  <c r="U62" i="82" l="1"/>
  <c r="AB65" i="43" l="1"/>
  <c r="AB277" i="43"/>
  <c r="AB281" i="43" s="1"/>
  <c r="AE283" i="43" s="1"/>
  <c r="AC281" i="43" l="1"/>
  <c r="AC295" i="43" s="1"/>
  <c r="AC62" i="43"/>
  <c r="AB283" i="43"/>
  <c r="AB295" i="43"/>
  <c r="AB294" i="43"/>
  <c r="AB296" i="43"/>
  <c r="AB66" i="43"/>
  <c r="AB257" i="43"/>
  <c r="AB106" i="43"/>
  <c r="U33" i="82"/>
  <c r="S9" i="83"/>
  <c r="AC294" i="43" l="1"/>
  <c r="AC296" i="43"/>
  <c r="AC268" i="43"/>
  <c r="AC283" i="43"/>
  <c r="AF283" i="43"/>
  <c r="AD66" i="43"/>
  <c r="AE67" i="43"/>
  <c r="AC106" i="43"/>
  <c r="AC107" i="43" s="1"/>
  <c r="AB67" i="43"/>
  <c r="AB104" i="43"/>
  <c r="AB105" i="43" s="1"/>
  <c r="AB107" i="43"/>
  <c r="AD67" i="43" l="1"/>
  <c r="AG67" i="43"/>
  <c r="AC104" i="43"/>
  <c r="AC105" i="43" s="1"/>
  <c r="AD105" i="43" s="1"/>
  <c r="AH322" i="43" l="1"/>
  <c r="AH34" i="43" l="1"/>
  <c r="AH19" i="78" l="1"/>
  <c r="AH24" i="78"/>
  <c r="AH72" i="43" s="1"/>
  <c r="AH70" i="43" s="1"/>
  <c r="AI19" i="78" l="1"/>
  <c r="AI20" i="78" s="1"/>
  <c r="AK21" i="78"/>
  <c r="AH21" i="78"/>
  <c r="AH20" i="78"/>
  <c r="AH43" i="43"/>
  <c r="AI43" i="43" l="1"/>
  <c r="AJ43" i="43" s="1"/>
  <c r="AI45" i="43"/>
  <c r="AH277" i="43"/>
  <c r="AH281" i="43" s="1"/>
  <c r="I18" i="82"/>
  <c r="AH93" i="43"/>
  <c r="AI93" i="43" l="1"/>
  <c r="AJ93" i="43"/>
  <c r="AJ45" i="43"/>
  <c r="AI281" i="43"/>
  <c r="AI294" i="43" s="1"/>
  <c r="AK283" i="43"/>
  <c r="AI295" i="43"/>
  <c r="V44" i="82"/>
  <c r="V50" i="82" s="1"/>
  <c r="AI283" i="43" l="1"/>
  <c r="AI296" i="43"/>
  <c r="AL283" i="43"/>
  <c r="AI268" i="43"/>
  <c r="AH36" i="43"/>
  <c r="AH15" i="80"/>
  <c r="AH45" i="43" s="1"/>
  <c r="AH16" i="80" l="1"/>
  <c r="AH46" i="43"/>
  <c r="AH47" i="43" l="1"/>
  <c r="AH95" i="43" s="1"/>
  <c r="AH49" i="43"/>
  <c r="AH53" i="43" l="1"/>
  <c r="AK54" i="43" s="1"/>
  <c r="AJ49" i="43"/>
  <c r="V46" i="82"/>
  <c r="AH38" i="43"/>
  <c r="AJ38" i="43" s="1"/>
  <c r="AJ152" i="43" s="1"/>
  <c r="AH106" i="43" l="1"/>
  <c r="AJ53" i="43"/>
  <c r="AH151" i="43"/>
  <c r="AH61" i="43"/>
  <c r="AH37" i="43"/>
  <c r="AH25" i="43" s="1"/>
  <c r="AH54" i="43"/>
  <c r="AH63" i="43" s="1"/>
  <c r="AI63" i="43" s="1"/>
  <c r="AJ63" i="43" s="1"/>
  <c r="AJ62" i="43" l="1"/>
  <c r="AM54" i="43"/>
  <c r="AK63" i="43"/>
  <c r="AL63" i="43" s="1"/>
  <c r="AM63" i="43" s="1"/>
  <c r="AJ151" i="43"/>
  <c r="AJ256" i="43"/>
  <c r="AJ255" i="43"/>
  <c r="AJ54" i="43"/>
  <c r="AH101" i="43"/>
  <c r="AJ61" i="43"/>
  <c r="AH65" i="43"/>
  <c r="AH66" i="43" s="1"/>
  <c r="AJ66" i="43" s="1"/>
  <c r="AJ67" i="43" s="1"/>
  <c r="AH117" i="43"/>
  <c r="AH121" i="43" s="1"/>
  <c r="AH98" i="43"/>
  <c r="AH39" i="43"/>
  <c r="AK117" i="43" l="1"/>
  <c r="AK65" i="43"/>
  <c r="AI62" i="43"/>
  <c r="AI106" i="43" s="1"/>
  <c r="AJ106" i="43"/>
  <c r="AH103" i="43"/>
  <c r="AH104" i="43" s="1"/>
  <c r="AJ101" i="43"/>
  <c r="AJ103" i="43" s="1"/>
  <c r="V8" i="83"/>
  <c r="W46" i="82"/>
  <c r="W47" i="82" s="1"/>
  <c r="W52" i="82" s="1"/>
  <c r="AO16" i="80"/>
  <c r="AO15" i="80" s="1"/>
  <c r="AH314" i="43"/>
  <c r="AK257" i="43" l="1"/>
  <c r="AK66" i="43"/>
  <c r="AK314" i="43"/>
  <c r="AK121" i="43"/>
  <c r="AJ107" i="43"/>
  <c r="AJ104" i="43"/>
  <c r="AI104" i="43"/>
  <c r="AI105" i="43" s="1"/>
  <c r="AI107" i="43"/>
  <c r="AO45" i="43"/>
  <c r="AP15" i="80"/>
  <c r="AO12" i="80"/>
  <c r="AO36" i="43" s="1"/>
  <c r="J11" i="82"/>
  <c r="AK67" i="43" l="1"/>
  <c r="AM66" i="43"/>
  <c r="AM67" i="43" s="1"/>
  <c r="W57" i="82"/>
  <c r="J9" i="82"/>
  <c r="AP12" i="80"/>
  <c r="AP36" i="43" s="1"/>
  <c r="AP45" i="43"/>
  <c r="AP16" i="80"/>
  <c r="AQ16" i="80" s="1"/>
  <c r="V7" i="83" l="1"/>
  <c r="J13" i="82"/>
  <c r="AR16" i="80"/>
  <c r="AR15" i="80" s="1"/>
  <c r="AQ15" i="80"/>
  <c r="X46" i="82"/>
  <c r="AR12" i="80" l="1"/>
  <c r="AR36" i="43" s="1"/>
  <c r="AS15" i="80"/>
  <c r="AR45" i="43"/>
  <c r="AQ12" i="80"/>
  <c r="AQ36" i="43" s="1"/>
  <c r="AQ45" i="43"/>
  <c r="AH276" i="43" l="1"/>
  <c r="AH324" i="43"/>
  <c r="AS12" i="80"/>
  <c r="AS36" i="43" s="1"/>
  <c r="AS45" i="43"/>
  <c r="AS16" i="80"/>
  <c r="AT16" i="80" s="1"/>
  <c r="Y46" i="82" l="1"/>
  <c r="AH280" i="43"/>
  <c r="AK282" i="43" s="1"/>
  <c r="AT15" i="80"/>
  <c r="AU16" i="80"/>
  <c r="AU15" i="80" s="1"/>
  <c r="AH225" i="43"/>
  <c r="AH326" i="43"/>
  <c r="AH327" i="43" s="1"/>
  <c r="AI322" i="43" s="1"/>
  <c r="AI327" i="43" s="1"/>
  <c r="AH282" i="43" l="1"/>
  <c r="AI280" i="43"/>
  <c r="AT12" i="80"/>
  <c r="AT36" i="43" s="1"/>
  <c r="AT45" i="43"/>
  <c r="AU12" i="80"/>
  <c r="AU36" i="43" s="1"/>
  <c r="AU45" i="43"/>
  <c r="AV15" i="80"/>
  <c r="AH191" i="43"/>
  <c r="AH200" i="43" s="1"/>
  <c r="AI255" i="43" s="1"/>
  <c r="AH165" i="43"/>
  <c r="AH166" i="43" s="1"/>
  <c r="AH145" i="43"/>
  <c r="AH215" i="43"/>
  <c r="AH217" i="43" s="1"/>
  <c r="AH146" i="43"/>
  <c r="AI282" i="43" l="1"/>
  <c r="AL282" i="43"/>
  <c r="AH167" i="43"/>
  <c r="AH155" i="43"/>
  <c r="AI154" i="43" s="1"/>
  <c r="AI157" i="43" s="1"/>
  <c r="AI158" i="43" s="1"/>
  <c r="AH148" i="43"/>
  <c r="AK149" i="43" s="1"/>
  <c r="AH219" i="43"/>
  <c r="AH255" i="43"/>
  <c r="J14" i="82"/>
  <c r="AV12" i="80"/>
  <c r="AV36" i="43" s="1"/>
  <c r="AV16" i="80"/>
  <c r="AW16" i="80" s="1"/>
  <c r="AV45" i="43"/>
  <c r="Z46" i="82" l="1"/>
  <c r="AH152" i="43"/>
  <c r="AI149" i="43"/>
  <c r="AH168" i="43"/>
  <c r="AH170" i="43" s="1"/>
  <c r="AH248" i="43"/>
  <c r="AH226" i="43"/>
  <c r="J27" i="82"/>
  <c r="AH251" i="43"/>
  <c r="AH249" i="43"/>
  <c r="AH149" i="43"/>
  <c r="AH250" i="43"/>
  <c r="AX16" i="80"/>
  <c r="AX15" i="80" s="1"/>
  <c r="AW15" i="80"/>
  <c r="AH157" i="43"/>
  <c r="AB46" i="82" l="1"/>
  <c r="AH256" i="43"/>
  <c r="AI256" i="43"/>
  <c r="AW12" i="80"/>
  <c r="AW36" i="43" s="1"/>
  <c r="AW45" i="43"/>
  <c r="AX12" i="80"/>
  <c r="AX36" i="43" s="1"/>
  <c r="AY15" i="80"/>
  <c r="AX45" i="43"/>
  <c r="C53" i="83"/>
  <c r="AY16" i="80" l="1"/>
  <c r="AZ16" i="80" s="1"/>
  <c r="AY45" i="43"/>
  <c r="AY12" i="80"/>
  <c r="AY36" i="43" s="1"/>
  <c r="D94" i="83"/>
  <c r="C97" i="83"/>
  <c r="D97" i="83" s="1"/>
  <c r="Q28" i="82"/>
  <c r="S28" i="82"/>
  <c r="R27" i="82"/>
  <c r="T28" i="82"/>
  <c r="Q27" i="82"/>
  <c r="S27" i="82"/>
  <c r="P28" i="82"/>
  <c r="U28" i="82"/>
  <c r="P27" i="82"/>
  <c r="W28" i="82"/>
  <c r="T27" i="82"/>
  <c r="R28" i="82"/>
  <c r="U27" i="82"/>
  <c r="W27" i="82"/>
  <c r="BA16" i="80" l="1"/>
  <c r="BA15" i="80" s="1"/>
  <c r="AZ15" i="80"/>
  <c r="AZ12" i="80" l="1"/>
  <c r="AZ36" i="43" s="1"/>
  <c r="AZ45" i="43"/>
  <c r="BA45" i="43"/>
  <c r="BB15" i="80"/>
  <c r="BA12" i="80"/>
  <c r="BA36" i="43" s="1"/>
  <c r="BB12" i="80" l="1"/>
  <c r="BB36" i="43" s="1"/>
  <c r="BB45" i="43"/>
  <c r="BB16" i="80"/>
  <c r="AH257" i="43" l="1"/>
  <c r="AH136" i="43" l="1"/>
  <c r="AH140" i="43"/>
  <c r="AH67" i="43"/>
  <c r="AH294" i="43" l="1"/>
  <c r="AH283" i="43" l="1"/>
  <c r="AH295" i="43"/>
  <c r="AT294" i="43" l="1"/>
  <c r="AW294" i="43" s="1"/>
  <c r="AZ294" i="43" s="1"/>
  <c r="AH304" i="43"/>
  <c r="AJ304" i="43" s="1"/>
  <c r="AJ306" i="43" s="1"/>
  <c r="AH292" i="43"/>
  <c r="AH288" i="43"/>
  <c r="AK290" i="43" s="1"/>
  <c r="AH306" i="43" l="1"/>
  <c r="AI308" i="43" s="1"/>
  <c r="AH296" i="43"/>
  <c r="AH290" i="43"/>
  <c r="AH291" i="43"/>
  <c r="I22" i="82"/>
  <c r="AI310" i="43" l="1"/>
  <c r="AJ308" i="43"/>
  <c r="AJ310" i="43" s="1"/>
  <c r="I21" i="82"/>
  <c r="V35" i="82"/>
  <c r="I35" i="82" l="1"/>
  <c r="AH105" i="43" l="1"/>
  <c r="AJ105" i="43" s="1"/>
  <c r="AH107" i="43"/>
  <c r="AH158" i="43" l="1"/>
  <c r="AH161" i="43"/>
  <c r="AH130" i="43"/>
  <c r="AH137" i="43" s="1"/>
  <c r="AH172" i="43"/>
  <c r="I31" i="82" l="1"/>
  <c r="I34" i="82" l="1"/>
  <c r="I33" i="82" s="1"/>
  <c r="AH177" i="43" l="1"/>
  <c r="I49" i="82" l="1"/>
  <c r="I53" i="82" s="1"/>
  <c r="J49" i="82" l="1"/>
  <c r="J53" i="82" s="1"/>
  <c r="AL87" i="43" l="1"/>
  <c r="V32" i="82" l="1"/>
  <c r="W32" i="82"/>
  <c r="I7" i="82"/>
  <c r="V41" i="82" s="1"/>
  <c r="I45" i="82"/>
  <c r="I8" i="82" l="1"/>
  <c r="I28" i="82"/>
  <c r="I55" i="82"/>
  <c r="I59" i="82" s="1"/>
  <c r="V43" i="82"/>
  <c r="V47" i="82" l="1"/>
  <c r="V52" i="82" s="1"/>
  <c r="V49" i="82"/>
  <c r="I46" i="82"/>
  <c r="I11" i="82"/>
  <c r="V28" i="82"/>
  <c r="J28" i="82" l="1"/>
  <c r="V57" i="82"/>
  <c r="I9" i="82"/>
  <c r="I13" i="82" l="1"/>
  <c r="V27" i="82"/>
  <c r="I15" i="82"/>
  <c r="I25" i="82" l="1"/>
  <c r="J15" i="82" l="1"/>
  <c r="J25" i="82" l="1"/>
  <c r="J30" i="82"/>
  <c r="J29" i="82" l="1"/>
  <c r="J16" i="82" l="1"/>
  <c r="J19" i="82" s="1"/>
  <c r="I14" i="82"/>
  <c r="I27" i="82" l="1"/>
  <c r="I30" i="82" l="1"/>
  <c r="I37" i="82" l="1"/>
  <c r="I39" i="82" s="1"/>
  <c r="I41" i="82" s="1"/>
  <c r="I69" i="82"/>
  <c r="I71" i="82" s="1"/>
  <c r="V62" i="82"/>
  <c r="I20" i="82"/>
  <c r="I29" i="82"/>
  <c r="V34" i="82"/>
  <c r="I16" i="82"/>
  <c r="I19" i="82" s="1"/>
  <c r="I60" i="82" l="1"/>
  <c r="I63" i="82" s="1"/>
  <c r="I64" i="82" s="1"/>
  <c r="AP262" i="43"/>
  <c r="J35" i="82"/>
  <c r="V33" i="82"/>
  <c r="V29" i="82"/>
  <c r="I17" i="82"/>
  <c r="C30" i="83"/>
  <c r="C34" i="83" s="1"/>
  <c r="C36" i="83" s="1"/>
  <c r="C37" i="83" s="1"/>
  <c r="I44" i="82"/>
  <c r="I48" i="82" s="1"/>
  <c r="I54" i="82" s="1"/>
  <c r="V61" i="82" l="1"/>
  <c r="J36" i="82"/>
  <c r="W34" i="82"/>
  <c r="J69" i="82"/>
  <c r="I65" i="82"/>
  <c r="V58" i="82" l="1"/>
  <c r="V56" i="82"/>
  <c r="J67" i="82"/>
  <c r="J71" i="82" s="1"/>
  <c r="W62" i="82"/>
  <c r="W29" i="82" l="1"/>
  <c r="V9" i="83"/>
  <c r="J20" i="82"/>
  <c r="J37" i="82"/>
  <c r="J39" i="82" s="1"/>
  <c r="J41" i="82" s="1"/>
  <c r="J60" i="82"/>
  <c r="J63" i="82" s="1"/>
  <c r="J64" i="82" s="1"/>
  <c r="AP322" i="43"/>
  <c r="W33" i="82"/>
  <c r="J17" i="82"/>
  <c r="D30" i="83"/>
  <c r="D34" i="83" s="1"/>
  <c r="D36" i="83" s="1"/>
  <c r="D37" i="83" s="1"/>
  <c r="AP164" i="43" l="1"/>
  <c r="J44" i="82"/>
  <c r="J48" i="82" s="1"/>
  <c r="J54" i="82" s="1"/>
  <c r="J65" i="82" s="1"/>
  <c r="J22" i="82"/>
  <c r="W58" i="82" l="1"/>
  <c r="W56" i="82"/>
  <c r="AP154" i="43"/>
  <c r="W61" i="82"/>
  <c r="AO167" i="43"/>
  <c r="W35" i="82"/>
  <c r="Z23" i="82" s="1"/>
  <c r="J21" i="82"/>
  <c r="AO305" i="43" l="1"/>
  <c r="AP305" i="43" s="1"/>
  <c r="AO262" i="43"/>
  <c r="AO322" i="43" l="1"/>
  <c r="AO164" i="43"/>
  <c r="AO154" i="43" l="1"/>
  <c r="AO308" i="43" l="1"/>
  <c r="AO263" i="43" s="1"/>
  <c r="AP263" i="43" s="1"/>
  <c r="AP308" i="43" l="1"/>
  <c r="AP310" i="43" s="1"/>
  <c r="AO310" i="43"/>
  <c r="AO132" i="43" s="1"/>
  <c r="AO133" i="43"/>
  <c r="AO221" i="43" s="1"/>
  <c r="AP221" i="43" s="1"/>
  <c r="AP265" i="43" l="1"/>
  <c r="AO265" i="43"/>
  <c r="AO325" i="43"/>
  <c r="AP132" i="43"/>
  <c r="AQ305" i="43" l="1"/>
  <c r="AO267" i="43"/>
  <c r="AO268" i="43" s="1"/>
  <c r="AQ262" i="43"/>
  <c r="AS262" i="43"/>
  <c r="AP267" i="43"/>
  <c r="K35" i="82"/>
  <c r="AP325" i="43"/>
  <c r="AP133" i="43"/>
  <c r="AP268" i="43" l="1"/>
  <c r="AO323" i="43"/>
  <c r="K36" i="82"/>
  <c r="AP323" i="43" l="1"/>
  <c r="K67" i="82"/>
  <c r="AH66" i="79" l="1"/>
  <c r="AN13" i="79" l="1"/>
  <c r="AN27" i="43" s="1"/>
  <c r="AN31" i="43" s="1"/>
  <c r="AN172" i="43" s="1"/>
  <c r="AO172" i="43" s="1"/>
  <c r="AO13" i="79"/>
  <c r="AR13" i="79" s="1"/>
  <c r="AQ13" i="79"/>
  <c r="AQ17" i="79"/>
  <c r="AQ18" i="79" s="1"/>
  <c r="AN18" i="79"/>
  <c r="AQ27" i="43"/>
  <c r="AQ31" i="43" s="1"/>
  <c r="AQ124" i="43" s="1"/>
  <c r="AQ126" i="43" s="1"/>
  <c r="AN42" i="43"/>
  <c r="AN46" i="43" s="1"/>
  <c r="AN92" i="43"/>
  <c r="AS13" i="79" l="1"/>
  <c r="AS27" i="43" s="1"/>
  <c r="AS31" i="43" s="1"/>
  <c r="AQ42" i="43"/>
  <c r="AN315" i="43"/>
  <c r="AQ130" i="43"/>
  <c r="AQ175" i="43"/>
  <c r="AQ315" i="43"/>
  <c r="J73" i="83"/>
  <c r="AQ181" i="43"/>
  <c r="AQ182" i="43" s="1"/>
  <c r="AS315" i="43"/>
  <c r="L10" i="82"/>
  <c r="AN181" i="43"/>
  <c r="AN49" i="43"/>
  <c r="AN47" i="43"/>
  <c r="AN95" i="43" s="1"/>
  <c r="AU13" i="79"/>
  <c r="AR27" i="43"/>
  <c r="AR31" i="43" s="1"/>
  <c r="AR17" i="79"/>
  <c r="AP13" i="79"/>
  <c r="AP27" i="43" s="1"/>
  <c r="AP31" i="43" s="1"/>
  <c r="AO17" i="79"/>
  <c r="AT13" i="79"/>
  <c r="AO27" i="43"/>
  <c r="AO31" i="43" s="1"/>
  <c r="AQ178" i="43" l="1"/>
  <c r="AQ121" i="43"/>
  <c r="AQ46" i="43"/>
  <c r="AQ92" i="43"/>
  <c r="K10" i="82"/>
  <c r="AP315" i="43"/>
  <c r="I73" i="83"/>
  <c r="AO18" i="79"/>
  <c r="AP17" i="79"/>
  <c r="AO42" i="43"/>
  <c r="AR18" i="79"/>
  <c r="AS17" i="79"/>
  <c r="AS18" i="79" s="1"/>
  <c r="AR42" i="43"/>
  <c r="AR181" i="43"/>
  <c r="AR124" i="43"/>
  <c r="AR315" i="43"/>
  <c r="AN182" i="43"/>
  <c r="AN178" i="43"/>
  <c r="AN177" i="43" s="1"/>
  <c r="AP177" i="43" s="1"/>
  <c r="AU17" i="79"/>
  <c r="AX13" i="79"/>
  <c r="AU27" i="43"/>
  <c r="AU31" i="43" s="1"/>
  <c r="AO315" i="43"/>
  <c r="AO181" i="43"/>
  <c r="AO124" i="43"/>
  <c r="AT17" i="79"/>
  <c r="AV13" i="79"/>
  <c r="AV27" i="43" s="1"/>
  <c r="AV31" i="43" s="1"/>
  <c r="AW13" i="79"/>
  <c r="AT27" i="43"/>
  <c r="AT31" i="43" s="1"/>
  <c r="AN38" i="43"/>
  <c r="AN53" i="43"/>
  <c r="AQ49" i="43" l="1"/>
  <c r="AQ47" i="43"/>
  <c r="AQ95" i="43" s="1"/>
  <c r="AO46" i="43"/>
  <c r="AO92" i="43"/>
  <c r="AP42" i="43"/>
  <c r="AP18" i="79"/>
  <c r="BA13" i="79"/>
  <c r="AX27" i="43"/>
  <c r="AX31" i="43" s="1"/>
  <c r="AX17" i="79"/>
  <c r="AN151" i="43"/>
  <c r="AN61" i="43"/>
  <c r="AN54" i="43"/>
  <c r="AN63" i="43" s="1"/>
  <c r="AN62" i="43"/>
  <c r="AN256" i="43"/>
  <c r="AN37" i="43"/>
  <c r="AN255" i="43"/>
  <c r="AO178" i="43"/>
  <c r="AP178" i="43" s="1"/>
  <c r="AP181" i="43"/>
  <c r="AP182" i="43" s="1"/>
  <c r="AO182" i="43"/>
  <c r="AO121" i="43"/>
  <c r="AS124" i="43"/>
  <c r="AR126" i="43"/>
  <c r="AN152" i="43"/>
  <c r="AR121" i="43"/>
  <c r="AS121" i="43" s="1"/>
  <c r="J76" i="83" s="1"/>
  <c r="AS181" i="43"/>
  <c r="AS182" i="43" s="1"/>
  <c r="AR182" i="43"/>
  <c r="AR178" i="43"/>
  <c r="AS178" i="43" s="1"/>
  <c r="AU124" i="43"/>
  <c r="AU126" i="43" s="1"/>
  <c r="AU181" i="43"/>
  <c r="AU315" i="43"/>
  <c r="AT124" i="43"/>
  <c r="AT181" i="43"/>
  <c r="AT315" i="43"/>
  <c r="AZ13" i="79"/>
  <c r="AW27" i="43"/>
  <c r="AW31" i="43" s="1"/>
  <c r="AW17" i="79"/>
  <c r="AY13" i="79"/>
  <c r="AY27" i="43" s="1"/>
  <c r="AY31" i="43" s="1"/>
  <c r="AU18" i="79"/>
  <c r="AU42" i="43"/>
  <c r="AV315" i="43"/>
  <c r="K73" i="83"/>
  <c r="M10" i="82"/>
  <c r="AR92" i="43"/>
  <c r="AR46" i="43"/>
  <c r="AS42" i="43"/>
  <c r="AT42" i="43"/>
  <c r="AV17" i="79"/>
  <c r="AV18" i="79" s="1"/>
  <c r="AT18" i="79"/>
  <c r="AO126" i="43"/>
  <c r="AP124" i="43"/>
  <c r="AQ38" i="43" l="1"/>
  <c r="AQ53" i="43"/>
  <c r="AW18" i="79"/>
  <c r="AW42" i="43"/>
  <c r="AY17" i="79"/>
  <c r="AY18" i="79" s="1"/>
  <c r="L73" i="83"/>
  <c r="AY315" i="43"/>
  <c r="AU130" i="43"/>
  <c r="AU175" i="43"/>
  <c r="AS172" i="43"/>
  <c r="L31" i="82"/>
  <c r="AS126" i="43"/>
  <c r="AN106" i="43"/>
  <c r="AW124" i="43"/>
  <c r="AW315" i="43"/>
  <c r="AW181" i="43"/>
  <c r="AS92" i="43"/>
  <c r="AS46" i="43"/>
  <c r="Y43" i="82"/>
  <c r="AT121" i="43"/>
  <c r="AT178" i="43"/>
  <c r="AT182" i="43"/>
  <c r="AR49" i="43"/>
  <c r="AS49" i="43" s="1"/>
  <c r="AR47" i="43"/>
  <c r="AR95" i="43" s="1"/>
  <c r="AU46" i="43"/>
  <c r="AU92" i="43"/>
  <c r="AO130" i="43"/>
  <c r="AO175" i="43"/>
  <c r="AR175" i="43"/>
  <c r="AS175" i="43" s="1"/>
  <c r="AR130" i="43"/>
  <c r="AX18" i="79"/>
  <c r="AX42" i="43"/>
  <c r="AX315" i="43"/>
  <c r="AX124" i="43"/>
  <c r="AX126" i="43" s="1"/>
  <c r="AX181" i="43"/>
  <c r="BA17" i="79"/>
  <c r="BA27" i="43"/>
  <c r="BA31" i="43" s="1"/>
  <c r="AT46" i="43"/>
  <c r="AT92" i="43"/>
  <c r="AV42" i="43"/>
  <c r="BB13" i="79"/>
  <c r="BB27" i="43" s="1"/>
  <c r="BB31" i="43" s="1"/>
  <c r="AZ27" i="43"/>
  <c r="AZ31" i="43" s="1"/>
  <c r="AZ17" i="79"/>
  <c r="AN101" i="43"/>
  <c r="AN65" i="43"/>
  <c r="AV124" i="43"/>
  <c r="AT126" i="43"/>
  <c r="AP46" i="43"/>
  <c r="AP92" i="43"/>
  <c r="X43" i="82"/>
  <c r="AP126" i="43"/>
  <c r="AP172" i="43"/>
  <c r="K31" i="82"/>
  <c r="AU121" i="43"/>
  <c r="AU178" i="43"/>
  <c r="AV181" i="43"/>
  <c r="AV182" i="43" s="1"/>
  <c r="AU182" i="43"/>
  <c r="AN117" i="43"/>
  <c r="AN25" i="43"/>
  <c r="AN98" i="43"/>
  <c r="AN39" i="43"/>
  <c r="AO49" i="43"/>
  <c r="AO47" i="43"/>
  <c r="AO95" i="43" s="1"/>
  <c r="AV121" i="43" l="1"/>
  <c r="K76" i="83" s="1"/>
  <c r="AQ61" i="43"/>
  <c r="AQ37" i="43"/>
  <c r="AQ54" i="43"/>
  <c r="AQ151" i="43"/>
  <c r="AV178" i="43"/>
  <c r="AN314" i="43"/>
  <c r="AN121" i="43"/>
  <c r="AP121" i="43" s="1"/>
  <c r="I76" i="83" s="1"/>
  <c r="AX175" i="43"/>
  <c r="AX130" i="43"/>
  <c r="AU47" i="43"/>
  <c r="AU95" i="43" s="1"/>
  <c r="AU49" i="43"/>
  <c r="AR38" i="43"/>
  <c r="AS38" i="43" s="1"/>
  <c r="L9" i="82" s="1"/>
  <c r="AR53" i="43"/>
  <c r="AS53" i="43" s="1"/>
  <c r="Y47" i="82"/>
  <c r="Y52" i="82" s="1"/>
  <c r="Y49" i="82"/>
  <c r="AS130" i="43"/>
  <c r="L34" i="82" s="1"/>
  <c r="L33" i="82" s="1"/>
  <c r="J75" i="83"/>
  <c r="BA42" i="43"/>
  <c r="BA18" i="79"/>
  <c r="AP47" i="43"/>
  <c r="X28" i="82"/>
  <c r="K11" i="82"/>
  <c r="W8" i="83"/>
  <c r="BA181" i="43"/>
  <c r="BA124" i="43"/>
  <c r="BA126" i="43" s="1"/>
  <c r="BA315" i="43"/>
  <c r="AS47" i="43"/>
  <c r="Y28" i="82"/>
  <c r="L11" i="82"/>
  <c r="X8" i="83"/>
  <c r="AX46" i="43"/>
  <c r="AX92" i="43"/>
  <c r="AW178" i="43"/>
  <c r="AW182" i="43"/>
  <c r="AW121" i="43"/>
  <c r="AN107" i="43"/>
  <c r="AW46" i="43"/>
  <c r="AW92" i="43"/>
  <c r="AY42" i="43"/>
  <c r="BB17" i="79"/>
  <c r="BB18" i="79" s="1"/>
  <c r="AZ18" i="79"/>
  <c r="AZ42" i="43"/>
  <c r="AZ181" i="43"/>
  <c r="AZ124" i="43"/>
  <c r="AZ315" i="43"/>
  <c r="BB315" i="43"/>
  <c r="M73" i="83"/>
  <c r="N73" i="83" s="1"/>
  <c r="AO53" i="43"/>
  <c r="AO38" i="43"/>
  <c r="AP49" i="43"/>
  <c r="AT130" i="43"/>
  <c r="AT175" i="43"/>
  <c r="AV175" i="43" s="1"/>
  <c r="AV126" i="43"/>
  <c r="AV172" i="43"/>
  <c r="M31" i="82"/>
  <c r="AV46" i="43"/>
  <c r="AV92" i="43"/>
  <c r="Z43" i="82"/>
  <c r="AW126" i="43"/>
  <c r="AY124" i="43"/>
  <c r="AP130" i="43"/>
  <c r="K34" i="82" s="1"/>
  <c r="K33" i="82" s="1"/>
  <c r="I75" i="83"/>
  <c r="AN66" i="43"/>
  <c r="AN257" i="43"/>
  <c r="AP175" i="43"/>
  <c r="AP179" i="43" s="1"/>
  <c r="AO179" i="43"/>
  <c r="AO194" i="43" s="1"/>
  <c r="AO198" i="43" s="1"/>
  <c r="X47" i="82"/>
  <c r="X52" i="82" s="1"/>
  <c r="X49" i="82"/>
  <c r="AN103" i="43"/>
  <c r="AT49" i="43"/>
  <c r="AT47" i="43"/>
  <c r="AT95" i="43" s="1"/>
  <c r="AX121" i="43"/>
  <c r="AX178" i="43"/>
  <c r="AY181" i="43"/>
  <c r="AY182" i="43" s="1"/>
  <c r="AX182" i="43"/>
  <c r="AY178" i="43" l="1"/>
  <c r="AQ98" i="43"/>
  <c r="AQ25" i="43"/>
  <c r="AQ39" i="43"/>
  <c r="AS151" i="43"/>
  <c r="Y57" i="82" s="1"/>
  <c r="J69" i="83"/>
  <c r="AQ101" i="43"/>
  <c r="AN67" i="43"/>
  <c r="AV130" i="43"/>
  <c r="M34" i="82" s="1"/>
  <c r="M33" i="82" s="1"/>
  <c r="K75" i="83"/>
  <c r="AW49" i="43"/>
  <c r="AW47" i="43"/>
  <c r="AW95" i="43" s="1"/>
  <c r="AB43" i="82"/>
  <c r="Z47" i="82"/>
  <c r="Z52" i="82" s="1"/>
  <c r="Z49" i="82"/>
  <c r="AN104" i="43"/>
  <c r="AN105" i="43" s="1"/>
  <c r="BB124" i="43"/>
  <c r="AZ126" i="43"/>
  <c r="AQ179" i="43"/>
  <c r="AS179" i="43"/>
  <c r="AP194" i="43"/>
  <c r="AP38" i="43"/>
  <c r="K9" i="82" s="1"/>
  <c r="AZ121" i="43"/>
  <c r="AZ182" i="43"/>
  <c r="AZ178" i="43"/>
  <c r="AS95" i="43"/>
  <c r="AO151" i="43"/>
  <c r="AO61" i="43"/>
  <c r="AO54" i="43"/>
  <c r="AO63" i="43" s="1"/>
  <c r="AO37" i="43"/>
  <c r="AP53" i="43"/>
  <c r="BB42" i="43"/>
  <c r="AZ46" i="43"/>
  <c r="AZ92" i="43"/>
  <c r="BA178" i="43"/>
  <c r="BB181" i="43"/>
  <c r="BB182" i="43" s="1"/>
  <c r="BA121" i="43"/>
  <c r="BA182" i="43"/>
  <c r="AY46" i="43"/>
  <c r="AY47" i="43" s="1"/>
  <c r="AY92" i="43"/>
  <c r="AU38" i="43"/>
  <c r="AU53" i="43"/>
  <c r="AV47" i="43"/>
  <c r="Z28" i="82"/>
  <c r="M11" i="82"/>
  <c r="AY121" i="43"/>
  <c r="L76" i="83" s="1"/>
  <c r="AY172" i="43"/>
  <c r="AY126" i="43"/>
  <c r="AP95" i="43"/>
  <c r="AW130" i="43"/>
  <c r="AW175" i="43"/>
  <c r="AY175" i="43" s="1"/>
  <c r="AV49" i="43"/>
  <c r="AT38" i="43"/>
  <c r="AT53" i="43"/>
  <c r="AX49" i="43"/>
  <c r="AX47" i="43"/>
  <c r="AX95" i="43" s="1"/>
  <c r="BA175" i="43"/>
  <c r="BA130" i="43"/>
  <c r="BA92" i="43"/>
  <c r="BA46" i="43"/>
  <c r="AR61" i="43"/>
  <c r="AS61" i="43" s="1"/>
  <c r="L13" i="82" s="1"/>
  <c r="AR37" i="43"/>
  <c r="AS37" i="43" s="1"/>
  <c r="AR54" i="43"/>
  <c r="AR151" i="43"/>
  <c r="AS98" i="43" l="1"/>
  <c r="AS25" i="43"/>
  <c r="AS39" i="43"/>
  <c r="Y27" i="82"/>
  <c r="X7" i="83"/>
  <c r="AQ103" i="43"/>
  <c r="AX53" i="43"/>
  <c r="AX38" i="43"/>
  <c r="AP63" i="43"/>
  <c r="AQ63" i="43"/>
  <c r="AR39" i="43"/>
  <c r="AR98" i="43"/>
  <c r="AR25" i="43"/>
  <c r="AY95" i="43"/>
  <c r="AR101" i="43"/>
  <c r="AR103" i="43" s="1"/>
  <c r="AR105" i="43" s="1"/>
  <c r="AO101" i="43"/>
  <c r="AP61" i="43"/>
  <c r="K13" i="82" s="1"/>
  <c r="AZ175" i="43"/>
  <c r="BB175" i="43" s="1"/>
  <c r="AZ130" i="43"/>
  <c r="BA49" i="43"/>
  <c r="BA47" i="43"/>
  <c r="BA95" i="43" s="1"/>
  <c r="AZ49" i="43"/>
  <c r="AZ47" i="43"/>
  <c r="AZ95" i="43" s="1"/>
  <c r="BB126" i="43"/>
  <c r="BB172" i="43"/>
  <c r="AV38" i="43"/>
  <c r="M9" i="82" s="1"/>
  <c r="AU61" i="43"/>
  <c r="AU37" i="43"/>
  <c r="AU151" i="43"/>
  <c r="AU54" i="43"/>
  <c r="AP198" i="43"/>
  <c r="K49" i="82"/>
  <c r="K53" i="82" s="1"/>
  <c r="AR179" i="43"/>
  <c r="AR194" i="43" s="1"/>
  <c r="AR198" i="43" s="1"/>
  <c r="AQ194" i="43"/>
  <c r="AQ198" i="43" s="1"/>
  <c r="AT37" i="43"/>
  <c r="AT54" i="43"/>
  <c r="AV53" i="43"/>
  <c r="AT61" i="43"/>
  <c r="AT151" i="43"/>
  <c r="AV95" i="43"/>
  <c r="BB46" i="43"/>
  <c r="BB47" i="43" s="1"/>
  <c r="BB92" i="43"/>
  <c r="BB121" i="43"/>
  <c r="M76" i="83" s="1"/>
  <c r="N76" i="83" s="1"/>
  <c r="AP54" i="43"/>
  <c r="AP151" i="43"/>
  <c r="X57" i="82" s="1"/>
  <c r="I69" i="83"/>
  <c r="AS54" i="43"/>
  <c r="AO117" i="43"/>
  <c r="L75" i="83"/>
  <c r="AY130" i="43"/>
  <c r="BB178" i="43"/>
  <c r="AO25" i="43"/>
  <c r="AO98" i="43"/>
  <c r="AO39" i="43"/>
  <c r="AP37" i="43"/>
  <c r="AT179" i="43"/>
  <c r="AV179" i="43"/>
  <c r="AS194" i="43"/>
  <c r="AW53" i="43"/>
  <c r="AY49" i="43"/>
  <c r="AW38" i="43"/>
  <c r="AS101" i="43" l="1"/>
  <c r="AS103" i="43"/>
  <c r="AQ105" i="43"/>
  <c r="AQ106" i="43" s="1"/>
  <c r="BA38" i="43"/>
  <c r="BA53" i="43"/>
  <c r="AU25" i="43"/>
  <c r="AU98" i="43"/>
  <c r="AU39" i="43"/>
  <c r="AX37" i="43"/>
  <c r="AX54" i="43"/>
  <c r="AX61" i="43"/>
  <c r="AX151" i="43"/>
  <c r="AO103" i="43"/>
  <c r="AP101" i="43"/>
  <c r="AR63" i="43"/>
  <c r="AQ117" i="43"/>
  <c r="AT39" i="43"/>
  <c r="AV37" i="43"/>
  <c r="AT25" i="43"/>
  <c r="AT98" i="43"/>
  <c r="L49" i="82"/>
  <c r="L53" i="82" s="1"/>
  <c r="AS198" i="43"/>
  <c r="AY179" i="43"/>
  <c r="AW179" i="43"/>
  <c r="AV194" i="43"/>
  <c r="BB130" i="43"/>
  <c r="M75" i="83"/>
  <c r="AP25" i="43"/>
  <c r="AP39" i="43"/>
  <c r="AP98" i="43"/>
  <c r="X27" i="82"/>
  <c r="W7" i="83"/>
  <c r="AO314" i="43"/>
  <c r="AP117" i="43"/>
  <c r="AZ38" i="43"/>
  <c r="AZ53" i="43"/>
  <c r="BB49" i="43"/>
  <c r="AR106" i="43"/>
  <c r="AY53" i="43"/>
  <c r="AW61" i="43"/>
  <c r="AW37" i="43"/>
  <c r="AW151" i="43"/>
  <c r="AW54" i="43"/>
  <c r="K15" i="82"/>
  <c r="I70" i="83"/>
  <c r="I72" i="83" s="1"/>
  <c r="AT194" i="43"/>
  <c r="AT198" i="43" s="1"/>
  <c r="AU179" i="43"/>
  <c r="AU194" i="43" s="1"/>
  <c r="AU198" i="43" s="1"/>
  <c r="AU101" i="43"/>
  <c r="AU103" i="43" s="1"/>
  <c r="AU105" i="43" s="1"/>
  <c r="AV61" i="43"/>
  <c r="M13" i="82" s="1"/>
  <c r="AT101" i="43"/>
  <c r="AY38" i="43"/>
  <c r="BB95" i="43"/>
  <c r="AV151" i="43"/>
  <c r="Z57" i="82" s="1"/>
  <c r="AV54" i="43"/>
  <c r="K69" i="83"/>
  <c r="AS105" i="43" l="1"/>
  <c r="I78" i="83"/>
  <c r="I82" i="83" s="1"/>
  <c r="I85" i="83" s="1"/>
  <c r="AQ107" i="43"/>
  <c r="AQ62" i="43"/>
  <c r="AO105" i="43"/>
  <c r="AP103" i="43"/>
  <c r="K25" i="82"/>
  <c r="AP314" i="43"/>
  <c r="AZ61" i="43"/>
  <c r="AZ37" i="43"/>
  <c r="AZ54" i="43"/>
  <c r="BB53" i="43"/>
  <c r="AZ151" i="43"/>
  <c r="AY37" i="43"/>
  <c r="AW25" i="43"/>
  <c r="AW98" i="43"/>
  <c r="AW39" i="43"/>
  <c r="AX179" i="43"/>
  <c r="AX194" i="43" s="1"/>
  <c r="AX198" i="43" s="1"/>
  <c r="AW194" i="43"/>
  <c r="AW198" i="43" s="1"/>
  <c r="AX25" i="43"/>
  <c r="AX39" i="43"/>
  <c r="AX98" i="43"/>
  <c r="AR62" i="43"/>
  <c r="AS106" i="43"/>
  <c r="AR107" i="43"/>
  <c r="BA61" i="43"/>
  <c r="BA37" i="43"/>
  <c r="BA54" i="43"/>
  <c r="BA151" i="43"/>
  <c r="N75" i="83"/>
  <c r="AQ314" i="43"/>
  <c r="AS63" i="43"/>
  <c r="AT63" i="43"/>
  <c r="AR117" i="43"/>
  <c r="AS117" i="43" s="1"/>
  <c r="AX101" i="43"/>
  <c r="AX103" i="43" s="1"/>
  <c r="AX105" i="43" s="1"/>
  <c r="AV101" i="43"/>
  <c r="AT103" i="43"/>
  <c r="BB38" i="43"/>
  <c r="AV198" i="43"/>
  <c r="M49" i="82"/>
  <c r="M53" i="82" s="1"/>
  <c r="AY61" i="43"/>
  <c r="AW101" i="43"/>
  <c r="AU106" i="43"/>
  <c r="AY54" i="43"/>
  <c r="AY151" i="43"/>
  <c r="L69" i="83"/>
  <c r="AZ179" i="43"/>
  <c r="AY194" i="43"/>
  <c r="AY198" i="43" s="1"/>
  <c r="BB179" i="43"/>
  <c r="BB194" i="43" s="1"/>
  <c r="BB198" i="43" s="1"/>
  <c r="AV25" i="43"/>
  <c r="AV98" i="43"/>
  <c r="AV39" i="43"/>
  <c r="Z27" i="82"/>
  <c r="AQ65" i="43" l="1"/>
  <c r="AQ119" i="43"/>
  <c r="AS62" i="43"/>
  <c r="AZ39" i="43"/>
  <c r="BB37" i="43"/>
  <c r="AZ25" i="43"/>
  <c r="AZ98" i="43"/>
  <c r="AY25" i="43"/>
  <c r="AY39" i="43"/>
  <c r="AY98" i="43"/>
  <c r="AP105" i="43"/>
  <c r="AO106" i="43"/>
  <c r="BA39" i="43"/>
  <c r="BA25" i="43"/>
  <c r="BA98" i="43"/>
  <c r="AR119" i="43"/>
  <c r="AR122" i="43" s="1"/>
  <c r="AR65" i="43"/>
  <c r="AT105" i="43"/>
  <c r="AV103" i="43"/>
  <c r="AS314" i="43"/>
  <c r="L25" i="82"/>
  <c r="AS104" i="43"/>
  <c r="AS107" i="43"/>
  <c r="AX106" i="43"/>
  <c r="BA101" i="43"/>
  <c r="BA103" i="43" s="1"/>
  <c r="BA105" i="43" s="1"/>
  <c r="AW103" i="43"/>
  <c r="AY101" i="43"/>
  <c r="AR314" i="43"/>
  <c r="AU63" i="43"/>
  <c r="AT117" i="43"/>
  <c r="BB54" i="43"/>
  <c r="M69" i="83"/>
  <c r="BB151" i="43"/>
  <c r="BB61" i="43"/>
  <c r="AZ101" i="43"/>
  <c r="BA179" i="43"/>
  <c r="BA194" i="43" s="1"/>
  <c r="BA198" i="43" s="1"/>
  <c r="AZ194" i="43"/>
  <c r="AZ198" i="43" s="1"/>
  <c r="AU107" i="43"/>
  <c r="AU62" i="43"/>
  <c r="L15" i="82"/>
  <c r="J70" i="83"/>
  <c r="J72" i="83" l="1"/>
  <c r="J78" i="83"/>
  <c r="J82" i="83" s="1"/>
  <c r="J85" i="83" s="1"/>
  <c r="AS119" i="43"/>
  <c r="AQ122" i="43"/>
  <c r="AQ140" i="43" s="1"/>
  <c r="L14" i="82"/>
  <c r="AQ66" i="43"/>
  <c r="AS65" i="43"/>
  <c r="AS74" i="43" s="1"/>
  <c r="AS276" i="43" s="1"/>
  <c r="AQ74" i="43"/>
  <c r="BA106" i="43"/>
  <c r="AR140" i="43"/>
  <c r="BB39" i="43"/>
  <c r="BB98" i="43"/>
  <c r="BB25" i="43"/>
  <c r="N69" i="83"/>
  <c r="AP106" i="43"/>
  <c r="AO107" i="43"/>
  <c r="AO62" i="43"/>
  <c r="AY103" i="43"/>
  <c r="AW105" i="43"/>
  <c r="AR74" i="43"/>
  <c r="AR66" i="43"/>
  <c r="AT314" i="43"/>
  <c r="AT106" i="43"/>
  <c r="AV105" i="43"/>
  <c r="AZ103" i="43"/>
  <c r="BB101" i="43"/>
  <c r="AX62" i="43"/>
  <c r="AX107" i="43"/>
  <c r="AU119" i="43"/>
  <c r="AU65" i="43"/>
  <c r="AV63" i="43"/>
  <c r="AW63" i="43"/>
  <c r="AU117" i="43"/>
  <c r="AV117" i="43" s="1"/>
  <c r="AS324" i="43" l="1"/>
  <c r="L27" i="82"/>
  <c r="AS122" i="43"/>
  <c r="AQ276" i="43"/>
  <c r="AQ324" i="43"/>
  <c r="AQ67" i="43"/>
  <c r="AS66" i="43"/>
  <c r="AQ70" i="43"/>
  <c r="AR324" i="43"/>
  <c r="AR276" i="43"/>
  <c r="AW106" i="43"/>
  <c r="AY105" i="43"/>
  <c r="AU66" i="43"/>
  <c r="AU74" i="43"/>
  <c r="AV314" i="43"/>
  <c r="M25" i="82"/>
  <c r="AX63" i="43"/>
  <c r="AW117" i="43"/>
  <c r="K70" i="83"/>
  <c r="M15" i="82"/>
  <c r="AZ105" i="43"/>
  <c r="BB103" i="43"/>
  <c r="AT107" i="43"/>
  <c r="AT62" i="43"/>
  <c r="AV106" i="43"/>
  <c r="AX119" i="43"/>
  <c r="AO119" i="43"/>
  <c r="AP62" i="43"/>
  <c r="AO65" i="43"/>
  <c r="AU122" i="43"/>
  <c r="AU314" i="43"/>
  <c r="AR70" i="43"/>
  <c r="AR277" i="43" s="1"/>
  <c r="AP107" i="43"/>
  <c r="AP104" i="43"/>
  <c r="BA62" i="43"/>
  <c r="BA107" i="43"/>
  <c r="K72" i="83" l="1"/>
  <c r="K78" i="83" s="1"/>
  <c r="K82" i="83" s="1"/>
  <c r="K85" i="83" s="1"/>
  <c r="AS140" i="43"/>
  <c r="L30" i="82"/>
  <c r="L29" i="82" s="1"/>
  <c r="AP119" i="43"/>
  <c r="AO122" i="43"/>
  <c r="AS70" i="43"/>
  <c r="AQ277" i="43"/>
  <c r="BA119" i="43"/>
  <c r="AO66" i="43"/>
  <c r="AO74" i="43"/>
  <c r="AO223" i="43" s="1"/>
  <c r="AP65" i="43"/>
  <c r="AW314" i="43"/>
  <c r="K14" i="82"/>
  <c r="AU67" i="43"/>
  <c r="AU70" i="43"/>
  <c r="AU277" i="43" s="1"/>
  <c r="AV104" i="43"/>
  <c r="AV107" i="43"/>
  <c r="AW62" i="43"/>
  <c r="AW107" i="43"/>
  <c r="AY106" i="43"/>
  <c r="AV62" i="43"/>
  <c r="AT119" i="43"/>
  <c r="AT65" i="43"/>
  <c r="AU140" i="43"/>
  <c r="AY63" i="43"/>
  <c r="AZ63" i="43"/>
  <c r="AX117" i="43"/>
  <c r="AY117" i="43" s="1"/>
  <c r="AZ106" i="43"/>
  <c r="BB105" i="43"/>
  <c r="AX65" i="43"/>
  <c r="AU276" i="43"/>
  <c r="AU324" i="43"/>
  <c r="AO140" i="43" l="1"/>
  <c r="AO134" i="43"/>
  <c r="K27" i="82"/>
  <c r="AP122" i="43"/>
  <c r="AV119" i="43"/>
  <c r="AT122" i="43"/>
  <c r="AT140" i="43" s="1"/>
  <c r="L16" i="82"/>
  <c r="L19" i="82" s="1"/>
  <c r="AS277" i="43"/>
  <c r="AY104" i="43"/>
  <c r="AY107" i="43"/>
  <c r="AO276" i="43"/>
  <c r="AO280" i="43" s="1"/>
  <c r="AO282" i="43" s="1"/>
  <c r="AO324" i="43"/>
  <c r="L70" i="83"/>
  <c r="AW119" i="43"/>
  <c r="AY62" i="43"/>
  <c r="AW65" i="43"/>
  <c r="AY314" i="43"/>
  <c r="AP74" i="43"/>
  <c r="AV65" i="43"/>
  <c r="AT74" i="43"/>
  <c r="AT66" i="43"/>
  <c r="AX74" i="43"/>
  <c r="AX66" i="43"/>
  <c r="AZ62" i="43"/>
  <c r="AZ107" i="43"/>
  <c r="BB106" i="43"/>
  <c r="AX122" i="43"/>
  <c r="AX314" i="43"/>
  <c r="AO67" i="43"/>
  <c r="AO70" i="43"/>
  <c r="AP66" i="43"/>
  <c r="AR67" i="43"/>
  <c r="BA63" i="43"/>
  <c r="AZ117" i="43"/>
  <c r="M14" i="82"/>
  <c r="M27" i="82" l="1"/>
  <c r="AV122" i="43"/>
  <c r="AP140" i="43"/>
  <c r="K30" i="82"/>
  <c r="AP134" i="43"/>
  <c r="AO211" i="43"/>
  <c r="AO136" i="43"/>
  <c r="AO137" i="43" s="1"/>
  <c r="AO187" i="43" s="1"/>
  <c r="AY119" i="43"/>
  <c r="AY122" i="43" s="1"/>
  <c r="AY140" i="43" s="1"/>
  <c r="AW122" i="43"/>
  <c r="AW140" i="43" s="1"/>
  <c r="L72" i="83"/>
  <c r="L78" i="83" s="1"/>
  <c r="L82" i="83" s="1"/>
  <c r="L85" i="83" s="1"/>
  <c r="AZ314" i="43"/>
  <c r="AX140" i="43"/>
  <c r="AX276" i="43"/>
  <c r="AX324" i="43"/>
  <c r="AV66" i="43"/>
  <c r="AV67" i="43" s="1"/>
  <c r="AT67" i="43"/>
  <c r="AT70" i="43"/>
  <c r="AW66" i="43"/>
  <c r="AW74" i="43"/>
  <c r="AY65" i="43"/>
  <c r="AP70" i="43"/>
  <c r="AO277" i="43"/>
  <c r="AO281" i="43" s="1"/>
  <c r="BB62" i="43"/>
  <c r="AZ119" i="43"/>
  <c r="BB119" i="43" s="1"/>
  <c r="AZ65" i="43"/>
  <c r="AT276" i="43"/>
  <c r="AT324" i="43"/>
  <c r="BB63" i="43"/>
  <c r="BA117" i="43"/>
  <c r="BB117" i="43" s="1"/>
  <c r="BA65" i="43"/>
  <c r="AP223" i="43"/>
  <c r="AP276" i="43"/>
  <c r="AP280" i="43" s="1"/>
  <c r="AP324" i="43"/>
  <c r="AX70" i="43"/>
  <c r="AX277" i="43" s="1"/>
  <c r="AX67" i="43"/>
  <c r="BB107" i="43"/>
  <c r="BB104" i="43"/>
  <c r="AP67" i="43"/>
  <c r="AS67" i="43"/>
  <c r="AO225" i="43"/>
  <c r="AO326" i="43"/>
  <c r="AO327" i="43" s="1"/>
  <c r="AO257" i="43"/>
  <c r="AV74" i="43"/>
  <c r="E23" i="83" l="1"/>
  <c r="E22" i="83"/>
  <c r="AZ122" i="43"/>
  <c r="AZ140" i="43" s="1"/>
  <c r="AO146" i="43"/>
  <c r="AO215" i="43"/>
  <c r="AO217" i="43" s="1"/>
  <c r="AP211" i="43"/>
  <c r="AP136" i="43"/>
  <c r="AP137" i="43" s="1"/>
  <c r="K37" i="82"/>
  <c r="K39" i="82" s="1"/>
  <c r="K41" i="82" s="1"/>
  <c r="K29" i="82"/>
  <c r="X34" i="82"/>
  <c r="AV140" i="43"/>
  <c r="M30" i="82"/>
  <c r="M29" i="82" s="1"/>
  <c r="AO145" i="43"/>
  <c r="AO165" i="43" s="1"/>
  <c r="AO166" i="43" s="1"/>
  <c r="AO168" i="43" s="1"/>
  <c r="AP187" i="43"/>
  <c r="AO191" i="43"/>
  <c r="AO200" i="43" s="1"/>
  <c r="BA122" i="43"/>
  <c r="BA314" i="43"/>
  <c r="AW67" i="43"/>
  <c r="AW70" i="43"/>
  <c r="AY66" i="43"/>
  <c r="AY67" i="43" s="1"/>
  <c r="K16" i="82"/>
  <c r="K19" i="82" s="1"/>
  <c r="AP277" i="43"/>
  <c r="AP281" i="43" s="1"/>
  <c r="K20" i="82"/>
  <c r="AP282" i="43"/>
  <c r="BB122" i="43"/>
  <c r="BB314" i="43"/>
  <c r="BA74" i="43"/>
  <c r="BA66" i="43"/>
  <c r="AW276" i="43"/>
  <c r="AW324" i="43"/>
  <c r="BB65" i="43"/>
  <c r="AZ74" i="43"/>
  <c r="AZ66" i="43"/>
  <c r="M70" i="83"/>
  <c r="AV70" i="43"/>
  <c r="AT277" i="43"/>
  <c r="AO286" i="43"/>
  <c r="AO283" i="43"/>
  <c r="AO295" i="43"/>
  <c r="AY74" i="43"/>
  <c r="AV276" i="43"/>
  <c r="AV324" i="43"/>
  <c r="AP326" i="43"/>
  <c r="AP327" i="43" s="1"/>
  <c r="AQ322" i="43" s="1"/>
  <c r="K69" i="82"/>
  <c r="K71" i="82" s="1"/>
  <c r="AP225" i="43"/>
  <c r="AP227" i="43" s="1"/>
  <c r="AP257" i="43"/>
  <c r="X62" i="82" s="1"/>
  <c r="AO219" i="43" l="1"/>
  <c r="AO255" i="43"/>
  <c r="AS322" i="43"/>
  <c r="AP165" i="43"/>
  <c r="AP166" i="43" s="1"/>
  <c r="AP167" i="43" s="1"/>
  <c r="AQ167" i="43" s="1"/>
  <c r="K44" i="82"/>
  <c r="K48" i="82" s="1"/>
  <c r="K54" i="82" s="1"/>
  <c r="AP191" i="43"/>
  <c r="AP200" i="43" s="1"/>
  <c r="AS164" i="43"/>
  <c r="AP145" i="43"/>
  <c r="AQ164" i="43"/>
  <c r="AP168" i="43"/>
  <c r="AP170" i="43" s="1"/>
  <c r="AO170" i="43"/>
  <c r="AP146" i="43"/>
  <c r="AP215" i="43"/>
  <c r="AP217" i="43" s="1"/>
  <c r="AP218" i="43" s="1"/>
  <c r="K60" i="82"/>
  <c r="K63" i="82" s="1"/>
  <c r="K64" i="82" s="1"/>
  <c r="AO148" i="43"/>
  <c r="AV277" i="43"/>
  <c r="M16" i="82"/>
  <c r="M19" i="82" s="1"/>
  <c r="N70" i="83"/>
  <c r="M72" i="83"/>
  <c r="M78" i="83" s="1"/>
  <c r="M82" i="83" s="1"/>
  <c r="M85" i="83" s="1"/>
  <c r="C88" i="83" s="1"/>
  <c r="AY70" i="43"/>
  <c r="AY277" i="43" s="1"/>
  <c r="AW277" i="43"/>
  <c r="BA276" i="43"/>
  <c r="BA324" i="43"/>
  <c r="BA140" i="43"/>
  <c r="AY324" i="43"/>
  <c r="AY276" i="43"/>
  <c r="AZ70" i="43"/>
  <c r="AZ67" i="43"/>
  <c r="BB66" i="43"/>
  <c r="BB67" i="43" s="1"/>
  <c r="AO292" i="43"/>
  <c r="AP286" i="43"/>
  <c r="AO304" i="43"/>
  <c r="AP299" i="43"/>
  <c r="AP301" i="43" s="1"/>
  <c r="K22" i="82" s="1"/>
  <c r="AO288" i="43"/>
  <c r="AZ324" i="43"/>
  <c r="AZ276" i="43"/>
  <c r="BB140" i="43"/>
  <c r="AP283" i="43"/>
  <c r="X33" i="82" s="1"/>
  <c r="W9" i="83"/>
  <c r="K17" i="82"/>
  <c r="X29" i="82"/>
  <c r="AP295" i="43"/>
  <c r="E30" i="83"/>
  <c r="E34" i="83" s="1"/>
  <c r="E36" i="83" s="1"/>
  <c r="E37" i="83" s="1"/>
  <c r="BA67" i="43"/>
  <c r="BA70" i="43"/>
  <c r="BA277" i="43" s="1"/>
  <c r="BB74" i="43"/>
  <c r="AP148" i="43" l="1"/>
  <c r="AP251" i="43" s="1"/>
  <c r="D88" i="83"/>
  <c r="AP201" i="43"/>
  <c r="AP219" i="43"/>
  <c r="AP255" i="43"/>
  <c r="X61" i="82" s="1"/>
  <c r="K65" i="82"/>
  <c r="AR167" i="43"/>
  <c r="N72" i="83"/>
  <c r="N78" i="83" s="1"/>
  <c r="N82" i="83" s="1"/>
  <c r="N83" i="83" s="1"/>
  <c r="N85" i="83" s="1"/>
  <c r="C89" i="83" s="1"/>
  <c r="D89" i="83" s="1"/>
  <c r="AO248" i="43"/>
  <c r="AO226" i="43"/>
  <c r="AP152" i="43"/>
  <c r="X58" i="82" s="1"/>
  <c r="AP149" i="43"/>
  <c r="X56" i="82"/>
  <c r="AO152" i="43"/>
  <c r="AO149" i="43"/>
  <c r="AO155" i="43"/>
  <c r="AO249" i="43"/>
  <c r="AO256" i="43" s="1"/>
  <c r="AO251" i="43"/>
  <c r="AO250" i="43"/>
  <c r="AO306" i="43"/>
  <c r="AQ308" i="43" s="1"/>
  <c r="AP304" i="43"/>
  <c r="AP306" i="43" s="1"/>
  <c r="AP292" i="43"/>
  <c r="AP288" i="43"/>
  <c r="AP294" i="43"/>
  <c r="BB276" i="43"/>
  <c r="BB324" i="43"/>
  <c r="BB70" i="43"/>
  <c r="BB277" i="43" s="1"/>
  <c r="AZ277" i="43"/>
  <c r="AO296" i="43"/>
  <c r="AO290" i="43"/>
  <c r="AO291" i="43"/>
  <c r="AP249" i="43" l="1"/>
  <c r="AP256" i="43" s="1"/>
  <c r="AP250" i="43"/>
  <c r="AP248" i="43"/>
  <c r="AP226" i="43"/>
  <c r="AO157" i="43"/>
  <c r="AO159" i="43" s="1"/>
  <c r="AP155" i="43"/>
  <c r="C90" i="83"/>
  <c r="AQ263" i="43"/>
  <c r="AQ310" i="43"/>
  <c r="AQ132" i="43" s="1"/>
  <c r="K21" i="82"/>
  <c r="AP290" i="43"/>
  <c r="AP291" i="43"/>
  <c r="X35" i="82" s="1"/>
  <c r="AP296" i="43"/>
  <c r="AP159" i="43" l="1"/>
  <c r="AP161" i="43" s="1"/>
  <c r="AO161" i="43"/>
  <c r="D90" i="83"/>
  <c r="C93" i="83"/>
  <c r="C99" i="83" s="1"/>
  <c r="AS154" i="43"/>
  <c r="AQ154" i="43"/>
  <c r="AP157" i="43"/>
  <c r="AP158" i="43" s="1"/>
  <c r="AQ325" i="43"/>
  <c r="AQ223" i="43"/>
  <c r="AQ265" i="43"/>
  <c r="AQ133" i="43"/>
  <c r="AQ134" i="43" s="1"/>
  <c r="AQ211" i="43" s="1"/>
  <c r="D93" i="83" l="1"/>
  <c r="D99" i="83"/>
  <c r="D101" i="83" s="1"/>
  <c r="AQ136" i="43"/>
  <c r="AQ137" i="43" s="1"/>
  <c r="AQ187" i="43" s="1"/>
  <c r="AQ191" i="43" s="1"/>
  <c r="AQ200" i="43" s="1"/>
  <c r="AR262" i="43"/>
  <c r="AQ267" i="43"/>
  <c r="AQ268" i="43" s="1"/>
  <c r="AR305" i="43"/>
  <c r="AS305" i="43" s="1"/>
  <c r="AQ326" i="43"/>
  <c r="AQ146" i="43"/>
  <c r="AQ215" i="43"/>
  <c r="AQ217" i="43" s="1"/>
  <c r="AQ221" i="43"/>
  <c r="AQ145" i="43" l="1"/>
  <c r="AR164" i="43"/>
  <c r="AQ165" i="43"/>
  <c r="AQ166" i="43" s="1"/>
  <c r="AQ168" i="43" s="1"/>
  <c r="AQ170" i="43" s="1"/>
  <c r="A39" i="83"/>
  <c r="D8" i="83"/>
  <c r="AQ225" i="43"/>
  <c r="AQ323" i="43"/>
  <c r="AQ327" i="43" s="1"/>
  <c r="AR322" i="43" s="1"/>
  <c r="AQ257" i="43"/>
  <c r="AQ148" i="43"/>
  <c r="AQ155" i="43"/>
  <c r="AQ280" i="43"/>
  <c r="AQ282" i="43" s="1"/>
  <c r="AQ281" i="43"/>
  <c r="AQ219" i="43"/>
  <c r="AQ255" i="43"/>
  <c r="I8" i="83" l="1"/>
  <c r="J8" i="83"/>
  <c r="C17" i="83"/>
  <c r="Z16" i="82"/>
  <c r="F8" i="83"/>
  <c r="K8" i="83"/>
  <c r="G8" i="83"/>
  <c r="E8" i="83"/>
  <c r="H8" i="83"/>
  <c r="L8" i="83"/>
  <c r="AQ286" i="43"/>
  <c r="AQ283" i="43"/>
  <c r="AQ295" i="43"/>
  <c r="AQ157" i="43"/>
  <c r="AQ159" i="43" s="1"/>
  <c r="AQ161" i="43" s="1"/>
  <c r="AR154" i="43"/>
  <c r="AQ152" i="43"/>
  <c r="AQ249" i="43"/>
  <c r="AQ256" i="43" s="1"/>
  <c r="AQ149" i="43"/>
  <c r="AQ250" i="43"/>
  <c r="AQ251" i="43"/>
  <c r="AQ226" i="43"/>
  <c r="AQ248" i="43"/>
  <c r="E17" i="83" l="1"/>
  <c r="AQ288" i="43"/>
  <c r="AQ304" i="43"/>
  <c r="AQ292" i="43"/>
  <c r="AQ306" i="43" l="1"/>
  <c r="AR308" i="43" s="1"/>
  <c r="AQ290" i="43"/>
  <c r="AQ291" i="43"/>
  <c r="AQ296" i="43"/>
  <c r="AS308" i="43" l="1"/>
  <c r="AS310" i="43" s="1"/>
  <c r="AR263" i="43"/>
  <c r="AR310" i="43"/>
  <c r="AR132" i="43" s="1"/>
  <c r="AS132" i="43" s="1"/>
  <c r="AR133" i="43" l="1"/>
  <c r="AS263" i="43"/>
  <c r="AS265" i="43" s="1"/>
  <c r="AR265" i="43"/>
  <c r="AS325" i="43"/>
  <c r="AS223" i="43"/>
  <c r="L35" i="82"/>
  <c r="AR325" i="43"/>
  <c r="AR134" i="43"/>
  <c r="AR136" i="43" s="1"/>
  <c r="AR137" i="43" s="1"/>
  <c r="AR187" i="43" s="1"/>
  <c r="AR223" i="43"/>
  <c r="AR326" i="43" l="1"/>
  <c r="L69" i="82"/>
  <c r="AS326" i="43"/>
  <c r="AT305" i="43"/>
  <c r="AR267" i="43"/>
  <c r="AR268" i="43" s="1"/>
  <c r="AT262" i="43"/>
  <c r="AS267" i="43"/>
  <c r="AV262" i="43"/>
  <c r="AR221" i="43"/>
  <c r="AS133" i="43"/>
  <c r="AS134" i="43"/>
  <c r="L37" i="82" s="1"/>
  <c r="AR211" i="43"/>
  <c r="AR145" i="43"/>
  <c r="AR165" i="43" s="1"/>
  <c r="AR166" i="43" s="1"/>
  <c r="AR168" i="43" s="1"/>
  <c r="AR191" i="43"/>
  <c r="AR200" i="43" s="1"/>
  <c r="AS187" i="43"/>
  <c r="AS136" i="43" l="1"/>
  <c r="AS137" i="43" s="1"/>
  <c r="AS268" i="43"/>
  <c r="AR280" i="43"/>
  <c r="AR282" i="43" s="1"/>
  <c r="AR281" i="43"/>
  <c r="AS168" i="43"/>
  <c r="AS170" i="43" s="1"/>
  <c r="AR170" i="43"/>
  <c r="L36" i="82"/>
  <c r="L39" i="82" s="1"/>
  <c r="L41" i="82" s="1"/>
  <c r="AS221" i="43"/>
  <c r="AR225" i="43"/>
  <c r="AR257" i="43"/>
  <c r="AR323" i="43"/>
  <c r="AR327" i="43" s="1"/>
  <c r="AR255" i="43"/>
  <c r="AR146" i="43"/>
  <c r="AR148" i="43" s="1"/>
  <c r="AR215" i="43"/>
  <c r="AR217" i="43" s="1"/>
  <c r="AS211" i="43"/>
  <c r="AT164" i="43"/>
  <c r="AS145" i="43"/>
  <c r="AS191" i="43"/>
  <c r="AS200" i="43" s="1"/>
  <c r="AS165" i="43"/>
  <c r="AS166" i="43" s="1"/>
  <c r="AS167" i="43" s="1"/>
  <c r="AT167" i="43" s="1"/>
  <c r="AU167" i="43" s="1"/>
  <c r="AV164" i="43"/>
  <c r="L44" i="82"/>
  <c r="L48" i="82" s="1"/>
  <c r="L54" i="82" s="1"/>
  <c r="AR295" i="43" l="1"/>
  <c r="AR283" i="43"/>
  <c r="AR286" i="43"/>
  <c r="AS323" i="43"/>
  <c r="AS327" i="43" s="1"/>
  <c r="AS225" i="43"/>
  <c r="AS227" i="43" s="1"/>
  <c r="L67" i="82"/>
  <c r="L71" i="82" s="1"/>
  <c r="AS257" i="43"/>
  <c r="Y62" i="82" s="1"/>
  <c r="AS281" i="43"/>
  <c r="AS280" i="43"/>
  <c r="Y34" i="82"/>
  <c r="AS255" i="43"/>
  <c r="Y61" i="82" s="1"/>
  <c r="AR219" i="43"/>
  <c r="AR250" i="43"/>
  <c r="AR152" i="43"/>
  <c r="AR249" i="43"/>
  <c r="AR256" i="43" s="1"/>
  <c r="AR149" i="43"/>
  <c r="AR155" i="43"/>
  <c r="AR251" i="43"/>
  <c r="AS146" i="43"/>
  <c r="AS148" i="43" s="1"/>
  <c r="AS215" i="43"/>
  <c r="AS217" i="43" s="1"/>
  <c r="AS219" i="43" s="1"/>
  <c r="L60" i="82"/>
  <c r="L63" i="82" s="1"/>
  <c r="L64" i="82" s="1"/>
  <c r="L65" i="82" s="1"/>
  <c r="AS201" i="43"/>
  <c r="L20" i="82" l="1"/>
  <c r="AS282" i="43"/>
  <c r="X9" i="83"/>
  <c r="AS283" i="43"/>
  <c r="Y33" i="82" s="1"/>
  <c r="L17" i="82"/>
  <c r="AS295" i="43"/>
  <c r="Y29" i="82"/>
  <c r="F30" i="83"/>
  <c r="F34" i="83" s="1"/>
  <c r="F36" i="83" s="1"/>
  <c r="F37" i="83" s="1"/>
  <c r="D7" i="83" s="1"/>
  <c r="AS299" i="43"/>
  <c r="AS301" i="43" s="1"/>
  <c r="L22" i="82" s="1"/>
  <c r="AS286" i="43"/>
  <c r="AR288" i="43"/>
  <c r="AR304" i="43"/>
  <c r="AR292" i="43"/>
  <c r="AT322" i="43"/>
  <c r="AV322" i="43"/>
  <c r="AS248" i="43"/>
  <c r="AS226" i="43"/>
  <c r="AR226" i="43"/>
  <c r="AR248" i="43"/>
  <c r="AS218" i="43"/>
  <c r="AS250" i="43"/>
  <c r="AS251" i="43"/>
  <c r="AS152" i="43"/>
  <c r="Y58" i="82" s="1"/>
  <c r="AS249" i="43"/>
  <c r="AS256" i="43" s="1"/>
  <c r="AS149" i="43"/>
  <c r="Y56" i="82"/>
  <c r="AR157" i="43"/>
  <c r="AR159" i="43" s="1"/>
  <c r="AS155" i="43"/>
  <c r="C16" i="83" l="1"/>
  <c r="J7" i="83"/>
  <c r="E7" i="83"/>
  <c r="H7" i="83"/>
  <c r="I7" i="83"/>
  <c r="K7" i="83"/>
  <c r="F7" i="83"/>
  <c r="G7" i="83"/>
  <c r="Z17" i="82"/>
  <c r="Z18" i="82" s="1"/>
  <c r="L7" i="83"/>
  <c r="D9" i="83"/>
  <c r="M9" i="83" s="1"/>
  <c r="AR306" i="43"/>
  <c r="AT308" i="43" s="1"/>
  <c r="AT263" i="43" s="1"/>
  <c r="AT265" i="43" s="1"/>
  <c r="AS304" i="43"/>
  <c r="AS306" i="43" s="1"/>
  <c r="AR290" i="43"/>
  <c r="AR291" i="43"/>
  <c r="AR296" i="43"/>
  <c r="AS288" i="43"/>
  <c r="AS294" i="43"/>
  <c r="AS292" i="43"/>
  <c r="M7" i="83"/>
  <c r="M8" i="83"/>
  <c r="AT154" i="43"/>
  <c r="AV154" i="43"/>
  <c r="AS157" i="43"/>
  <c r="AS158" i="43" s="1"/>
  <c r="AR161" i="43"/>
  <c r="AS159" i="43"/>
  <c r="AS161" i="43" s="1"/>
  <c r="AT310" i="43" l="1"/>
  <c r="AT132" i="43" s="1"/>
  <c r="J9" i="83"/>
  <c r="H9" i="83"/>
  <c r="D11" i="83"/>
  <c r="D12" i="83" s="1"/>
  <c r="L9" i="83"/>
  <c r="E9" i="83"/>
  <c r="G9" i="83"/>
  <c r="F9" i="83"/>
  <c r="I9" i="83"/>
  <c r="K9" i="83"/>
  <c r="E16" i="83"/>
  <c r="C18" i="83"/>
  <c r="AT267" i="43"/>
  <c r="AT268" i="43" s="1"/>
  <c r="AU305" i="43"/>
  <c r="AV305" i="43" s="1"/>
  <c r="AU262" i="43"/>
  <c r="AT133" i="43"/>
  <c r="AS290" i="43"/>
  <c r="AS296" i="43"/>
  <c r="AS291" i="43"/>
  <c r="Y35" i="82" s="1"/>
  <c r="L21" i="82"/>
  <c r="AT325" i="43"/>
  <c r="AT223" i="43"/>
  <c r="E18" i="83" l="1"/>
  <c r="C20" i="83"/>
  <c r="E20" i="83" s="1"/>
  <c r="C21" i="83"/>
  <c r="E12" i="83"/>
  <c r="L12" i="83"/>
  <c r="F12" i="83"/>
  <c r="J12" i="83"/>
  <c r="H12" i="83"/>
  <c r="G12" i="83"/>
  <c r="I12" i="83"/>
  <c r="D13" i="83"/>
  <c r="AC9" i="82"/>
  <c r="K12" i="83"/>
  <c r="M12" i="83"/>
  <c r="AT280" i="43"/>
  <c r="AT282" i="43" s="1"/>
  <c r="AT281" i="43"/>
  <c r="AT326" i="43"/>
  <c r="AT221" i="43"/>
  <c r="AT134" i="43"/>
  <c r="AT211" i="43" s="1"/>
  <c r="B5" i="82" l="1"/>
  <c r="Z8" i="82"/>
  <c r="Z9" i="82" s="1"/>
  <c r="E21" i="83"/>
  <c r="Z20" i="82"/>
  <c r="AT295" i="43"/>
  <c r="AT286" i="43"/>
  <c r="AT283" i="43"/>
  <c r="AT136" i="43"/>
  <c r="AT137" i="43" s="1"/>
  <c r="AT187" i="43" s="1"/>
  <c r="AT323" i="43"/>
  <c r="AT327" i="43" s="1"/>
  <c r="AU322" i="43" s="1"/>
  <c r="AT225" i="43"/>
  <c r="AT257" i="43"/>
  <c r="AT215" i="43"/>
  <c r="AT217" i="43" s="1"/>
  <c r="AT146" i="43"/>
  <c r="Z10" i="82" l="1"/>
  <c r="Z22" i="82"/>
  <c r="Z24" i="82" s="1"/>
  <c r="AT191" i="43"/>
  <c r="AT200" i="43" s="1"/>
  <c r="AT255" i="43" s="1"/>
  <c r="AT165" i="43"/>
  <c r="AT166" i="43" s="1"/>
  <c r="AT168" i="43" s="1"/>
  <c r="AT170" i="43" s="1"/>
  <c r="AT145" i="43"/>
  <c r="AT148" i="43" s="1"/>
  <c r="AU164" i="43"/>
  <c r="AT288" i="43"/>
  <c r="AT292" i="43"/>
  <c r="AT304" i="43"/>
  <c r="AT155" i="43"/>
  <c r="AT290" i="43" l="1"/>
  <c r="AT296" i="43"/>
  <c r="AT291" i="43"/>
  <c r="AT219" i="43"/>
  <c r="AT306" i="43"/>
  <c r="AU308" i="43" s="1"/>
  <c r="AT250" i="43"/>
  <c r="AT249" i="43"/>
  <c r="AT256" i="43" s="1"/>
  <c r="AT251" i="43"/>
  <c r="AT152" i="43"/>
  <c r="AT149" i="43"/>
  <c r="AT157" i="43"/>
  <c r="AT159" i="43" s="1"/>
  <c r="AT161" i="43" s="1"/>
  <c r="AU154" i="43"/>
  <c r="AV308" i="43" l="1"/>
  <c r="AV310" i="43" s="1"/>
  <c r="AU263" i="43"/>
  <c r="AU310" i="43"/>
  <c r="AU132" i="43" s="1"/>
  <c r="AT248" i="43"/>
  <c r="AT226" i="43"/>
  <c r="AU133" i="43" l="1"/>
  <c r="AU134" i="43" s="1"/>
  <c r="AU136" i="43" s="1"/>
  <c r="AU137" i="43" s="1"/>
  <c r="AU187" i="43" s="1"/>
  <c r="AV263" i="43"/>
  <c r="AV265" i="43" s="1"/>
  <c r="AU265" i="43"/>
  <c r="AV132" i="43"/>
  <c r="AU325" i="43"/>
  <c r="AU223" i="43"/>
  <c r="AU326" i="43" s="1"/>
  <c r="AV187" i="43" l="1"/>
  <c r="AU191" i="43"/>
  <c r="AU200" i="43" s="1"/>
  <c r="AU145" i="43"/>
  <c r="AU165" i="43" s="1"/>
  <c r="AU166" i="43" s="1"/>
  <c r="AU168" i="43" s="1"/>
  <c r="AV134" i="43"/>
  <c r="M37" i="82" s="1"/>
  <c r="AU211" i="43"/>
  <c r="AV325" i="43"/>
  <c r="M35" i="82"/>
  <c r="AV223" i="43"/>
  <c r="AW305" i="43"/>
  <c r="AU267" i="43"/>
  <c r="AU268" i="43" s="1"/>
  <c r="AV267" i="43"/>
  <c r="AY262" i="43"/>
  <c r="AW262" i="43"/>
  <c r="AU221" i="43"/>
  <c r="AV133" i="43"/>
  <c r="AV268" i="43" l="1"/>
  <c r="AV221" i="43"/>
  <c r="M36" i="82"/>
  <c r="AV136" i="43"/>
  <c r="AV137" i="43" s="1"/>
  <c r="AU255" i="43"/>
  <c r="M39" i="82"/>
  <c r="M41" i="82" s="1"/>
  <c r="AU257" i="43"/>
  <c r="AU225" i="43"/>
  <c r="AU323" i="43"/>
  <c r="AU327" i="43" s="1"/>
  <c r="AU146" i="43"/>
  <c r="AU148" i="43" s="1"/>
  <c r="AV211" i="43"/>
  <c r="AU215" i="43"/>
  <c r="AU217" i="43" s="1"/>
  <c r="Z34" i="82"/>
  <c r="AV280" i="43"/>
  <c r="AV281" i="43"/>
  <c r="AU280" i="43"/>
  <c r="AU282" i="43" s="1"/>
  <c r="AU281" i="43"/>
  <c r="AU170" i="43"/>
  <c r="AV168" i="43"/>
  <c r="AV170" i="43" s="1"/>
  <c r="M69" i="82"/>
  <c r="AV326" i="43"/>
  <c r="AY164" i="43"/>
  <c r="M44" i="82"/>
  <c r="M48" i="82" s="1"/>
  <c r="M54" i="82" s="1"/>
  <c r="AW164" i="43"/>
  <c r="AV145" i="43"/>
  <c r="AV191" i="43"/>
  <c r="AV200" i="43" s="1"/>
  <c r="AV255" i="43" s="1"/>
  <c r="Z61" i="82" s="1"/>
  <c r="AV165" i="43"/>
  <c r="AV166" i="43" s="1"/>
  <c r="AW167" i="43" s="1"/>
  <c r="AX167" i="43" s="1"/>
  <c r="AV201" i="43" l="1"/>
  <c r="AV282" i="43"/>
  <c r="M20" i="82"/>
  <c r="AU283" i="43"/>
  <c r="AU295" i="43"/>
  <c r="AU286" i="43"/>
  <c r="M17" i="82"/>
  <c r="AV295" i="43"/>
  <c r="AV283" i="43"/>
  <c r="Z33" i="82" s="1"/>
  <c r="Z29" i="82"/>
  <c r="AU219" i="43"/>
  <c r="M60" i="82"/>
  <c r="M63" i="82" s="1"/>
  <c r="M64" i="82" s="1"/>
  <c r="M65" i="82" s="1"/>
  <c r="AV215" i="43"/>
  <c r="AV217" i="43" s="1"/>
  <c r="AV219" i="43" s="1"/>
  <c r="AV146" i="43"/>
  <c r="AV148" i="43" s="1"/>
  <c r="AU249" i="43"/>
  <c r="AU256" i="43" s="1"/>
  <c r="AU155" i="43"/>
  <c r="AU152" i="43"/>
  <c r="AU251" i="43"/>
  <c r="AU250" i="43"/>
  <c r="AU149" i="43"/>
  <c r="AV323" i="43"/>
  <c r="AV327" i="43" s="1"/>
  <c r="AV225" i="43"/>
  <c r="AV257" i="43"/>
  <c r="Z62" i="82" s="1"/>
  <c r="M67" i="82"/>
  <c r="M71" i="82" s="1"/>
  <c r="AV218" i="43" l="1"/>
  <c r="AV299" i="43"/>
  <c r="AV301" i="43" s="1"/>
  <c r="M22" i="82" s="1"/>
  <c r="AU288" i="43"/>
  <c r="AU292" i="43"/>
  <c r="AV286" i="43"/>
  <c r="AU304" i="43"/>
  <c r="AV155" i="43"/>
  <c r="AU157" i="43"/>
  <c r="AU159" i="43" s="1"/>
  <c r="AU248" i="43"/>
  <c r="AU226" i="43"/>
  <c r="AY322" i="43"/>
  <c r="AW322" i="43"/>
  <c r="AV250" i="43"/>
  <c r="AV249" i="43"/>
  <c r="AV256" i="43" s="1"/>
  <c r="Z56" i="82"/>
  <c r="AV149" i="43"/>
  <c r="AV152" i="43"/>
  <c r="Z58" i="82" s="1"/>
  <c r="AV251" i="43"/>
  <c r="AV248" i="43"/>
  <c r="AV226" i="43"/>
  <c r="AW154" i="43" l="1"/>
  <c r="AV157" i="43"/>
  <c r="AV158" i="43" s="1"/>
  <c r="AY154" i="43"/>
  <c r="AU306" i="43"/>
  <c r="AW308" i="43" s="1"/>
  <c r="AV304" i="43"/>
  <c r="AV306" i="43" s="1"/>
  <c r="AV292" i="43"/>
  <c r="AV294" i="43"/>
  <c r="AV288" i="43"/>
  <c r="AU291" i="43"/>
  <c r="AU290" i="43"/>
  <c r="AU296" i="43"/>
  <c r="AV159" i="43"/>
  <c r="AV161" i="43" s="1"/>
  <c r="AU161" i="43"/>
  <c r="AV296" i="43" l="1"/>
  <c r="M21" i="82"/>
  <c r="AV290" i="43"/>
  <c r="AV291" i="43"/>
  <c r="Z35" i="82" s="1"/>
  <c r="AW263" i="43"/>
  <c r="AW310" i="43"/>
  <c r="AW132" i="43" s="1"/>
  <c r="AW223" i="43" l="1"/>
  <c r="AW325" i="43"/>
  <c r="AW133" i="43"/>
  <c r="AW265" i="43"/>
  <c r="AW326" i="43" l="1"/>
  <c r="AW221" i="43"/>
  <c r="AX262" i="43"/>
  <c r="AX305" i="43"/>
  <c r="AY305" i="43" s="1"/>
  <c r="AW267" i="43"/>
  <c r="AW268" i="43" s="1"/>
  <c r="AW134" i="43"/>
  <c r="AW211" i="43" s="1"/>
  <c r="AW215" i="43" l="1"/>
  <c r="AW217" i="43" s="1"/>
  <c r="AW146" i="43"/>
  <c r="AW281" i="43"/>
  <c r="AW280" i="43"/>
  <c r="AW282" i="43" s="1"/>
  <c r="AW136" i="43"/>
  <c r="AW137" i="43" s="1"/>
  <c r="AW187" i="43" s="1"/>
  <c r="AW225" i="43"/>
  <c r="AW323" i="43"/>
  <c r="AW327" i="43" s="1"/>
  <c r="AX322" i="43" s="1"/>
  <c r="AW257" i="43"/>
  <c r="AW286" i="43" l="1"/>
  <c r="AW283" i="43"/>
  <c r="AW295" i="43"/>
  <c r="AW155" i="43"/>
  <c r="AW145" i="43"/>
  <c r="AW148" i="43" s="1"/>
  <c r="AW165" i="43"/>
  <c r="AW166" i="43" s="1"/>
  <c r="AW168" i="43" s="1"/>
  <c r="AW170" i="43" s="1"/>
  <c r="AW191" i="43"/>
  <c r="AW200" i="43" s="1"/>
  <c r="AW255" i="43" s="1"/>
  <c r="AX164" i="43"/>
  <c r="AW219" i="43" l="1"/>
  <c r="AW149" i="43"/>
  <c r="AW251" i="43"/>
  <c r="AW152" i="43"/>
  <c r="AW250" i="43"/>
  <c r="AW249" i="43"/>
  <c r="AW256" i="43" s="1"/>
  <c r="AW248" i="43"/>
  <c r="AW226" i="43"/>
  <c r="AW157" i="43"/>
  <c r="AW159" i="43" s="1"/>
  <c r="AW161" i="43" s="1"/>
  <c r="AX154" i="43"/>
  <c r="AW288" i="43"/>
  <c r="AW304" i="43"/>
  <c r="AW292" i="43"/>
  <c r="AW306" i="43" l="1"/>
  <c r="AX308" i="43" s="1"/>
  <c r="AW296" i="43"/>
  <c r="AW290" i="43"/>
  <c r="AW291" i="43"/>
  <c r="AY308" i="43" l="1"/>
  <c r="AY310" i="43" s="1"/>
  <c r="AX263" i="43"/>
  <c r="AX310" i="43"/>
  <c r="AX132" i="43" s="1"/>
  <c r="AX133" i="43" l="1"/>
  <c r="AX134" i="43" s="1"/>
  <c r="AY263" i="43"/>
  <c r="AY265" i="43" s="1"/>
  <c r="AX265" i="43"/>
  <c r="AX325" i="43"/>
  <c r="AY132" i="43"/>
  <c r="AX223" i="43"/>
  <c r="AX326" i="43" s="1"/>
  <c r="AY134" i="43" l="1"/>
  <c r="AX211" i="43"/>
  <c r="AY325" i="43"/>
  <c r="AY223" i="43"/>
  <c r="AX136" i="43"/>
  <c r="AX137" i="43" s="1"/>
  <c r="AX187" i="43" s="1"/>
  <c r="AZ305" i="43"/>
  <c r="AX267" i="43"/>
  <c r="AX268" i="43" s="1"/>
  <c r="AZ262" i="43"/>
  <c r="BB262" i="43"/>
  <c r="AY267" i="43"/>
  <c r="AX221" i="43"/>
  <c r="AY133" i="43"/>
  <c r="AY221" i="43" s="1"/>
  <c r="AX280" i="43" l="1"/>
  <c r="AX282" i="43" s="1"/>
  <c r="AX281" i="43"/>
  <c r="AX145" i="43"/>
  <c r="AX165" i="43" s="1"/>
  <c r="AX166" i="43" s="1"/>
  <c r="AX168" i="43" s="1"/>
  <c r="AY187" i="43"/>
  <c r="AX191" i="43"/>
  <c r="AX200" i="43" s="1"/>
  <c r="AY225" i="43"/>
  <c r="AY323" i="43"/>
  <c r="AY257" i="43"/>
  <c r="AY326" i="43"/>
  <c r="AX323" i="43"/>
  <c r="AX327" i="43" s="1"/>
  <c r="AX225" i="43"/>
  <c r="AX257" i="43"/>
  <c r="AY268" i="43"/>
  <c r="AY136" i="43"/>
  <c r="AY137" i="43" s="1"/>
  <c r="AY211" i="43"/>
  <c r="AX146" i="43"/>
  <c r="AX148" i="43" s="1"/>
  <c r="AX215" i="43"/>
  <c r="AX217" i="43" s="1"/>
  <c r="AY327" i="43" l="1"/>
  <c r="AX219" i="43"/>
  <c r="AZ322" i="43"/>
  <c r="BB322" i="43"/>
  <c r="AX170" i="43"/>
  <c r="AY168" i="43"/>
  <c r="AY170" i="43" s="1"/>
  <c r="AX226" i="43"/>
  <c r="AX248" i="43"/>
  <c r="AX249" i="43"/>
  <c r="AX256" i="43" s="1"/>
  <c r="AX152" i="43"/>
  <c r="AX155" i="43"/>
  <c r="AX250" i="43"/>
  <c r="AX251" i="43"/>
  <c r="AX149" i="43"/>
  <c r="AY215" i="43"/>
  <c r="AY217" i="43" s="1"/>
  <c r="AY218" i="43" s="1"/>
  <c r="AY146" i="43"/>
  <c r="AX255" i="43"/>
  <c r="AY191" i="43"/>
  <c r="AY200" i="43" s="1"/>
  <c r="AY201" i="43" s="1"/>
  <c r="AY165" i="43"/>
  <c r="AY166" i="43" s="1"/>
  <c r="AY167" i="43" s="1"/>
  <c r="BA167" i="43" s="1"/>
  <c r="AY145" i="43"/>
  <c r="AZ164" i="43"/>
  <c r="BB164" i="43"/>
  <c r="AY280" i="43"/>
  <c r="AY282" i="43" s="1"/>
  <c r="AY281" i="43"/>
  <c r="AX286" i="43"/>
  <c r="AX283" i="43"/>
  <c r="AX295" i="43"/>
  <c r="AY227" i="43"/>
  <c r="AY148" i="43" l="1"/>
  <c r="AY249" i="43"/>
  <c r="AY256" i="43" s="1"/>
  <c r="AY149" i="43"/>
  <c r="AY152" i="43"/>
  <c r="AY251" i="43"/>
  <c r="AY250" i="43"/>
  <c r="AX292" i="43"/>
  <c r="AY286" i="43"/>
  <c r="AX288" i="43"/>
  <c r="AX304" i="43"/>
  <c r="AY299" i="43"/>
  <c r="AY301" i="43" s="1"/>
  <c r="AY255" i="43"/>
  <c r="AY219" i="43"/>
  <c r="AY295" i="43"/>
  <c r="AY283" i="43"/>
  <c r="AX157" i="43"/>
  <c r="AX159" i="43" s="1"/>
  <c r="AY155" i="43"/>
  <c r="AY226" i="43" l="1"/>
  <c r="AY248" i="43"/>
  <c r="BB154" i="43"/>
  <c r="AY157" i="43"/>
  <c r="AY158" i="43" s="1"/>
  <c r="AZ154" i="43"/>
  <c r="AY159" i="43"/>
  <c r="AY161" i="43" s="1"/>
  <c r="AX161" i="43"/>
  <c r="AX306" i="43"/>
  <c r="AZ308" i="43" s="1"/>
  <c r="AY304" i="43"/>
  <c r="AY306" i="43" s="1"/>
  <c r="AX290" i="43"/>
  <c r="AX291" i="43"/>
  <c r="AX296" i="43"/>
  <c r="AY288" i="43"/>
  <c r="AY292" i="43"/>
  <c r="AY294" i="43"/>
  <c r="AY290" i="43" l="1"/>
  <c r="AY296" i="43"/>
  <c r="AY291" i="43"/>
  <c r="AZ310" i="43"/>
  <c r="AZ132" i="43" s="1"/>
  <c r="AZ263" i="43"/>
  <c r="AZ133" i="43" l="1"/>
  <c r="AZ134" i="43" s="1"/>
  <c r="AZ211" i="43" s="1"/>
  <c r="AZ265" i="43"/>
  <c r="AZ325" i="43"/>
  <c r="AZ223" i="43"/>
  <c r="AZ221" i="43" l="1"/>
  <c r="AZ215" i="43"/>
  <c r="AZ217" i="43" s="1"/>
  <c r="AZ146" i="43"/>
  <c r="AZ326" i="43"/>
  <c r="AZ136" i="43"/>
  <c r="AZ137" i="43" s="1"/>
  <c r="AZ187" i="43" s="1"/>
  <c r="AZ267" i="43"/>
  <c r="AZ268" i="43" s="1"/>
  <c r="BA305" i="43"/>
  <c r="BB305" i="43" s="1"/>
  <c r="BA262" i="43"/>
  <c r="AZ155" i="43" l="1"/>
  <c r="AZ280" i="43"/>
  <c r="AZ282" i="43" s="1"/>
  <c r="AZ281" i="43"/>
  <c r="AZ323" i="43"/>
  <c r="AZ327" i="43" s="1"/>
  <c r="BA322" i="43" s="1"/>
  <c r="AZ225" i="43"/>
  <c r="AZ257" i="43"/>
  <c r="AZ165" i="43"/>
  <c r="AZ166" i="43" s="1"/>
  <c r="AZ168" i="43" s="1"/>
  <c r="AZ170" i="43" s="1"/>
  <c r="AZ191" i="43"/>
  <c r="AZ200" i="43" s="1"/>
  <c r="BA164" i="43"/>
  <c r="AZ145" i="43"/>
  <c r="AZ148" i="43" s="1"/>
  <c r="AZ250" i="43" l="1"/>
  <c r="AZ149" i="43"/>
  <c r="AZ152" i="43"/>
  <c r="AZ251" i="43"/>
  <c r="AZ249" i="43"/>
  <c r="AZ256" i="43" s="1"/>
  <c r="AZ219" i="43"/>
  <c r="AZ255" i="43"/>
  <c r="AZ283" i="43"/>
  <c r="AZ295" i="43"/>
  <c r="AZ286" i="43"/>
  <c r="AZ157" i="43"/>
  <c r="AZ159" i="43" s="1"/>
  <c r="AZ161" i="43" s="1"/>
  <c r="BA154" i="43"/>
  <c r="AZ226" i="43" l="1"/>
  <c r="AZ248" i="43"/>
  <c r="AZ304" i="43"/>
  <c r="AZ292" i="43"/>
  <c r="AZ288" i="43"/>
  <c r="AZ291" i="43" l="1"/>
  <c r="AZ290" i="43"/>
  <c r="AZ296" i="43"/>
  <c r="AZ306" i="43"/>
  <c r="BA308" i="43" s="1"/>
  <c r="BB308" i="43" l="1"/>
  <c r="BB310" i="43" s="1"/>
  <c r="BA310" i="43"/>
  <c r="BA132" i="43" s="1"/>
  <c r="BA263" i="43"/>
  <c r="BA133" i="43" l="1"/>
  <c r="BA134" i="43" s="1"/>
  <c r="BB263" i="43"/>
  <c r="BB265" i="43" s="1"/>
  <c r="BB267" i="43" s="1"/>
  <c r="BA265" i="43"/>
  <c r="BA267" i="43" s="1"/>
  <c r="BA268" i="43" s="1"/>
  <c r="BA325" i="43"/>
  <c r="BB132" i="43"/>
  <c r="BA223" i="43"/>
  <c r="BA326" i="43" s="1"/>
  <c r="BB134" i="43" l="1"/>
  <c r="BA211" i="43"/>
  <c r="BB325" i="43"/>
  <c r="BB223" i="43"/>
  <c r="BB326" i="43" s="1"/>
  <c r="BA136" i="43"/>
  <c r="BA137" i="43" s="1"/>
  <c r="BA187" i="43" s="1"/>
  <c r="BA281" i="43"/>
  <c r="BA280" i="43"/>
  <c r="BA282" i="43" s="1"/>
  <c r="BB268" i="43"/>
  <c r="BA221" i="43"/>
  <c r="BB133" i="43"/>
  <c r="BB221" i="43" s="1"/>
  <c r="BA283" i="43" l="1"/>
  <c r="BA295" i="43"/>
  <c r="BA286" i="43"/>
  <c r="BA145" i="43"/>
  <c r="BA165" i="43" s="1"/>
  <c r="BA166" i="43" s="1"/>
  <c r="BA168" i="43" s="1"/>
  <c r="BA191" i="43"/>
  <c r="BA200" i="43" s="1"/>
  <c r="BB187" i="43"/>
  <c r="BB225" i="43"/>
  <c r="BB323" i="43"/>
  <c r="BB327" i="43" s="1"/>
  <c r="BB257" i="43"/>
  <c r="BB136" i="43"/>
  <c r="BB137" i="43" s="1"/>
  <c r="BA323" i="43"/>
  <c r="BA327" i="43" s="1"/>
  <c r="BA225" i="43"/>
  <c r="BA257" i="43"/>
  <c r="BA215" i="43"/>
  <c r="BA217" i="43" s="1"/>
  <c r="BA146" i="43"/>
  <c r="BB211" i="43"/>
  <c r="BB280" i="43"/>
  <c r="BB282" i="43" s="1"/>
  <c r="BB281" i="43"/>
  <c r="BA148" i="43" l="1"/>
  <c r="BB145" i="43"/>
  <c r="BB165" i="43"/>
  <c r="BB166" i="43" s="1"/>
  <c r="BB167" i="43" s="1"/>
  <c r="BB191" i="43"/>
  <c r="BB200" i="43" s="1"/>
  <c r="BB255" i="43" s="1"/>
  <c r="BB146" i="43"/>
  <c r="BB148" i="43" s="1"/>
  <c r="BB215" i="43"/>
  <c r="BB217" i="43" s="1"/>
  <c r="BB219" i="43" s="1"/>
  <c r="BA155" i="43"/>
  <c r="BA249" i="43"/>
  <c r="BA256" i="43" s="1"/>
  <c r="BA152" i="43"/>
  <c r="BA251" i="43"/>
  <c r="BA149" i="43"/>
  <c r="BA250" i="43"/>
  <c r="BA255" i="43"/>
  <c r="BA219" i="43"/>
  <c r="BB295" i="43"/>
  <c r="BB283" i="43"/>
  <c r="BB227" i="43"/>
  <c r="BB168" i="43"/>
  <c r="BB170" i="43" s="1"/>
  <c r="BA170" i="43"/>
  <c r="BB299" i="43"/>
  <c r="BB301" i="43" s="1"/>
  <c r="BA288" i="43"/>
  <c r="BA304" i="43"/>
  <c r="BB286" i="43"/>
  <c r="BA292" i="43"/>
  <c r="BB201" i="43" l="1"/>
  <c r="BA290" i="43"/>
  <c r="BA291" i="43"/>
  <c r="BA296" i="43"/>
  <c r="BB226" i="43"/>
  <c r="BB248" i="43"/>
  <c r="BB218" i="43"/>
  <c r="BB152" i="43"/>
  <c r="BB251" i="43"/>
  <c r="BB149" i="43"/>
  <c r="BB249" i="43"/>
  <c r="BB256" i="43" s="1"/>
  <c r="BB250" i="43"/>
  <c r="BA306" i="43"/>
  <c r="BB304" i="43"/>
  <c r="BB306" i="43" s="1"/>
  <c r="BA248" i="43"/>
  <c r="BA226" i="43"/>
  <c r="BB155" i="43"/>
  <c r="BB157" i="43" s="1"/>
  <c r="BB158" i="43" s="1"/>
  <c r="BA157" i="43"/>
  <c r="BA159" i="43" s="1"/>
  <c r="BB288" i="43"/>
  <c r="BB294" i="43"/>
  <c r="BB292" i="43"/>
  <c r="BB296" i="43" l="1"/>
  <c r="BB290" i="43"/>
  <c r="BB291" i="43"/>
  <c r="BB159" i="43"/>
  <c r="BB161" i="43" s="1"/>
  <c r="BA161" i="43"/>
  <c r="P41" i="82" l="1"/>
  <c r="Q41" i="82"/>
  <c r="R41" i="82"/>
  <c r="S41" i="82"/>
  <c r="T41" i="82"/>
  <c r="U41" i="82"/>
  <c r="P52" i="82"/>
  <c r="Q52" i="82"/>
  <c r="R52" i="82"/>
  <c r="S52" i="82"/>
  <c r="T52" i="82"/>
  <c r="U52"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tc={7AD2FE30-E3B7-418E-A0D3-E07A8F43F35B}</author>
    <author>Sick, Julianna C (Research)</author>
    <author>Michael, Joseph (Research)</author>
    <author>Shenoy, Dinesh (Research)</author>
    <author>McAlister, Ella (Research)</author>
  </authors>
  <commentList>
    <comment ref="AG18" authorId="0" shapeId="0" xr:uid="{7AD2FE30-E3B7-418E-A0D3-E07A8F43F35B}">
      <text>
        <t>[Threaded comment]
Your version of Excel allows you to read this threaded comment; however, any edits to it will get removed if the file is opened in a newer version of Excel. Learn more: https://go.microsoft.com/fwlink/?linkid=870924
Comment:
    1,243.8</t>
      </text>
    </comment>
    <comment ref="AO18" authorId="1" shapeId="0" xr:uid="{EB4D5A81-7DA4-4BF5-8197-D59664EB49D4}">
      <text>
        <r>
          <rPr>
            <b/>
            <sz val="9"/>
            <color indexed="81"/>
            <rFont val="Tahoma"/>
            <family val="2"/>
          </rPr>
          <t>Sick, Julianna C (Research):</t>
        </r>
        <r>
          <rPr>
            <sz val="9"/>
            <color indexed="81"/>
            <rFont val="Tahoma"/>
            <family val="2"/>
          </rPr>
          <t xml:space="preserve">
Guidance external sales, to be up MSD% vs pcp</t>
        </r>
      </text>
    </comment>
    <comment ref="AP18" authorId="1" shapeId="0" xr:uid="{28B18626-3B7E-45D8-93A1-AD89E86B4B32}">
      <text>
        <r>
          <rPr>
            <b/>
            <sz val="9"/>
            <color indexed="81"/>
            <rFont val="Tahoma"/>
            <family val="2"/>
          </rPr>
          <t>Sick, Julianna C (Research):</t>
        </r>
        <r>
          <rPr>
            <sz val="9"/>
            <color indexed="81"/>
            <rFont val="Tahoma"/>
            <family val="2"/>
          </rPr>
          <t xml:space="preserve">
Guidance external sales to be broadly flat vs pcp</t>
        </r>
      </text>
    </comment>
    <comment ref="AN19" authorId="2" shapeId="0" xr:uid="{03D25CA3-60B8-4F05-942A-EF1B7E846F1E}">
      <text>
        <r>
          <rPr>
            <b/>
            <sz val="9"/>
            <color indexed="81"/>
            <rFont val="Tahoma"/>
            <family val="2"/>
          </rPr>
          <t>Michael, Joseph (Research):</t>
        </r>
        <r>
          <rPr>
            <sz val="9"/>
            <color indexed="81"/>
            <rFont val="Tahoma"/>
            <family val="2"/>
          </rPr>
          <t xml:space="preserve">
Sales broadly flat to down LSD %</t>
        </r>
      </text>
    </comment>
    <comment ref="AM31" authorId="1" shapeId="0" xr:uid="{339598E8-400E-4133-B8BF-E9D041968D96}">
      <text>
        <r>
          <rPr>
            <b/>
            <sz val="9"/>
            <color indexed="81"/>
            <rFont val="Tahoma"/>
            <family val="2"/>
          </rPr>
          <t xml:space="preserve">Sick, Julianna C 
</t>
        </r>
        <r>
          <rPr>
            <sz val="9"/>
            <color indexed="81"/>
            <rFont val="Tahoma"/>
            <family val="2"/>
          </rPr>
          <t>68.8</t>
        </r>
        <r>
          <rPr>
            <b/>
            <sz val="9"/>
            <color indexed="81"/>
            <rFont val="Tahoma"/>
            <family val="2"/>
          </rPr>
          <t xml:space="preserve">
</t>
        </r>
      </text>
    </comment>
    <comment ref="AP31" authorId="1" shapeId="0" xr:uid="{9B1B45C1-DBC5-466E-B16C-625371048A16}">
      <text>
        <r>
          <rPr>
            <b/>
            <sz val="9"/>
            <color indexed="81"/>
            <rFont val="Tahoma"/>
            <family val="2"/>
          </rPr>
          <t>Sick, Julianna C (Research):</t>
        </r>
        <r>
          <rPr>
            <sz val="9"/>
            <color indexed="81"/>
            <rFont val="Tahoma"/>
            <family val="2"/>
          </rPr>
          <t xml:space="preserve">
Guidance US$70-72m</t>
        </r>
      </text>
    </comment>
    <comment ref="R37" authorId="3" shapeId="0" xr:uid="{00000000-0006-0000-0200-000001000000}">
      <text>
        <r>
          <rPr>
            <b/>
            <sz val="9"/>
            <color indexed="81"/>
            <rFont val="Tahoma"/>
            <family val="2"/>
          </rPr>
          <t>Shenoy, Dinesh (Research):</t>
        </r>
        <r>
          <rPr>
            <sz val="9"/>
            <color indexed="81"/>
            <rFont val="Tahoma"/>
            <family val="2"/>
          </rPr>
          <t xml:space="preserve">
EBITDA excluding the one time charge of </t>
        </r>
        <r>
          <rPr>
            <b/>
            <sz val="9"/>
            <color indexed="81"/>
            <rFont val="Tahoma"/>
            <family val="2"/>
          </rPr>
          <t>US$6mn</t>
        </r>
        <r>
          <rPr>
            <sz val="9"/>
            <color indexed="81"/>
            <rFont val="Tahoma"/>
            <family val="2"/>
          </rPr>
          <t xml:space="preserve"> for reclassification of categories </t>
        </r>
      </text>
    </comment>
    <comment ref="AP39" authorId="1" shapeId="0" xr:uid="{19183418-ADDC-4569-A971-6F1DAC466559}">
      <text>
        <r>
          <rPr>
            <b/>
            <sz val="9"/>
            <color indexed="81"/>
            <rFont val="Tahoma"/>
            <family val="2"/>
          </rPr>
          <t>Sick, Julianna C (Research):</t>
        </r>
        <r>
          <rPr>
            <sz val="9"/>
            <color indexed="81"/>
            <rFont val="Tahoma"/>
            <family val="2"/>
          </rPr>
          <t xml:space="preserve">
Guidance expected to be LOWER vs pcp</t>
        </r>
      </text>
    </comment>
    <comment ref="L59" authorId="3" shapeId="0" xr:uid="{00000000-0006-0000-0200-000002000000}">
      <text>
        <r>
          <rPr>
            <b/>
            <sz val="9"/>
            <color indexed="81"/>
            <rFont val="Tahoma"/>
            <family val="2"/>
          </rPr>
          <t>Shenoy, Dinesh (Research):</t>
        </r>
        <r>
          <rPr>
            <sz val="9"/>
            <color indexed="81"/>
            <rFont val="Tahoma"/>
            <family val="2"/>
          </rPr>
          <t xml:space="preserve">
FY16 Pro Forma  EBIT / Net Finance Costs = 13.1 
As per page 20 of FY17 presentation </t>
        </r>
      </text>
    </comment>
    <comment ref="AP59" authorId="1" shapeId="0" xr:uid="{6694E871-2451-4115-8EA3-E1B7165D0124}">
      <text>
        <r>
          <rPr>
            <b/>
            <sz val="9"/>
            <color indexed="81"/>
            <rFont val="Tahoma"/>
            <family val="2"/>
          </rPr>
          <t>Sick, Julianna C (Research):</t>
        </r>
        <r>
          <rPr>
            <sz val="9"/>
            <color indexed="81"/>
            <rFont val="Tahoma"/>
            <family val="2"/>
          </rPr>
          <t xml:space="preserve">
Guidance US$21m to US$25m</t>
        </r>
      </text>
    </comment>
    <comment ref="R72" authorId="3" shapeId="0" xr:uid="{00000000-0006-0000-0200-000003000000}">
      <text>
        <r>
          <rPr>
            <b/>
            <sz val="9"/>
            <color indexed="81"/>
            <rFont val="Tahoma"/>
            <family val="2"/>
          </rPr>
          <t>Shenoy, Dinesh (Research):</t>
        </r>
        <r>
          <rPr>
            <sz val="9"/>
            <color indexed="81"/>
            <rFont val="Tahoma"/>
            <family val="2"/>
          </rPr>
          <t xml:space="preserve">
Includes:
1)  contribution from John Guests
2) Transaction related expenses 
3) Associated financing costs</t>
        </r>
      </text>
    </comment>
    <comment ref="AM104" authorId="1" shapeId="0" xr:uid="{2E45C8FE-E5C4-4CFA-B762-F28FB55D6092}">
      <text>
        <r>
          <rPr>
            <b/>
            <sz val="9"/>
            <color indexed="81"/>
            <rFont val="Tahoma"/>
            <family val="2"/>
          </rPr>
          <t>Sick, Julianna C (Research):</t>
        </r>
        <r>
          <rPr>
            <sz val="9"/>
            <color indexed="81"/>
            <rFont val="Tahoma"/>
            <family val="2"/>
          </rPr>
          <t xml:space="preserve">
Guidance tax range 18-21%</t>
        </r>
      </text>
    </comment>
    <comment ref="AP104" authorId="1" shapeId="0" xr:uid="{717B34EC-612D-4CC5-9CE6-CBC573C28DA2}">
      <text>
        <r>
          <rPr>
            <b/>
            <sz val="9"/>
            <color indexed="81"/>
            <rFont val="Tahoma"/>
            <family val="2"/>
          </rPr>
          <t>Sick, Julianna C (Research):</t>
        </r>
        <r>
          <rPr>
            <sz val="9"/>
            <color indexed="81"/>
            <rFont val="Tahoma"/>
            <family val="2"/>
          </rPr>
          <t xml:space="preserve">
Guidance 18-20%</t>
        </r>
      </text>
    </comment>
    <comment ref="U124" authorId="3" shapeId="0" xr:uid="{00000000-0006-0000-0200-000004000000}">
      <text>
        <r>
          <rPr>
            <b/>
            <sz val="9"/>
            <color indexed="81"/>
            <rFont val="Tahoma"/>
            <family val="2"/>
          </rPr>
          <t>Shenoy, Dinesh (Research):</t>
        </r>
        <r>
          <rPr>
            <sz val="9"/>
            <color indexed="81"/>
            <rFont val="Tahoma"/>
            <family val="2"/>
          </rPr>
          <t xml:space="preserve">
From FY18  transcripts-
"For FY '19, capital expenditure is'forecast to be in the range of AUD65 million to AUD75 mn, including capital spend for John Guest of about 25 mn.
Ensure maintenance capex inline with long run capex/depn.</t>
        </r>
      </text>
    </comment>
    <comment ref="AM124" authorId="1" shapeId="0" xr:uid="{19977950-3BAA-438B-A0D0-7780D261CABD}">
      <text>
        <r>
          <rPr>
            <b/>
            <sz val="9"/>
            <color indexed="81"/>
            <rFont val="Tahoma"/>
            <family val="2"/>
          </rPr>
          <t>Sick, Julianna C (Research):</t>
        </r>
        <r>
          <rPr>
            <sz val="9"/>
            <color indexed="81"/>
            <rFont val="Tahoma"/>
            <family val="2"/>
          </rPr>
          <t xml:space="preserve">
Maintenance capex guidance US$20m-22m</t>
        </r>
      </text>
    </comment>
    <comment ref="AP124" authorId="1" shapeId="0" xr:uid="{C1D6DBEB-62AF-4EDF-94EF-6221BDFCE307}">
      <text>
        <r>
          <rPr>
            <b/>
            <sz val="9"/>
            <color indexed="81"/>
            <rFont val="Tahoma"/>
            <family val="2"/>
          </rPr>
          <t>Sick, Julianna C (Research):</t>
        </r>
        <r>
          <rPr>
            <sz val="9"/>
            <color indexed="81"/>
            <rFont val="Tahoma"/>
            <family val="2"/>
          </rPr>
          <t xml:space="preserve">
Guidance US$19-20m</t>
        </r>
      </text>
    </comment>
    <comment ref="AP125" authorId="1" shapeId="0" xr:uid="{4E0EF711-C948-40CB-99DE-B9EA86FB5F2D}">
      <text>
        <r>
          <rPr>
            <b/>
            <sz val="9"/>
            <color indexed="81"/>
            <rFont val="Tahoma"/>
            <family val="2"/>
          </rPr>
          <t>Sick, Julianna C (Research):</t>
        </r>
        <r>
          <rPr>
            <sz val="9"/>
            <color indexed="81"/>
            <rFont val="Tahoma"/>
            <family val="2"/>
          </rPr>
          <t xml:space="preserve">
Guidance US$6-10m</t>
        </r>
      </text>
    </comment>
    <comment ref="AM126" authorId="1" shapeId="0" xr:uid="{57EC782B-F76C-46EF-A7E6-91B13D17923A}">
      <text>
        <r>
          <rPr>
            <b/>
            <sz val="9"/>
            <color indexed="81"/>
            <rFont val="Tahoma"/>
            <family val="2"/>
          </rPr>
          <t>Sick, Julianna C (Research):</t>
        </r>
        <r>
          <rPr>
            <sz val="9"/>
            <color indexed="81"/>
            <rFont val="Tahoma"/>
            <family val="2"/>
          </rPr>
          <t xml:space="preserve">
Total capex guidance US$35-40m</t>
        </r>
      </text>
    </comment>
    <comment ref="AP126" authorId="1" shapeId="0" xr:uid="{211B0081-8EE4-4FB4-9C2C-28893B3C1052}">
      <text>
        <r>
          <rPr>
            <b/>
            <sz val="9"/>
            <color indexed="81"/>
            <rFont val="Tahoma"/>
            <family val="2"/>
          </rPr>
          <t>Sick, Julianna C (Research):</t>
        </r>
        <r>
          <rPr>
            <sz val="9"/>
            <color indexed="81"/>
            <rFont val="Tahoma"/>
            <family val="2"/>
          </rPr>
          <t xml:space="preserve">
Guidance US$25-30m</t>
        </r>
      </text>
    </comment>
    <comment ref="AK127" authorId="1" shapeId="0" xr:uid="{DBB3AFC7-DD76-4A45-B81E-E5F714C69A64}">
      <text>
        <r>
          <rPr>
            <b/>
            <sz val="9"/>
            <color indexed="81"/>
            <rFont val="Tahoma"/>
            <family val="2"/>
          </rPr>
          <t>Sick, Julianna C (Research):</t>
        </r>
        <r>
          <rPr>
            <sz val="9"/>
            <color indexed="81"/>
            <rFont val="Tahoma"/>
            <family val="2"/>
          </rPr>
          <t xml:space="preserve">
refund from vendor on finalisation of acquisition completion adjustments</t>
        </r>
      </text>
    </comment>
    <comment ref="AC158" authorId="4" shapeId="0" xr:uid="{00000000-0006-0000-0200-000006000000}">
      <text>
        <r>
          <rPr>
            <b/>
            <sz val="9"/>
            <color indexed="81"/>
            <rFont val="Tahoma"/>
            <family val="2"/>
          </rPr>
          <t>McAlister, Ella (Research):</t>
        </r>
        <r>
          <rPr>
            <sz val="9"/>
            <color indexed="81"/>
            <rFont val="Tahoma"/>
            <family val="2"/>
          </rPr>
          <t xml:space="preserve">
guidance provided at 1H22 result: FY22 net interest expense to be $13-14m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Sick, Julianna C (Research)</author>
    <author>Shenoy, Dinesh (Research)</author>
  </authors>
  <commentList>
    <comment ref="AO5" authorId="0" shapeId="0" xr:uid="{380232D9-2BD3-48BF-80BF-9A4FFF4D4062}">
      <text>
        <r>
          <rPr>
            <b/>
            <sz val="9"/>
            <color indexed="81"/>
            <rFont val="Tahoma"/>
            <family val="2"/>
          </rPr>
          <t>Sick, Julianna C (Research):</t>
        </r>
        <r>
          <rPr>
            <sz val="9"/>
            <color indexed="81"/>
            <rFont val="Tahoma"/>
            <family val="2"/>
          </rPr>
          <t xml:space="preserve">
Guidance up Mid to high SD %</t>
        </r>
      </text>
    </comment>
    <comment ref="AL6" authorId="0" shapeId="0" xr:uid="{D49B45D1-DC9C-4FF9-873A-D39C4E438DAC}">
      <text>
        <r>
          <rPr>
            <b/>
            <sz val="9"/>
            <color indexed="81"/>
            <rFont val="Tahoma"/>
            <family val="2"/>
          </rPr>
          <t>Sick, Julianna C (Research):</t>
        </r>
        <r>
          <rPr>
            <sz val="9"/>
            <color indexed="81"/>
            <rFont val="Tahoma"/>
            <family val="2"/>
          </rPr>
          <t xml:space="preserve">
pull forward of demand into 1H</t>
        </r>
      </text>
    </comment>
    <comment ref="AN9" authorId="0" shapeId="0" xr:uid="{6C66D64B-7668-4F7F-B010-4FCF4E727EE6}">
      <text>
        <r>
          <rPr>
            <b/>
            <sz val="9"/>
            <color indexed="81"/>
            <rFont val="Tahoma"/>
            <family val="2"/>
          </rPr>
          <t>Sick, Julianna C (Research):</t>
        </r>
        <r>
          <rPr>
            <sz val="9"/>
            <color indexed="81"/>
            <rFont val="Tahoma"/>
            <family val="2"/>
          </rPr>
          <t xml:space="preserve">
Guidance "down by LSD"</t>
        </r>
      </text>
    </comment>
    <comment ref="AO17" authorId="0" shapeId="0" xr:uid="{3880A108-A620-4096-9748-70D674535CC1}">
      <text>
        <r>
          <rPr>
            <b/>
            <sz val="9"/>
            <color indexed="81"/>
            <rFont val="Tahoma"/>
            <family val="2"/>
          </rPr>
          <t>Sick, Julianna C (Research):</t>
        </r>
        <r>
          <rPr>
            <sz val="9"/>
            <color indexed="81"/>
            <rFont val="Tahoma"/>
            <family val="2"/>
          </rPr>
          <t xml:space="preserve">
Guidance margin higher than 1H26 but lower than pcp</t>
        </r>
      </text>
    </comment>
    <comment ref="R24" authorId="1" shapeId="0" xr:uid="{00000000-0006-0000-0600-000004000000}">
      <text>
        <r>
          <rPr>
            <b/>
            <sz val="9"/>
            <color indexed="81"/>
            <rFont val="Tahoma"/>
            <family val="2"/>
          </rPr>
          <t>Shenoy, Dinesh (Research):</t>
        </r>
        <r>
          <rPr>
            <sz val="9"/>
            <color indexed="81"/>
            <rFont val="Tahoma"/>
            <family val="2"/>
          </rPr>
          <t xml:space="preserve">
A$6 million one time charge for US import duties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Sick, Julianna C (Research)</author>
    <author>Scott, Andrew (Research)</author>
    <author>Pritchard, David (Research)</author>
  </authors>
  <commentList>
    <comment ref="AO6" authorId="0" shapeId="0" xr:uid="{E59F7775-269B-4785-A443-037220B6B498}">
      <text>
        <r>
          <rPr>
            <b/>
            <sz val="9"/>
            <color indexed="81"/>
            <rFont val="Tahoma"/>
            <family val="2"/>
          </rPr>
          <t>Sick, Julianna C (Research):</t>
        </r>
        <r>
          <rPr>
            <sz val="9"/>
            <color indexed="81"/>
            <rFont val="Tahoma"/>
            <family val="2"/>
          </rPr>
          <t xml:space="preserve">
Guidance flat to up by LSD% (constant currency)</t>
        </r>
      </text>
    </comment>
    <comment ref="AO15" authorId="0" shapeId="0" xr:uid="{9371B1A8-7DE3-4E77-A643-A2C89E57F4F1}">
      <text>
        <r>
          <rPr>
            <b/>
            <sz val="9"/>
            <color indexed="81"/>
            <rFont val="Tahoma"/>
            <family val="2"/>
          </rPr>
          <t>Sick, Julianna C (Research):</t>
        </r>
        <r>
          <rPr>
            <sz val="9"/>
            <color indexed="81"/>
            <rFont val="Tahoma"/>
            <family val="2"/>
          </rPr>
          <t xml:space="preserve">
Guidance higher than pcp and higher than 1H26</t>
        </r>
      </text>
    </comment>
    <comment ref="AI32" authorId="0" shapeId="0" xr:uid="{3324DF08-2E0F-465B-8DBF-5BFEA99BD0C9}">
      <text>
        <r>
          <rPr>
            <b/>
            <sz val="11"/>
            <color indexed="81"/>
            <rFont val="Tahoma"/>
            <family val="2"/>
          </rPr>
          <t>Sick, Julianna C (Research):</t>
        </r>
        <r>
          <rPr>
            <sz val="11"/>
            <color indexed="81"/>
            <rFont val="Tahoma"/>
            <family val="2"/>
          </rPr>
          <t xml:space="preserve">
Adjust for A$50m of Holman sales</t>
        </r>
      </text>
    </comment>
    <comment ref="AL32" authorId="0" shapeId="0" xr:uid="{A60D70FE-39CD-41BF-97D1-3A6BF5103DF2}">
      <text>
        <r>
          <rPr>
            <b/>
            <sz val="9"/>
            <color indexed="81"/>
            <rFont val="Tahoma"/>
            <family val="2"/>
          </rPr>
          <t>Sick, Julianna C (Research):</t>
        </r>
        <r>
          <rPr>
            <sz val="9"/>
            <color indexed="81"/>
            <rFont val="Tahoma"/>
            <family val="2"/>
          </rPr>
          <t xml:space="preserve">
Full contribution from Holman</t>
        </r>
      </text>
    </comment>
    <comment ref="AN32" authorId="1" shapeId="0" xr:uid="{BA25FB72-0FEA-4A49-A60A-EB0A68857503}">
      <text>
        <r>
          <rPr>
            <b/>
            <sz val="9"/>
            <color indexed="81"/>
            <rFont val="Tahoma"/>
            <family val="2"/>
          </rPr>
          <t>Scott, Andrew (Research):</t>
        </r>
        <r>
          <rPr>
            <sz val="9"/>
            <color indexed="81"/>
            <rFont val="Tahoma"/>
            <family val="2"/>
          </rPr>
          <t xml:space="preserve">
Promotional activities delayed from 2H25
</t>
        </r>
      </text>
    </comment>
    <comment ref="C52" authorId="2" shapeId="0" xr:uid="{00000000-0006-0000-0700-000001000000}">
      <text>
        <r>
          <rPr>
            <b/>
            <sz val="9"/>
            <color indexed="81"/>
            <rFont val="Tahoma"/>
            <family val="2"/>
          </rPr>
          <t>Pritchard, David (Research):</t>
        </r>
        <r>
          <rPr>
            <sz val="9"/>
            <color indexed="81"/>
            <rFont val="Tahoma"/>
            <family val="2"/>
          </rPr>
          <t xml:space="preserve">
30% of the 50% of new housing exposure.</t>
        </r>
      </text>
    </comment>
    <comment ref="C53" authorId="2" shapeId="0" xr:uid="{00000000-0006-0000-0700-000002000000}">
      <text>
        <r>
          <rPr>
            <b/>
            <sz val="9"/>
            <color indexed="81"/>
            <rFont val="Tahoma"/>
            <family val="2"/>
          </rPr>
          <t>Pritchard, David (Research):</t>
        </r>
        <r>
          <rPr>
            <sz val="9"/>
            <color indexed="81"/>
            <rFont val="Tahoma"/>
            <family val="2"/>
          </rPr>
          <t xml:space="preserve">
70% of the 50% of new housing exposure.</t>
        </r>
      </text>
    </comment>
    <comment ref="AH64" authorId="0" shapeId="0" xr:uid="{C2A390A0-6A29-43F7-ABB3-09039A706B39}">
      <text>
        <r>
          <rPr>
            <b/>
            <sz val="11"/>
            <color indexed="81"/>
            <rFont val="Tahoma"/>
            <family val="2"/>
          </rPr>
          <t>Sick, Julianna C (Research):</t>
        </r>
        <r>
          <rPr>
            <sz val="11"/>
            <color indexed="81"/>
            <rFont val="Tahoma"/>
            <family val="2"/>
          </rPr>
          <t xml:space="preserve">
Assumes a 75/25% 1H/2H split. LTM revenue 192m - 45m 2H23 = 1H24 147m</t>
        </r>
      </text>
    </comment>
    <comment ref="AI64" authorId="0" shapeId="0" xr:uid="{3F567C51-CA4E-47FE-B092-B46DB114369F}">
      <text>
        <r>
          <rPr>
            <b/>
            <sz val="11"/>
            <color indexed="81"/>
            <rFont val="Tahoma"/>
            <family val="2"/>
          </rPr>
          <t>Sick, Julianna C (Research):</t>
        </r>
        <r>
          <rPr>
            <sz val="11"/>
            <color indexed="81"/>
            <rFont val="Tahoma"/>
            <family val="2"/>
          </rPr>
          <t xml:space="preserve">
RWC release</t>
        </r>
      </text>
    </comment>
    <comment ref="AJ64" authorId="0" shapeId="0" xr:uid="{CDC184B1-31C2-4CEB-AE71-6E7384E06338}">
      <text>
        <r>
          <rPr>
            <b/>
            <sz val="9"/>
            <color indexed="81"/>
            <rFont val="Tahoma"/>
            <family val="2"/>
          </rPr>
          <t>Sick, Julianna C (Research):</t>
        </r>
        <r>
          <rPr>
            <sz val="9"/>
            <color indexed="81"/>
            <rFont val="Tahoma"/>
            <family val="2"/>
          </rPr>
          <t xml:space="preserve">
4 month contribution. Deal closed 1 March 2024</t>
        </r>
      </text>
    </comment>
    <comment ref="AH69" authorId="0" shapeId="0" xr:uid="{4B008FAB-E97B-46E6-A6F9-3E2B70E99950}">
      <text>
        <r>
          <rPr>
            <b/>
            <sz val="11"/>
            <color indexed="81"/>
            <rFont val="Tahoma"/>
            <family val="2"/>
          </rPr>
          <t>Sick, Julianna C (Research):</t>
        </r>
        <r>
          <rPr>
            <sz val="11"/>
            <color indexed="81"/>
            <rFont val="Tahoma"/>
            <family val="2"/>
          </rPr>
          <t xml:space="preserve">
Assumes LTM EBITDA margin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Sick, Julianna C (Research)</author>
    <author>McAlister, Ella (Research)</author>
    <author>Scott, Andrew (Research)</author>
  </authors>
  <commentList>
    <comment ref="AM6" authorId="0" shapeId="0" xr:uid="{FBDFEE48-58C6-4371-8D32-F0F857220CC6}">
      <text>
        <r>
          <rPr>
            <b/>
            <sz val="9"/>
            <color indexed="81"/>
            <rFont val="Tahoma"/>
            <family val="2"/>
          </rPr>
          <t>Sick, Julianna C (Research):</t>
        </r>
        <r>
          <rPr>
            <sz val="9"/>
            <color indexed="81"/>
            <rFont val="Tahoma"/>
            <family val="2"/>
          </rPr>
          <t xml:space="preserve">
Guidance FY25 sales expected to be down by mid single digit </t>
        </r>
      </text>
    </comment>
    <comment ref="AO6" authorId="0" shapeId="0" xr:uid="{F38F1031-ADC5-4E99-83B9-71EBADAE0024}">
      <text>
        <r>
          <rPr>
            <b/>
            <sz val="9"/>
            <color indexed="81"/>
            <rFont val="Tahoma"/>
            <family val="2"/>
          </rPr>
          <t>Sick, Julianna C (Research):</t>
        </r>
        <r>
          <rPr>
            <sz val="9"/>
            <color indexed="81"/>
            <rFont val="Tahoma"/>
            <family val="2"/>
          </rPr>
          <t xml:space="preserve">
Guidance broadly flat vs pcp (constant currency)</t>
        </r>
      </text>
    </comment>
    <comment ref="AO14" authorId="0" shapeId="0" xr:uid="{85D7F0FD-6B61-449D-9084-3FF4BD361B6E}">
      <text>
        <r>
          <rPr>
            <b/>
            <sz val="9"/>
            <color indexed="81"/>
            <rFont val="Tahoma"/>
            <family val="2"/>
          </rPr>
          <t>Sick, Julianna C (Research):</t>
        </r>
        <r>
          <rPr>
            <sz val="9"/>
            <color indexed="81"/>
            <rFont val="Tahoma"/>
            <family val="2"/>
          </rPr>
          <t xml:space="preserve">
Guidance broadly flat vs pcp and higher than 1H26</t>
        </r>
      </text>
    </comment>
    <comment ref="AB20" authorId="0" shapeId="0" xr:uid="{6D3F53EA-B4DF-4BA8-8B56-4FD82A4009E6}">
      <text>
        <r>
          <rPr>
            <b/>
            <sz val="9"/>
            <color indexed="81"/>
            <rFont val="Tahoma"/>
            <family val="2"/>
          </rPr>
          <t>Sick, Julianna C (Research):</t>
        </r>
        <r>
          <rPr>
            <sz val="9"/>
            <color indexed="81"/>
            <rFont val="Tahoma"/>
            <family val="2"/>
          </rPr>
          <t xml:space="preserve">
restated 51.091</t>
        </r>
      </text>
    </comment>
    <comment ref="A25" authorId="1" shapeId="0" xr:uid="{00000000-0006-0000-0800-000001000000}">
      <text>
        <r>
          <rPr>
            <b/>
            <sz val="9"/>
            <color indexed="81"/>
            <rFont val="Tahoma"/>
            <family val="2"/>
          </rPr>
          <t>McAlister, Ella (Research):</t>
        </r>
        <r>
          <rPr>
            <sz val="9"/>
            <color indexed="81"/>
            <rFont val="Tahoma"/>
            <family val="2"/>
          </rPr>
          <t xml:space="preserve">
Company feedback: 5/11 revenue split in the 1H</t>
        </r>
      </text>
    </comment>
    <comment ref="AE33" authorId="2" shapeId="0" xr:uid="{D1C6A7EA-8912-47E1-8210-CD1E94C9871B}">
      <text>
        <r>
          <rPr>
            <b/>
            <sz val="9"/>
            <color indexed="81"/>
            <rFont val="Tahoma"/>
            <family val="2"/>
          </rPr>
          <t>Scott, Andrew (Research):</t>
        </r>
        <r>
          <rPr>
            <sz val="9"/>
            <color indexed="81"/>
            <rFont val="Tahoma"/>
            <family val="2"/>
          </rPr>
          <t xml:space="preserve">
Includes 15m gain on land sale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Sick, Julianna C (Research)</author>
    <author>McAlister, Ella (Research)</author>
  </authors>
  <commentList>
    <comment ref="AM11" authorId="0" shapeId="0" xr:uid="{E8A10EA0-9CF2-4055-8398-E4CC831495CF}">
      <text>
        <r>
          <rPr>
            <b/>
            <sz val="9"/>
            <color indexed="81"/>
            <rFont val="Tahoma"/>
            <family val="2"/>
          </rPr>
          <t>Sick, Julianna C (Research):</t>
        </r>
        <r>
          <rPr>
            <sz val="9"/>
            <color indexed="81"/>
            <rFont val="Tahoma"/>
            <family val="2"/>
          </rPr>
          <t xml:space="preserve">
-0.2 charge for rounding purposes</t>
        </r>
      </text>
    </comment>
    <comment ref="V26" authorId="1" shapeId="0" xr:uid="{00000000-0006-0000-0A00-000001000000}">
      <text>
        <r>
          <rPr>
            <b/>
            <sz val="9"/>
            <color indexed="81"/>
            <rFont val="Tahoma"/>
            <family val="2"/>
          </rPr>
          <t>McAlister, Ella (Research):</t>
        </r>
        <r>
          <rPr>
            <sz val="9"/>
            <color indexed="81"/>
            <rFont val="Tahoma"/>
            <family val="2"/>
          </rPr>
          <t xml:space="preserve">
exclude intersegment assets here</t>
        </r>
      </text>
    </comment>
  </commentList>
</comments>
</file>

<file path=xl/sharedStrings.xml><?xml version="1.0" encoding="utf-8"?>
<sst xmlns="http://schemas.openxmlformats.org/spreadsheetml/2006/main" count="1439" uniqueCount="950">
  <si>
    <t xml:space="preserve"> Total dividend amount</t>
  </si>
  <si>
    <t>Total cash dividend paid</t>
  </si>
  <si>
    <t>EBIT Interest Cover</t>
  </si>
  <si>
    <t xml:space="preserve">Profit </t>
  </si>
  <si>
    <t>Reported</t>
  </si>
  <si>
    <t>EPS</t>
  </si>
  <si>
    <t>EPS growth</t>
  </si>
  <si>
    <t>Sales Growth</t>
  </si>
  <si>
    <t>Total EBIT</t>
  </si>
  <si>
    <t>PE</t>
  </si>
  <si>
    <t>Capex</t>
  </si>
  <si>
    <t xml:space="preserve">Inventory/Sales </t>
  </si>
  <si>
    <t>Debtors/Sales</t>
  </si>
  <si>
    <t>Creditors/Sales</t>
  </si>
  <si>
    <t>Stock Turnover</t>
  </si>
  <si>
    <t>Days</t>
  </si>
  <si>
    <t>Debtors Days</t>
  </si>
  <si>
    <t>Creditors Days</t>
  </si>
  <si>
    <t>Inventory - closing</t>
  </si>
  <si>
    <t>Debtors - closing</t>
  </si>
  <si>
    <t>Creditors - closing</t>
  </si>
  <si>
    <t>EBIT Margin</t>
  </si>
  <si>
    <t>EBITDA Margin</t>
  </si>
  <si>
    <t>Shares on issue</t>
  </si>
  <si>
    <t>Shares at beginning</t>
  </si>
  <si>
    <t>Share issues/bought back</t>
  </si>
  <si>
    <t>WACC</t>
  </si>
  <si>
    <t>(Increase) in Working Capital</t>
  </si>
  <si>
    <t>Investing Capex</t>
  </si>
  <si>
    <t>Capex - Maintenance</t>
  </si>
  <si>
    <t>Acquisitions/Investments</t>
  </si>
  <si>
    <t>Asset Sale Proceeds</t>
  </si>
  <si>
    <t>Total Investments</t>
  </si>
  <si>
    <t>Financing Cash Flow</t>
  </si>
  <si>
    <t>Cash Dividends Paid</t>
  </si>
  <si>
    <t>Equity Issues</t>
  </si>
  <si>
    <t>Incr/(Decr) in Debt</t>
  </si>
  <si>
    <t>Total Financing</t>
  </si>
  <si>
    <t>FX adjustments on cash</t>
  </si>
  <si>
    <t>Net Cashflow</t>
  </si>
  <si>
    <t>ROA</t>
  </si>
  <si>
    <t>Other Operating Costs</t>
  </si>
  <si>
    <t>Gearing (ND/ND+E)</t>
  </si>
  <si>
    <t>ND/EBITDA</t>
  </si>
  <si>
    <t>Total EBIT Incl Associates</t>
  </si>
  <si>
    <t>Total Non-Current Assets</t>
  </si>
  <si>
    <t>Total Assets</t>
  </si>
  <si>
    <t>Pre-Tax profit</t>
  </si>
  <si>
    <t>Taxation Expense</t>
  </si>
  <si>
    <t>NPAT (post goodwill)</t>
  </si>
  <si>
    <t>NPAT (pre goodwill)</t>
  </si>
  <si>
    <t>NPAT Growth</t>
  </si>
  <si>
    <t>Pref. Dividends</t>
  </si>
  <si>
    <t>NPAT Profit (adj)</t>
  </si>
  <si>
    <t>Significant items (pre tax)</t>
  </si>
  <si>
    <t>Tax on significant items</t>
  </si>
  <si>
    <t xml:space="preserve">Reported Profit </t>
  </si>
  <si>
    <t>Gearing (ND/E)</t>
  </si>
  <si>
    <t>DCF</t>
  </si>
  <si>
    <t>Operating EBITDA</t>
  </si>
  <si>
    <t>Total Dividend to be Paid ($M)</t>
  </si>
  <si>
    <t>D&amp;A</t>
  </si>
  <si>
    <t>Profit (normalised)</t>
  </si>
  <si>
    <t>Reserves</t>
  </si>
  <si>
    <t>Total liabilities</t>
  </si>
  <si>
    <t>Net assets</t>
  </si>
  <si>
    <t>Shareholders equity</t>
  </si>
  <si>
    <t>1H14</t>
  </si>
  <si>
    <t>2H14</t>
  </si>
  <si>
    <t>Adjusted EPS</t>
  </si>
  <si>
    <t>Capex-Expansionary</t>
  </si>
  <si>
    <t>Total capex</t>
  </si>
  <si>
    <t>Return on assets</t>
  </si>
  <si>
    <t>BALANCE SHEET - Summary</t>
  </si>
  <si>
    <t>Cash &amp; Equivalent</t>
  </si>
  <si>
    <t>Return on Capital Emp (ROCE)</t>
  </si>
  <si>
    <t>Return on Equity (ROE)</t>
  </si>
  <si>
    <t>Current tax liabilities</t>
  </si>
  <si>
    <t xml:space="preserve">Interest Cost </t>
  </si>
  <si>
    <t>Less Interest Income</t>
  </si>
  <si>
    <t>Less Capitalised Interest</t>
  </si>
  <si>
    <t>Total Current Assets</t>
  </si>
  <si>
    <t>%</t>
  </si>
  <si>
    <t>Total Current Liabilities</t>
  </si>
  <si>
    <t>A</t>
  </si>
  <si>
    <t>x</t>
  </si>
  <si>
    <t>Depreciation &amp; Amortisation</t>
  </si>
  <si>
    <t>Starts with Qtr lag</t>
  </si>
  <si>
    <t>Work done $m</t>
  </si>
  <si>
    <t>EPS growth (adj)</t>
  </si>
  <si>
    <t>Goodwill</t>
  </si>
  <si>
    <t>Group EBIT Margin</t>
  </si>
  <si>
    <t>INCOME STATEMENT - Analysis</t>
  </si>
  <si>
    <t>Cash Opening Balance</t>
  </si>
  <si>
    <t>Cash Closing Balance</t>
  </si>
  <si>
    <t>Average balance</t>
  </si>
  <si>
    <t>Forecast Int rate</t>
  </si>
  <si>
    <t>Gross Profit</t>
  </si>
  <si>
    <t>Amortisation of Goodwill</t>
  </si>
  <si>
    <t>Total Operating Revenue Growth</t>
  </si>
  <si>
    <t>EBIT Margins</t>
  </si>
  <si>
    <t>Tax Calculation</t>
  </si>
  <si>
    <t>Pre-tax profit + goodwill</t>
  </si>
  <si>
    <t>Add other non-deduct</t>
  </si>
  <si>
    <t>Taxable Income</t>
  </si>
  <si>
    <t>Applied Corporate Tax Rate</t>
  </si>
  <si>
    <t>Calculated Tax Expense</t>
  </si>
  <si>
    <t>Reported Tax Expense</t>
  </si>
  <si>
    <t>Total Sales Revenue Growth</t>
  </si>
  <si>
    <t>INCOME STATEMENT</t>
  </si>
  <si>
    <t>Dividend cash outflow</t>
  </si>
  <si>
    <t>Div amt from previous period</t>
  </si>
  <si>
    <t>Total Liabilities</t>
  </si>
  <si>
    <t>EBIT interest cover</t>
  </si>
  <si>
    <t>Dividend per share</t>
  </si>
  <si>
    <t>Ordinary</t>
  </si>
  <si>
    <t>Special</t>
  </si>
  <si>
    <t>Total</t>
  </si>
  <si>
    <t>Payout Ratio</t>
  </si>
  <si>
    <t>CASH FLOW - Summary</t>
  </si>
  <si>
    <t>GOCF/EBITDA</t>
  </si>
  <si>
    <t>Operating EBITDA (inc writedowns)</t>
  </si>
  <si>
    <t xml:space="preserve">Net Interest Paid </t>
  </si>
  <si>
    <t>Tax Paid</t>
  </si>
  <si>
    <t>Addtions/Acquisitions</t>
  </si>
  <si>
    <t>Disposal - BV</t>
  </si>
  <si>
    <t>Other/revaluation</t>
  </si>
  <si>
    <t>Depreciation &amp; Amort</t>
  </si>
  <si>
    <t>Closing P,P&amp;E (Net)</t>
  </si>
  <si>
    <t>Calculated Depreciation</t>
  </si>
  <si>
    <t>Reported Depreciation</t>
  </si>
  <si>
    <t>Other/Balancing</t>
  </si>
  <si>
    <t>Financial Debt Long term</t>
  </si>
  <si>
    <t>Provisions (non tax)</t>
  </si>
  <si>
    <t>Minorities</t>
  </si>
  <si>
    <t>Total non-current liabilities</t>
  </si>
  <si>
    <t>Cost of Equity</t>
  </si>
  <si>
    <t>Cost of Debt</t>
  </si>
  <si>
    <t>Current assets</t>
  </si>
  <si>
    <t>Total Working Capital</t>
  </si>
  <si>
    <t>(Inc)/Dec in Working Cap.</t>
  </si>
  <si>
    <t>Working capital/sales</t>
  </si>
  <si>
    <t>Miscellaneous</t>
  </si>
  <si>
    <t>Reported NTA</t>
  </si>
  <si>
    <t>$ps</t>
  </si>
  <si>
    <t>Closing Cap. Employed</t>
  </si>
  <si>
    <t>Receipts from customers</t>
  </si>
  <si>
    <t>Payments to suppliers</t>
  </si>
  <si>
    <t>Net interest expense</t>
  </si>
  <si>
    <t>Total assets</t>
  </si>
  <si>
    <t>Operating EBITDA (incl Associates)</t>
  </si>
  <si>
    <t>1H20</t>
  </si>
  <si>
    <t>2H20</t>
  </si>
  <si>
    <t>FY20</t>
  </si>
  <si>
    <t>% Chg</t>
  </si>
  <si>
    <t>EBITDA margin</t>
  </si>
  <si>
    <t>Segment Assets</t>
  </si>
  <si>
    <t>1H21</t>
  </si>
  <si>
    <t>2H21</t>
  </si>
  <si>
    <t>FY21</t>
  </si>
  <si>
    <t>Total Revenue</t>
  </si>
  <si>
    <t>Tax rate</t>
  </si>
  <si>
    <t xml:space="preserve"> Ordinary</t>
  </si>
  <si>
    <t xml:space="preserve"> Special</t>
  </si>
  <si>
    <t xml:space="preserve"> Total</t>
  </si>
  <si>
    <t>Output</t>
  </si>
  <si>
    <t>ND</t>
  </si>
  <si>
    <t>Net debt</t>
  </si>
  <si>
    <t>Maint Capex/Depreciation</t>
  </si>
  <si>
    <t>Depreciation Calculations</t>
  </si>
  <si>
    <t>Net Interest Expense</t>
  </si>
  <si>
    <t>A$m</t>
  </si>
  <si>
    <t>Operating EBIT</t>
  </si>
  <si>
    <t>Total D&amp;A</t>
  </si>
  <si>
    <t>DPS growth</t>
  </si>
  <si>
    <t>Gross Operating Cash Flow</t>
  </si>
  <si>
    <t>DRP adjustment</t>
  </si>
  <si>
    <t>Dividend yield</t>
  </si>
  <si>
    <t>Dividends</t>
  </si>
  <si>
    <t>Total non-current assets</t>
  </si>
  <si>
    <t>% chg</t>
  </si>
  <si>
    <t>DPS (cps)</t>
  </si>
  <si>
    <t>Revenue</t>
  </si>
  <si>
    <t>EBITDA</t>
  </si>
  <si>
    <t>EBIT</t>
  </si>
  <si>
    <t>Operating Cashflow</t>
  </si>
  <si>
    <t>Returns Summary</t>
  </si>
  <si>
    <t>Return on Assets (ROA)</t>
  </si>
  <si>
    <t>Current liabilities</t>
  </si>
  <si>
    <t>Borrowings</t>
  </si>
  <si>
    <t>Provisions</t>
  </si>
  <si>
    <t>Total current liabilities</t>
  </si>
  <si>
    <t>Non-current liabilities</t>
  </si>
  <si>
    <t>COGS</t>
  </si>
  <si>
    <t>Other Current Assets</t>
  </si>
  <si>
    <t>Non-Current Assets</t>
  </si>
  <si>
    <t>Fixed Assets (P, P&amp;E)</t>
  </si>
  <si>
    <t>Working capital</t>
  </si>
  <si>
    <t>total yield</t>
  </si>
  <si>
    <t>ordinary yield</t>
  </si>
  <si>
    <t>Group EBIT Margin (incl Assoc.)</t>
  </si>
  <si>
    <t>Financial Debt - S/T</t>
  </si>
  <si>
    <t>Retained profits</t>
  </si>
  <si>
    <t>Minority interest</t>
  </si>
  <si>
    <t>CASH FLOW - Calculations</t>
  </si>
  <si>
    <t>Net Debt Summary</t>
  </si>
  <si>
    <t>Cash &amp; S/T Deposits</t>
  </si>
  <si>
    <t>Other financial debt</t>
  </si>
  <si>
    <t>Closing Net Debt</t>
  </si>
  <si>
    <t>Movement in Net Debt</t>
  </si>
  <si>
    <t>Interest Expense Calculations</t>
  </si>
  <si>
    <t>1H Split for averages</t>
  </si>
  <si>
    <t>Forecast interest rate</t>
  </si>
  <si>
    <t>Price per share ($/ps)</t>
  </si>
  <si>
    <t>Number of shares issued/bought back (m)</t>
  </si>
  <si>
    <t>Receivables</t>
  </si>
  <si>
    <t>Inventories</t>
  </si>
  <si>
    <t>Other</t>
  </si>
  <si>
    <t>Total current assets</t>
  </si>
  <si>
    <t>Working Capital</t>
  </si>
  <si>
    <t>Other issues</t>
  </si>
  <si>
    <t>Shares at period end</t>
  </si>
  <si>
    <t xml:space="preserve">Weighted average Shares </t>
  </si>
  <si>
    <t>Sales</t>
  </si>
  <si>
    <t>Pre-tax profit</t>
  </si>
  <si>
    <t>Growth</t>
  </si>
  <si>
    <t>Provisions - deferred tax</t>
  </si>
  <si>
    <t>Total Non-Current Liabilities</t>
  </si>
  <si>
    <t>Net Assets</t>
  </si>
  <si>
    <t>Issued capital</t>
  </si>
  <si>
    <t>Total Shareholders Equity</t>
  </si>
  <si>
    <t>BALANCE SHEET - Calculations</t>
  </si>
  <si>
    <t>ETR as reported</t>
  </si>
  <si>
    <t>E</t>
  </si>
  <si>
    <t>Unrecorded goodwill</t>
  </si>
  <si>
    <t>Shareholders Equity Schedule</t>
  </si>
  <si>
    <t>Opening Balance</t>
  </si>
  <si>
    <t>Issuance of Stock</t>
  </si>
  <si>
    <t>Net Income</t>
  </si>
  <si>
    <t>AOCI</t>
  </si>
  <si>
    <t>Closing balance</t>
  </si>
  <si>
    <t>Depriciation</t>
  </si>
  <si>
    <t>Weighted average Shares (Diluted)</t>
  </si>
  <si>
    <t xml:space="preserve">EBIT </t>
  </si>
  <si>
    <t>1H22</t>
  </si>
  <si>
    <t>2H22</t>
  </si>
  <si>
    <t>FY22</t>
  </si>
  <si>
    <t>1H23</t>
  </si>
  <si>
    <t>2H23</t>
  </si>
  <si>
    <t>FY23</t>
  </si>
  <si>
    <t>1H24</t>
  </si>
  <si>
    <t>2H24</t>
  </si>
  <si>
    <t>FY24</t>
  </si>
  <si>
    <t>1H25</t>
  </si>
  <si>
    <t>2H25</t>
  </si>
  <si>
    <t>FY25</t>
  </si>
  <si>
    <t>Calculated Interest Income</t>
  </si>
  <si>
    <t>Interest Income Hardcoded</t>
  </si>
  <si>
    <t>&lt;-- Run cash balancer</t>
  </si>
  <si>
    <t>Balancing error ---&gt;</t>
  </si>
  <si>
    <t>Total Intersegmental Revenue</t>
  </si>
  <si>
    <t>External Sales</t>
  </si>
  <si>
    <t>Interest Income Calculations</t>
  </si>
  <si>
    <t>PER SHARE DATA</t>
  </si>
  <si>
    <t>Balancing error</t>
  </si>
  <si>
    <t>Actual / Estimate Flag (MUST ENTER)</t>
  </si>
  <si>
    <t>Deferred Tax assets</t>
  </si>
  <si>
    <t>External revenue</t>
  </si>
  <si>
    <t>Internal revenue</t>
  </si>
  <si>
    <t>US$m</t>
  </si>
  <si>
    <t>Segment liabilities</t>
  </si>
  <si>
    <t>RONA</t>
  </si>
  <si>
    <t>As % of sales</t>
  </si>
  <si>
    <t>Capex/Depreciation</t>
  </si>
  <si>
    <t>Asia Pacific</t>
  </si>
  <si>
    <t>Americas</t>
  </si>
  <si>
    <t>EMEA</t>
  </si>
  <si>
    <t>Corporate</t>
  </si>
  <si>
    <t>Year Ending June 30</t>
  </si>
  <si>
    <t>Reliance Worldwide Corp</t>
  </si>
  <si>
    <t>Margin %</t>
  </si>
  <si>
    <t>A$ per share</t>
  </si>
  <si>
    <t>Now</t>
  </si>
  <si>
    <t>Current share price</t>
  </si>
  <si>
    <t>Last close</t>
  </si>
  <si>
    <t>Price target</t>
  </si>
  <si>
    <t>PT</t>
  </si>
  <si>
    <t>Implied upside to target price</t>
  </si>
  <si>
    <t>Projected return (including dividend)</t>
  </si>
  <si>
    <t>Model checks</t>
  </si>
  <si>
    <t>Shares on issue (m)</t>
  </si>
  <si>
    <t>Tax expense</t>
  </si>
  <si>
    <t>NPAT Adjusted</t>
  </si>
  <si>
    <t>EPS Adjusted (cps)</t>
  </si>
  <si>
    <t>Significant Items after tax</t>
  </si>
  <si>
    <t>Reported net profit</t>
  </si>
  <si>
    <t>PE relative</t>
  </si>
  <si>
    <t>Reported EPS (cps)</t>
  </si>
  <si>
    <t>Average valuation</t>
  </si>
  <si>
    <t>Appropriate discount</t>
  </si>
  <si>
    <t>Franking (%)</t>
  </si>
  <si>
    <t>Upside (downside to current)</t>
  </si>
  <si>
    <t>Div yield</t>
  </si>
  <si>
    <t>Total return</t>
  </si>
  <si>
    <t>Operating EBITDA ex sig items</t>
  </si>
  <si>
    <t>Net interest paid</t>
  </si>
  <si>
    <t>Tax paid</t>
  </si>
  <si>
    <t>Key earnings ratios</t>
  </si>
  <si>
    <t>Revenue growth YoY</t>
  </si>
  <si>
    <t>EPS growth (adjusted)</t>
  </si>
  <si>
    <t>Free cash flow yield</t>
  </si>
  <si>
    <t>Equity raised / (repurchased)</t>
  </si>
  <si>
    <t>Net borrowings / (repaid)</t>
  </si>
  <si>
    <t>Cash</t>
  </si>
  <si>
    <t>Return on equity</t>
  </si>
  <si>
    <t>Other current assets</t>
  </si>
  <si>
    <t>Fixed assets (P, P&amp;E)</t>
  </si>
  <si>
    <t>AU housing starts</t>
  </si>
  <si>
    <t>Accounts payable</t>
  </si>
  <si>
    <t>Financial debt - S/T</t>
  </si>
  <si>
    <t>Financial debt - L/T</t>
  </si>
  <si>
    <t>Total shareholder funds</t>
  </si>
  <si>
    <t>Operating cash flows</t>
  </si>
  <si>
    <t>Investing cash flows</t>
  </si>
  <si>
    <t>Financing cash flows</t>
  </si>
  <si>
    <t xml:space="preserve">Projected return </t>
  </si>
  <si>
    <t>Valuation summary</t>
  </si>
  <si>
    <t>Trading multiples (x)</t>
  </si>
  <si>
    <t>Balance sheet debt metrics</t>
  </si>
  <si>
    <t>Return metrics</t>
  </si>
  <si>
    <t>Key assumptions</t>
  </si>
  <si>
    <t>AU housing starts % chg</t>
  </si>
  <si>
    <t>AUD/USD exchange rate</t>
  </si>
  <si>
    <t>All fiscal years are on a June year-end basis</t>
  </si>
  <si>
    <t>A$/share</t>
  </si>
  <si>
    <t>Other Intangibles</t>
  </si>
  <si>
    <t>US repairs and renovations % chg</t>
  </si>
  <si>
    <t>Method</t>
  </si>
  <si>
    <t xml:space="preserve">Weight </t>
  </si>
  <si>
    <t>Average</t>
  </si>
  <si>
    <t>Valuation</t>
  </si>
  <si>
    <t>vs. current share px</t>
  </si>
  <si>
    <t>Cashflow Timing Calculation</t>
  </si>
  <si>
    <t>Current Date</t>
  </si>
  <si>
    <t>Last Balance Date</t>
  </si>
  <si>
    <t>Next Balance Date</t>
  </si>
  <si>
    <t>WACC inputs</t>
  </si>
  <si>
    <t>Share price</t>
  </si>
  <si>
    <t>Market cap</t>
  </si>
  <si>
    <t>Long term growth rate</t>
  </si>
  <si>
    <t>Target Gearing Ratio</t>
  </si>
  <si>
    <t>(1- Target Gearing Ratio)</t>
  </si>
  <si>
    <t>Debt/Equity ratio</t>
  </si>
  <si>
    <t>Equity beta</t>
  </si>
  <si>
    <t>RF rate</t>
  </si>
  <si>
    <t>Debt premium</t>
  </si>
  <si>
    <t>MRP</t>
  </si>
  <si>
    <t>DCF Operating Cash Flows</t>
  </si>
  <si>
    <t>Terminal</t>
  </si>
  <si>
    <t>Other income/(exp.) &amp; abnormals</t>
  </si>
  <si>
    <t>Tax rate (pre tax losses)</t>
  </si>
  <si>
    <t>(Incr) in Working Capital</t>
  </si>
  <si>
    <t>Total Capex</t>
  </si>
  <si>
    <t>Disposals/Capital Raised</t>
  </si>
  <si>
    <t>Free cash flow</t>
  </si>
  <si>
    <t>FCF Timing Factor</t>
  </si>
  <si>
    <t>Discount Factor</t>
  </si>
  <si>
    <t>Explicit Cashflows</t>
  </si>
  <si>
    <t>Terminal Item</t>
  </si>
  <si>
    <t>Post Corp Tax CF Value</t>
  </si>
  <si>
    <t>Add associates at 15x</t>
  </si>
  <si>
    <t>Add: Land value</t>
  </si>
  <si>
    <t>Total Firm Value</t>
  </si>
  <si>
    <t>Less: Net Debt</t>
  </si>
  <si>
    <t>Less: Minorities</t>
  </si>
  <si>
    <t>Less other liabilities incl contingencies</t>
  </si>
  <si>
    <t>Alternative Equity Claims</t>
  </si>
  <si>
    <t>Total Equity Value</t>
  </si>
  <si>
    <t>No Shares</t>
  </si>
  <si>
    <t>Per Share Value</t>
  </si>
  <si>
    <t>Inputs</t>
  </si>
  <si>
    <t>Premium (discount)</t>
  </si>
  <si>
    <t>Discounted PE (x)</t>
  </si>
  <si>
    <t>Current</t>
  </si>
  <si>
    <t>MULTIPLES INPUTS</t>
  </si>
  <si>
    <t>Overdraft</t>
  </si>
  <si>
    <t>Employee Benefits</t>
  </si>
  <si>
    <t>Trade and Other Payables</t>
  </si>
  <si>
    <t>Trade and Other Recievables</t>
  </si>
  <si>
    <t>Calculated Interest Expense</t>
  </si>
  <si>
    <t>Interest Expense Hardcoded</t>
  </si>
  <si>
    <t>Average Debt</t>
  </si>
  <si>
    <t>Closing Debt Balance</t>
  </si>
  <si>
    <t>Opening Debt Balance</t>
  </si>
  <si>
    <t>n</t>
  </si>
  <si>
    <t>c</t>
  </si>
  <si>
    <t>Franked %</t>
  </si>
  <si>
    <t>RWC.AX</t>
  </si>
  <si>
    <t>Reliance Worldwide Corporation Ltd</t>
  </si>
  <si>
    <t>Reported EBITDA</t>
  </si>
  <si>
    <t>One-off Items</t>
  </si>
  <si>
    <t>Underlying EBITDA</t>
  </si>
  <si>
    <t>Underlying EBIT</t>
  </si>
  <si>
    <t>margin</t>
  </si>
  <si>
    <t>£ mn</t>
  </si>
  <si>
    <t>RWC market cap</t>
  </si>
  <si>
    <t>1H26</t>
  </si>
  <si>
    <t>US R&amp;R spend</t>
  </si>
  <si>
    <t>Equity Issues/ (buyback)</t>
  </si>
  <si>
    <t>US$mn</t>
  </si>
  <si>
    <t>R&amp;R</t>
  </si>
  <si>
    <t>New Construction - Commercial</t>
  </si>
  <si>
    <t>Residential</t>
  </si>
  <si>
    <t>Real GDP Growth</t>
  </si>
  <si>
    <t>Repair and Renovation</t>
  </si>
  <si>
    <t>AU Growth</t>
  </si>
  <si>
    <t>Revenue End Markets</t>
  </si>
  <si>
    <t>Market Drivers - Australia</t>
  </si>
  <si>
    <t>AU Sales Growth</t>
  </si>
  <si>
    <t>No.</t>
  </si>
  <si>
    <t>Market Drivers - USA</t>
  </si>
  <si>
    <t>USA Sales Growth</t>
  </si>
  <si>
    <t>Margin</t>
  </si>
  <si>
    <t>New Construction - Detached</t>
  </si>
  <si>
    <t>New Construction - Apartment</t>
  </si>
  <si>
    <t>Starts with Qtr lag - Apartments</t>
  </si>
  <si>
    <t>Starts with Qtr lag - Detached</t>
  </si>
  <si>
    <t xml:space="preserve"> - Volume</t>
  </si>
  <si>
    <t xml:space="preserve"> - Price</t>
  </si>
  <si>
    <t xml:space="preserve"> - Other</t>
  </si>
  <si>
    <t>Total Growth</t>
  </si>
  <si>
    <t>Corporate &amp; other</t>
  </si>
  <si>
    <t>Corporate &amp;other</t>
  </si>
  <si>
    <t>Capex - Expansionary</t>
  </si>
  <si>
    <t>US Housing SF starts</t>
  </si>
  <si>
    <t>US Housing SF starts % chg</t>
  </si>
  <si>
    <t>FY19A</t>
  </si>
  <si>
    <t>FY17A</t>
  </si>
  <si>
    <t>Key Drivers</t>
  </si>
  <si>
    <t>Australian housing starts (n) change</t>
  </si>
  <si>
    <t>US single family housing starts (n) change</t>
  </si>
  <si>
    <t>US repairs &amp; remodelling spend ($) change</t>
  </si>
  <si>
    <r>
      <t>Free cash flow</t>
    </r>
    <r>
      <rPr>
        <sz val="8"/>
        <rFont val="Arial"/>
        <family val="2"/>
      </rPr>
      <t xml:space="preserve"> (op cash flow less capex)</t>
    </r>
  </si>
  <si>
    <t>growth</t>
  </si>
  <si>
    <t>Sales growth - constant currency</t>
  </si>
  <si>
    <t xml:space="preserve">Growth </t>
  </si>
  <si>
    <t>Timing factor for Period 1</t>
  </si>
  <si>
    <t>Proportional Cost of Equity</t>
  </si>
  <si>
    <t>PE Relative</t>
  </si>
  <si>
    <t>Value A$</t>
  </si>
  <si>
    <t>EV/EBITDA</t>
  </si>
  <si>
    <t>EV/EBIT</t>
  </si>
  <si>
    <t>P/E</t>
  </si>
  <si>
    <t>ASX200 Industrials ex Financials</t>
  </si>
  <si>
    <t>Index multiple</t>
  </si>
  <si>
    <t>Discount</t>
  </si>
  <si>
    <t>Prior</t>
  </si>
  <si>
    <t>Change</t>
  </si>
  <si>
    <t>Price</t>
  </si>
  <si>
    <t>Volume</t>
  </si>
  <si>
    <t>Debt adjustment (leases)</t>
  </si>
  <si>
    <t>Valuation Summary</t>
  </si>
  <si>
    <t>RWC VALUATION</t>
  </si>
  <si>
    <t>FY20A</t>
  </si>
  <si>
    <t>EMEA forecast</t>
  </si>
  <si>
    <t>Adj. EBITDA</t>
  </si>
  <si>
    <t>Bull case</t>
  </si>
  <si>
    <t>Bear case</t>
  </si>
  <si>
    <r>
      <t>Price target</t>
    </r>
    <r>
      <rPr>
        <i/>
        <sz val="8"/>
        <color theme="1"/>
        <rFont val="Arial"/>
        <family val="2"/>
      </rPr>
      <t xml:space="preserve"> (rounded to nearest 10c)</t>
    </r>
  </si>
  <si>
    <t>FY21A</t>
  </si>
  <si>
    <t>FY24E</t>
  </si>
  <si>
    <t>2H26</t>
  </si>
  <si>
    <t>FY26</t>
  </si>
  <si>
    <t>1H27</t>
  </si>
  <si>
    <t>2H27</t>
  </si>
  <si>
    <t>FY27</t>
  </si>
  <si>
    <t>1H28</t>
  </si>
  <si>
    <t>2H28</t>
  </si>
  <si>
    <t>FY28</t>
  </si>
  <si>
    <t>1H29</t>
  </si>
  <si>
    <t>2H29</t>
  </si>
  <si>
    <t>FY29</t>
  </si>
  <si>
    <t>1H30</t>
  </si>
  <si>
    <t>2H30</t>
  </si>
  <si>
    <t>FY30</t>
  </si>
  <si>
    <t>2026E</t>
  </si>
  <si>
    <t>2027E</t>
  </si>
  <si>
    <t>2028E</t>
  </si>
  <si>
    <t>2029E</t>
  </si>
  <si>
    <t>2030E</t>
  </si>
  <si>
    <t>`</t>
  </si>
  <si>
    <t>Sales growth</t>
  </si>
  <si>
    <t>US$</t>
  </si>
  <si>
    <t>Other current liabilities</t>
  </si>
  <si>
    <t>Income statement (US$m)</t>
  </si>
  <si>
    <t>Cash flow statement (US$m)</t>
  </si>
  <si>
    <t>Balance sheet (US$m)</t>
  </si>
  <si>
    <t>Asia Pacific forecast</t>
  </si>
  <si>
    <t>USD/GBP exchange rate</t>
  </si>
  <si>
    <t xml:space="preserve">AUDUSD </t>
  </si>
  <si>
    <t>FX</t>
  </si>
  <si>
    <t>Implied share price (US$/shr)</t>
  </si>
  <si>
    <t>Implied share price (A$/shr)</t>
  </si>
  <si>
    <t>EPS (US$)</t>
  </si>
  <si>
    <t>AUDUSD</t>
  </si>
  <si>
    <t>Valuation (A$/shr)</t>
  </si>
  <si>
    <t>A$per share</t>
  </si>
  <si>
    <t>Discounted FCF (A$m)</t>
  </si>
  <si>
    <t>Discounted FCF (US$m)</t>
  </si>
  <si>
    <t>Terminal value (US$m)</t>
  </si>
  <si>
    <t>EV US$m</t>
  </si>
  <si>
    <t>Market cap USD</t>
  </si>
  <si>
    <t>FY25E</t>
  </si>
  <si>
    <t>Total sales</t>
  </si>
  <si>
    <t>FY22A</t>
  </si>
  <si>
    <t>FY26E</t>
  </si>
  <si>
    <t>FY23A</t>
  </si>
  <si>
    <t>HOLMAN</t>
  </si>
  <si>
    <t>Seasonality</t>
  </si>
  <si>
    <t>% of sales</t>
  </si>
  <si>
    <t>FY27E</t>
  </si>
  <si>
    <t>FY24A</t>
  </si>
  <si>
    <t>FY28E</t>
  </si>
  <si>
    <t>FY25A</t>
  </si>
  <si>
    <t>Price Target (rounded to nearest 5c)</t>
  </si>
  <si>
    <t>Total EBIT margin</t>
  </si>
  <si>
    <t>Segmentals (US$m)</t>
  </si>
  <si>
    <t xml:space="preserve">1 Austin Road West </t>
  </si>
  <si>
    <t xml:space="preserve">Kowloon </t>
  </si>
  <si>
    <t xml:space="preserve">Hong Kong </t>
  </si>
  <si>
    <t>Tel: +852 2848 5200</t>
  </si>
  <si>
    <t>Authors: Joseph Michael,Julianna Sick</t>
  </si>
  <si>
    <t>Date: 18 Feb 2026</t>
  </si>
  <si>
    <t>Ticker: RWC.AX</t>
  </si>
  <si>
    <t>Stock Rating: Equal-weight</t>
  </si>
  <si>
    <t>Industry: Australia Industrials</t>
  </si>
  <si>
    <t>Industry View: In-Line</t>
  </si>
  <si>
    <t>Price as of 18 Feb 2026: 3.38</t>
  </si>
  <si>
    <t>Target Price: 3.80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</si>
  <si>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</si>
  <si>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</si>
  <si>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</si>
  <si>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</si>
  <si>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</si>
  <si>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</si>
  <si>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</si>
  <si>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</si>
  <si>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</si>
  <si>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</si>
  <si>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</si>
  <si>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</si>
  <si>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</si>
  <si>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</si>
  <si>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</si>
  <si>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</si>
  <si>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</si>
  <si>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</si>
  <si>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</si>
  <si>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</si>
  <si>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</si>
  <si>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</si>
  <si>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</si>
  <si>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</si>
  <si>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</si>
  <si>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</si>
  <si>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</si>
  <si>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</si>
  <si>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</si>
  <si>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</si>
  <si>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</si>
  <si>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</si>
  <si>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</si>
  <si>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</si>
  <si>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</si>
  <si>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</si>
  <si>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</si>
  <si>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</si>
  <si>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</si>
  <si>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</si>
  <si>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</si>
  <si>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</si>
  <si>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</si>
  <si>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</si>
  <si>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Joseph Michael, CFA.</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</si>
  <si>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</si>
  <si>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</si>
  <si>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</si>
  <si>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</si>
  <si>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</si>
  <si>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</si>
  <si>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</si>
  <si>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</si>
  <si>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</si>
  <si>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</si>
  <si>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</si>
  <si>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</si>
  <si>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</si>
  <si>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</si>
  <si>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</si>
  <si>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</si>
  <si>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</si>
  <si>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</si>
  <si>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</si>
  <si>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</si>
  <si>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</si>
  <si>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</si>
  <si>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</si>
  <si>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</si>
  <si>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</si>
  <si>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</si>
  <si>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</si>
  <si>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</si>
  <si>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</si>
  <si>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</si>
  <si>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</si>
  <si>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</si>
  <si>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January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</si>
  <si>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</si>
  <si>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</si>
  <si>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</si>
  <si>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</si>
  <si>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</si>
  <si>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</si>
  <si>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</si>
  <si>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</si>
  <si>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</si>
  <si>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</si>
  <si>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</si>
  <si>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</si>
  <si>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</si>
  <si>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</si>
  <si>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</si>
  <si>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</si>
  <si>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</si>
  <si>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</si>
  <si>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</si>
  <si>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</si>
  <si>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</si>
  <si>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</si>
  <si>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</si>
  <si>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</si>
  <si>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</si>
  <si>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</si>
  <si>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</si>
  <si>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</si>
  <si>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</si>
  <si>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</si>
  <si>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</si>
  <si>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</si>
  <si>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</si>
  <si>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</si>
  <si>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</si>
  <si>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</si>
  <si>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</si>
  <si>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</si>
  <si>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</si>
  <si>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</si>
  <si>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</si>
  <si>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</si>
  <si>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</si>
  <si>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</si>
  <si>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</si>
  <si>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</si>
  <si>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</si>
  <si>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</si>
  <si>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</si>
  <si>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</si>
  <si>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</si>
  <si>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</si>
  <si>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</si>
  <si>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</si>
  <si>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</si>
  <si>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</si>
  <si>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</si>
  <si>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</si>
  <si>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</si>
  <si>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</si>
  <si>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</si>
  <si>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</si>
  <si>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</si>
  <si>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</si>
  <si>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</si>
  <si>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</si>
  <si>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</si>
  <si>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</si>
  <si>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</si>
  <si>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</si>
  <si>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</si>
  <si>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</si>
  <si>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</si>
  <si>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</si>
  <si>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</si>
  <si>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</si>
  <si>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</si>
  <si>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</si>
  <si>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</si>
  <si>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</si>
  <si>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</si>
  <si>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</si>
  <si>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</si>
  <si>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</si>
  <si>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</si>
  <si>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</si>
  <si>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</si>
  <si>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</si>
  <si>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</si>
  <si>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</si>
  <si>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</si>
  <si>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</si>
  <si>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</si>
  <si>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</si>
  <si>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</si>
  <si>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</si>
  <si>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</si>
  <si>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</si>
  <si>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</si>
  <si>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</si>
  <si>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</si>
  <si>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</si>
  <si>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</si>
  <si>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</si>
  <si>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</si>
  <si>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</si>
  <si>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</si>
  <si>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</si>
  <si>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</si>
  <si>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</si>
  <si>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</si>
  <si>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</si>
  <si>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</si>
  <si>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</si>
  <si>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</si>
  <si>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</si>
  <si>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</si>
  <si>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</si>
  <si>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</si>
  <si>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</si>
  <si>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</si>
  <si>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</si>
  <si>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</si>
  <si>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</si>
  <si>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</si>
  <si>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</si>
  <si>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</si>
  <si>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</si>
  <si>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</si>
  <si>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</si>
  <si>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</si>
  <si>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</si>
  <si>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</si>
  <si>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</si>
  <si>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</si>
  <si>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</si>
  <si>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</si>
  <si>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</si>
  <si>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</si>
  <si>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</si>
  <si>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</si>
  <si>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</si>
  <si>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</si>
  <si>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</si>
  <si>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</si>
  <si>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</si>
  <si>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</si>
  <si>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</si>
  <si>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</si>
  <si>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</si>
  <si>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</si>
  <si>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</si>
  <si>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</si>
  <si>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</si>
  <si>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</si>
  <si>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</si>
  <si>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</si>
  <si>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</si>
  <si>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</si>
  <si>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</si>
  <si>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</si>
  <si>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</si>
  <si>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</si>
  <si>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</si>
  <si>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</si>
  <si>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</si>
  <si>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</si>
  <si>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</si>
  <si>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</si>
  <si>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</si>
  <si>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</si>
  <si>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</si>
  <si>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</si>
  <si>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</si>
  <si>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</si>
  <si>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</si>
  <si>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</si>
  <si>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</si>
  <si>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</si>
  <si>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</si>
  <si>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</si>
  <si>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</si>
  <si>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</si>
  <si>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</si>
  <si>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</si>
  <si>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</si>
  <si>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</si>
  <si>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</si>
  <si>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</si>
  <si>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</si>
  <si>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</si>
  <si>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</si>
  <si>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</si>
  <si>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</si>
  <si>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</si>
  <si>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</si>
  <si>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</si>
  <si>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</si>
  <si>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</si>
  <si>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</si>
  <si>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</si>
  <si>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</si>
  <si>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</si>
  <si>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</si>
  <si>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</si>
  <si>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</si>
  <si>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</si>
  <si>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</si>
  <si>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</si>
  <si>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</si>
  <si>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</si>
  <si>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</si>
  <si>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</si>
  <si>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</si>
  <si>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</si>
  <si>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</si>
  <si>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</si>
  <si>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</si>
  <si>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</si>
  <si>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</si>
  <si>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</si>
  <si>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</si>
  <si>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</si>
  <si>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</si>
  <si>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</si>
  <si>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</si>
  <si>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</si>
  <si>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</si>
  <si>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</si>
  <si>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</si>
  <si>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</si>
  <si>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</si>
  <si>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</si>
  <si>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</si>
  <si>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</si>
  <si>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</si>
  <si>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</si>
  <si>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</si>
  <si>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</si>
  <si>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</si>
  <si>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</si>
  <si>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</si>
  <si>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</si>
  <si>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</si>
  <si>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</si>
  <si>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</si>
  <si>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</si>
  <si>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</si>
  <si>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</si>
  <si>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</si>
  <si>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02/18/26 05:27</t>
  </si>
  <si>
    <t>Discipline</t>
  </si>
  <si>
    <t>Research</t>
  </si>
  <si>
    <t>ResearchTopic</t>
  </si>
  <si>
    <t>Company</t>
  </si>
  <si>
    <t>DocType</t>
  </si>
  <si>
    <t>Model</t>
  </si>
  <si>
    <t>SubjectCode</t>
  </si>
  <si>
    <t>Description</t>
  </si>
  <si>
    <t>KeepVersions</t>
  </si>
  <si>
    <t>All</t>
  </si>
  <si>
    <t>Rating</t>
  </si>
  <si>
    <t>Equal-weight / In-Line</t>
  </si>
  <si>
    <t>CurrYearTotalRevenue*</t>
  </si>
  <si>
    <t>CurrYearEPS*</t>
  </si>
  <si>
    <t>NextYearTotalRevenue*</t>
  </si>
  <si>
    <t>NextYearEPS*</t>
  </si>
  <si>
    <t>FollowingYearTotalRevenue*</t>
  </si>
  <si>
    <t>FollowingYearEPS*</t>
  </si>
  <si>
    <t>5YearGrowthRate</t>
  </si>
  <si>
    <t>UpdateReason</t>
  </si>
  <si>
    <t>Regular Update</t>
  </si>
  <si>
    <t>Authors</t>
  </si>
  <si>
    <t>MSA13NLV, MSA6G101</t>
  </si>
  <si>
    <t>Tickers</t>
  </si>
  <si>
    <t>CUSIP</t>
  </si>
  <si>
    <t>RIC</t>
  </si>
  <si>
    <t>SEDOL</t>
  </si>
  <si>
    <t>BD1DM79</t>
  </si>
  <si>
    <t>Current Stock Price</t>
  </si>
  <si>
    <t>3.38</t>
  </si>
  <si>
    <t>Currency</t>
  </si>
  <si>
    <t>AUD</t>
  </si>
  <si>
    <t>PathName</t>
  </si>
  <si>
    <t>L:\USERS\Building Materials\2. CURRENT MODELS\MS_RWC_Current.xlsm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</si>
  <si>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</si>
  <si>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</si>
  <si>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</si>
  <si>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</si>
  <si>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</si>
  <si>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</si>
  <si>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</si>
  <si>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</si>
  <si>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</si>
  <si>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</si>
  <si>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</si>
  <si>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</si>
  <si>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</si>
  <si>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</si>
  <si>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</si>
  <si>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</si>
  <si>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</si>
  <si>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</si>
  <si>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</si>
  <si>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</si>
  <si>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</si>
  <si>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sickjul</t>
  </si>
  <si>
    <t>IndustryId</t>
  </si>
  <si>
    <t>1900000950</t>
  </si>
  <si>
    <t>TickerRegion</t>
  </si>
  <si>
    <t>5</t>
  </si>
  <si>
    <t>AdditionalInstructions</t>
  </si>
  <si>
    <t>*Estimated</t>
  </si>
  <si>
    <t>OwnerTeam</t>
  </si>
  <si>
    <t>I1502100231</t>
  </si>
  <si>
    <t>[BRO MSA]</t>
  </si>
  <si>
    <t>[DOCDAT 2026-02-18]</t>
  </si>
  <si>
    <t>[DOCTIME 17:27]</t>
  </si>
  <si>
    <t>[PSYM RWC.AX(Reuters) (None)]</t>
  </si>
  <si>
    <t>[COU Australia]</t>
  </si>
  <si>
    <t>[PRODUCT MODEL]</t>
  </si>
  <si>
    <t>[ANA MSA6G101]</t>
  </si>
  <si>
    <t>[HL RWC.AX Model]</t>
  </si>
  <si>
    <t>[IND Industrials]</t>
  </si>
  <si>
    <t>[EMAIL_ALERT YES]</t>
  </si>
  <si>
    <t>[PANA  MSA13NLV]</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</si>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</sst>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quot;$&quot;#,##0.00_);\(&quot;$&quot;#,##0.00\)"/>
    <numFmt numFmtId="165" formatCode="_(&quot;$&quot;* #,##0.00_);_(&quot;$&quot;* \(#,##0.00\);_(&quot;$&quot;* &quot;-&quot;??_);_(@_)"/>
    <numFmt numFmtId="166" formatCode="_(* #,##0.00_);_(* \(#,##0.00\);_(* &quot;-&quot;??_);_(@_)"/>
    <numFmt numFmtId="167" formatCode="0.0%"/>
    <numFmt numFmtId="168" formatCode="0.0"/>
    <numFmt numFmtId="169" formatCode="0.0000"/>
    <numFmt numFmtId="170" formatCode="0.000"/>
    <numFmt numFmtId="171" formatCode="&quot;$&quot;#,##0.00"/>
    <numFmt numFmtId="172" formatCode="#,##0.0"/>
    <numFmt numFmtId="173" formatCode="_-* #,##0.0_-;\-* #,##0.0_-;_-* &quot;-&quot;??_-;_-@_-"/>
    <numFmt numFmtId="174" formatCode="_-* #,##0_-;\-* #,##0_-;_-* &quot;-&quot;??_-;_-@_-"/>
    <numFmt numFmtId="175" formatCode="#,##0.0;\(#,##0.0\)"/>
    <numFmt numFmtId="176" formatCode="0000&quot;F&quot;"/>
    <numFmt numFmtId="177" formatCode="_(* #,##0_);_(* \(#,##0\);_(* &quot;-&quot;??_);_(@_)"/>
    <numFmt numFmtId="178" formatCode="#,##0.0;\ \(#,##0.0\)"/>
    <numFmt numFmtId="179" formatCode="[$-809]dd\ mmmm\ yyyy;@"/>
    <numFmt numFmtId="180" formatCode="&quot;Share price as at:&quot;\ d/mm/yy\ h:mm\ &quot; AEST&quot;"/>
    <numFmt numFmtId="181" formatCode="0.0\x"/>
    <numFmt numFmtId="182" formatCode="&quot;Share price as at:&quot;\ dd\-mmm\-yy"/>
    <numFmt numFmtId="183" formatCode="0.0&quot;x&quot;"/>
    <numFmt numFmtId="184" formatCode="&quot;DCF VALUATION: A$&quot;#,##0.00;\(#,##0.0\)"/>
    <numFmt numFmtId="185" formatCode="&quot;P/E VALUATION: A$&quot;#,##0.00;\(#,##0.0\)"/>
    <numFmt numFmtId="186" formatCode="#,##0.00;\(#,##0.00\)"/>
    <numFmt numFmtId="187" formatCode="#,##0.000"/>
    <numFmt numFmtId="188" formatCode="#,##0.0000"/>
  </numFmts>
  <fonts count="74">
    <font>
      <sz val="10"/>
      <color rgb="FF000000"/>
      <name val="Arial"/>
      <family val="2"/>
    </font>
    <font>
      <sz val="11"/>
      <color theme="1"/>
      <name val="Calibri"/>
      <family val="2"/>
      <scheme val="minor"/>
    </font>
    <font>
      <sz val="11"/>
      <color theme="1"/>
      <name val="Calibri"/>
      <family val="2"/>
      <scheme val="minor"/>
    </font>
    <font>
      <sz val="8"/>
      <color theme="1"/>
      <name val="Arial"/>
      <family val="2"/>
    </font>
    <font>
      <sz val="8"/>
      <color theme="1"/>
      <name val="Arial"/>
      <family val="2"/>
    </font>
    <font>
      <sz val="8"/>
      <color theme="1"/>
      <name val="Arial"/>
      <family val="2"/>
    </font>
    <font>
      <sz val="8"/>
      <color theme="1"/>
      <name val="Arial"/>
      <family val="2"/>
    </font>
    <font>
      <sz val="11"/>
      <color theme="1"/>
      <name val="Calibri"/>
      <family val="2"/>
      <scheme val="minor"/>
    </font>
    <font>
      <sz val="10"/>
      <name val="Arial"/>
      <family val="2"/>
    </font>
    <font>
      <b/>
      <sz val="10"/>
      <name val="Arial"/>
      <family val="2"/>
    </font>
    <font>
      <sz val="10"/>
      <name val="Helv"/>
    </font>
    <font>
      <sz val="8"/>
      <color indexed="12"/>
      <name val="Arial"/>
      <family val="2"/>
    </font>
    <font>
      <sz val="8"/>
      <name val="Arial"/>
      <family val="2"/>
    </font>
    <font>
      <sz val="8"/>
      <color indexed="10"/>
      <name val="Arial"/>
      <family val="2"/>
    </font>
    <font>
      <b/>
      <sz val="18"/>
      <name val="Arial"/>
      <family val="2"/>
    </font>
    <font>
      <b/>
      <sz val="12"/>
      <name val="Arial"/>
      <family val="2"/>
    </font>
    <font>
      <b/>
      <sz val="10"/>
      <name val="Arial"/>
      <family val="2"/>
    </font>
    <font>
      <b/>
      <sz val="8"/>
      <color indexed="9"/>
      <name val="Arial"/>
      <family val="2"/>
    </font>
    <font>
      <sz val="10"/>
      <color indexed="12"/>
      <name val="Arial"/>
      <family val="2"/>
    </font>
    <font>
      <sz val="10"/>
      <name val="MS Sans Serif"/>
      <family val="2"/>
    </font>
    <font>
      <sz val="8"/>
      <name val="Helvetica"/>
      <family val="2"/>
    </font>
    <font>
      <b/>
      <sz val="8"/>
      <name val="Arial"/>
      <family val="2"/>
    </font>
    <font>
      <i/>
      <sz val="8"/>
      <name val="Arial"/>
      <family val="2"/>
    </font>
    <font>
      <b/>
      <i/>
      <sz val="8"/>
      <name val="Arial"/>
      <family val="2"/>
    </font>
    <font>
      <b/>
      <sz val="8"/>
      <color indexed="56"/>
      <name val="Arial"/>
      <family val="2"/>
    </font>
    <font>
      <sz val="9"/>
      <color indexed="81"/>
      <name val="Tahoma"/>
      <family val="2"/>
    </font>
    <font>
      <b/>
      <sz val="9"/>
      <color indexed="81"/>
      <name val="Tahoma"/>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Arial MT"/>
    </font>
    <font>
      <sz val="8"/>
      <color rgb="FF002060"/>
      <name val="Arial"/>
      <family val="2"/>
    </font>
    <font>
      <b/>
      <sz val="8"/>
      <color rgb="FF002060"/>
      <name val="Arial"/>
      <family val="2"/>
    </font>
    <font>
      <sz val="8"/>
      <color theme="0" tint="-0.14999847407452621"/>
      <name val="Arial"/>
      <family val="2"/>
    </font>
    <font>
      <b/>
      <sz val="8"/>
      <color theme="1"/>
      <name val="Arial"/>
      <family val="2"/>
    </font>
    <font>
      <sz val="10"/>
      <name val="Helv"/>
      <charset val="204"/>
    </font>
    <font>
      <sz val="12"/>
      <name val="바탕체"/>
      <family val="3"/>
    </font>
    <font>
      <b/>
      <sz val="10"/>
      <color rgb="FFFFFFFF"/>
      <name val="Arial"/>
      <family val="2"/>
    </font>
    <font>
      <sz val="8"/>
      <color theme="0"/>
      <name val="Arial"/>
      <family val="2"/>
    </font>
    <font>
      <b/>
      <sz val="8"/>
      <color theme="0"/>
      <name val="Arial"/>
      <family val="2"/>
    </font>
    <font>
      <sz val="8"/>
      <color rgb="FFFF0000"/>
      <name val="Arial"/>
      <family val="2"/>
    </font>
    <font>
      <b/>
      <sz val="8"/>
      <color rgb="FFFF0000"/>
      <name val="Arial"/>
      <family val="2"/>
    </font>
    <font>
      <sz val="8"/>
      <color rgb="FF0000FF"/>
      <name val="Arial"/>
      <family val="2"/>
    </font>
    <font>
      <b/>
      <u/>
      <sz val="8"/>
      <name val="Arial"/>
      <family val="2"/>
    </font>
    <font>
      <sz val="8"/>
      <color indexed="56"/>
      <name val="Arial"/>
      <family val="2"/>
    </font>
    <font>
      <i/>
      <sz val="8"/>
      <color theme="0" tint="-0.499984740745262"/>
      <name val="Arial"/>
      <family val="2"/>
    </font>
    <font>
      <i/>
      <sz val="8"/>
      <color theme="0" tint="-0.249977111117893"/>
      <name val="Arial"/>
      <family val="2"/>
    </font>
    <font>
      <b/>
      <u/>
      <sz val="8"/>
      <color rgb="FF002060"/>
      <name val="Arial"/>
      <family val="2"/>
    </font>
    <font>
      <b/>
      <sz val="8"/>
      <color rgb="FFC00000"/>
      <name val="Arial"/>
      <family val="2"/>
    </font>
    <font>
      <i/>
      <sz val="8"/>
      <color rgb="FF0000FF"/>
      <name val="Arial"/>
      <family val="2"/>
    </font>
    <font>
      <i/>
      <sz val="8"/>
      <color rgb="FFFF0000"/>
      <name val="Arial"/>
      <family val="2"/>
    </font>
    <font>
      <b/>
      <sz val="8"/>
      <name val="Calibri"/>
      <family val="2"/>
      <scheme val="minor"/>
    </font>
    <font>
      <sz val="8"/>
      <name val="Calibri"/>
      <family val="2"/>
      <scheme val="minor"/>
    </font>
    <font>
      <sz val="8"/>
      <color rgb="FF262A33"/>
      <name val="Calibri"/>
      <family val="2"/>
      <scheme val="minor"/>
    </font>
    <font>
      <b/>
      <sz val="8"/>
      <color theme="0"/>
      <name val="Calibri"/>
      <family val="2"/>
      <scheme val="minor"/>
    </font>
    <font>
      <sz val="8"/>
      <color rgb="FF737272"/>
      <name val="Calibri"/>
      <family val="2"/>
      <scheme val="minor"/>
    </font>
    <font>
      <b/>
      <sz val="8"/>
      <color indexed="12"/>
      <name val="Arial"/>
      <family val="2"/>
    </font>
    <font>
      <b/>
      <i/>
      <u/>
      <sz val="8"/>
      <color indexed="12"/>
      <name val="Arial"/>
      <family val="2"/>
    </font>
    <font>
      <sz val="8"/>
      <color indexed="8"/>
      <name val="Arial"/>
      <family val="2"/>
    </font>
    <font>
      <sz val="8"/>
      <color rgb="FFC00000"/>
      <name val="Arial"/>
      <family val="2"/>
    </font>
    <font>
      <b/>
      <sz val="8"/>
      <color theme="0" tint="-0.34998626667073579"/>
      <name val="Arial"/>
      <family val="2"/>
    </font>
    <font>
      <b/>
      <u/>
      <sz val="8"/>
      <color theme="0" tint="-0.34998626667073579"/>
      <name val="Arial"/>
      <family val="2"/>
    </font>
    <font>
      <sz val="8"/>
      <color theme="0" tint="-0.34998626667073579"/>
      <name val="Arial"/>
      <family val="2"/>
    </font>
    <font>
      <sz val="8"/>
      <color rgb="FF0070C0"/>
      <name val="Arial"/>
      <family val="2"/>
    </font>
    <font>
      <i/>
      <sz val="8"/>
      <color theme="1"/>
      <name val="Arial"/>
      <family val="2"/>
    </font>
    <font>
      <sz val="8"/>
      <color rgb="FF0060A9"/>
      <name val="Arial"/>
      <family val="2"/>
    </font>
    <font>
      <b/>
      <sz val="11"/>
      <color indexed="81"/>
      <name val="Tahoma"/>
      <family val="2"/>
    </font>
    <font>
      <sz val="11"/>
      <color indexed="81"/>
      <name val="Tahoma"/>
      <family val="2"/>
    </font>
    <font>
      <sz val="10"/>
      <color rgb="FF000000"/>
      <name val="Arial"/>
      <family val="2"/>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rgb="FF00206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137CB1"/>
        <bgColor indexed="64"/>
      </patternFill>
    </fill>
    <fill>
      <patternFill patternType="solid">
        <fgColor rgb="FFEEF7F9" tint="0.54997405926694543"/>
        <bgColor indexed="64"/>
      </patternFill>
    </fill>
    <fill>
      <patternFill patternType="solid">
        <fgColor rgb="FF005AA4"/>
        <bgColor indexed="64"/>
      </patternFill>
    </fill>
    <fill>
      <patternFill patternType="solid">
        <fgColor rgb="FFFFFFCC"/>
        <bgColor indexed="64"/>
      </patternFill>
    </fill>
    <fill>
      <patternFill patternType="solid">
        <fgColor rgb="FFD9E6F1"/>
        <bgColor indexed="64"/>
      </patternFill>
    </fill>
    <fill>
      <patternFill patternType="solid">
        <fgColor rgb="FF80ADD2"/>
        <bgColor indexed="64"/>
      </patternFill>
    </fill>
    <fill>
      <patternFill patternType="solid">
        <fgColor rgb="FFFFFFFF"/>
        <bgColor indexed="64"/>
      </patternFill>
    </fill>
    <fill>
      <patternFill patternType="solid">
        <fgColor indexed="65"/>
        <bgColor indexed="64"/>
      </patternFill>
    </fill>
  </fills>
  <borders count="37">
    <border>
      <left/>
      <right/>
      <top/>
      <bottom/>
      <diagonal/>
    </border>
    <border>
      <left style="thin">
        <color indexed="64"/>
      </left>
      <right style="thin">
        <color indexed="64"/>
      </right>
      <top/>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theme="0" tint="-0.34998626667073579"/>
      </top>
      <bottom style="thin">
        <color theme="0" tint="-0.34998626667073579"/>
      </bottom>
      <diagonal/>
    </border>
    <border>
      <left/>
      <right/>
      <top/>
      <bottom style="thin">
        <color indexed="8"/>
      </bottom>
      <diagonal/>
    </border>
    <border>
      <left style="thin">
        <color theme="0"/>
      </left>
      <right/>
      <top style="thin">
        <color theme="0"/>
      </top>
      <bottom/>
      <diagonal/>
    </border>
    <border>
      <left/>
      <right/>
      <top style="thin">
        <color indexed="64"/>
      </top>
      <bottom style="medium">
        <color indexed="64"/>
      </bottom>
      <diagonal/>
    </border>
    <border>
      <left/>
      <right/>
      <top style="thin">
        <color auto="1"/>
      </top>
      <bottom style="thin">
        <color auto="1"/>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theme="0" tint="-0.34998626667073579"/>
      </top>
      <bottom style="thin">
        <color theme="0" tint="-0.34998626667073579"/>
      </bottom>
      <diagonal/>
    </border>
    <border>
      <left style="thin">
        <color theme="0"/>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auto="1"/>
      </right>
      <top style="thin">
        <color indexed="64"/>
      </top>
      <bottom style="medium">
        <color indexed="64"/>
      </bottom>
      <diagonal/>
    </border>
    <border>
      <left style="thin">
        <color indexed="64"/>
      </left>
      <right style="thin">
        <color indexed="64"/>
      </right>
      <top style="thin">
        <color theme="0" tint="-0.34998626667073579"/>
      </top>
      <bottom style="thin">
        <color theme="0" tint="-0.34998626667073579"/>
      </bottom>
      <diagonal/>
    </border>
  </borders>
  <cellStyleXfs count="41">
    <xf numFmtId="0" fontId="0" fillId="0" borderId="0"/>
    <xf numFmtId="166" fontId="8" fillId="0" borderId="0" applyFont="0" applyFill="0" applyBorder="0" applyAlignment="0" applyProtection="0"/>
    <xf numFmtId="165" fontId="8" fillId="0" borderId="0" applyFont="0" applyFill="0" applyBorder="0" applyAlignment="0" applyProtection="0"/>
    <xf numFmtId="0" fontId="14" fillId="0" borderId="0"/>
    <xf numFmtId="0" fontId="15" fillId="0" borderId="0"/>
    <xf numFmtId="0" fontId="16" fillId="0" borderId="0"/>
    <xf numFmtId="0" fontId="18" fillId="2" borderId="3">
      <protection locked="0"/>
    </xf>
    <xf numFmtId="175" fontId="20" fillId="0" borderId="0"/>
    <xf numFmtId="9" fontId="8" fillId="0" borderId="0" applyFont="0" applyFill="0" applyBorder="0" applyAlignment="0" applyProtection="0"/>
    <xf numFmtId="0" fontId="8" fillId="0" borderId="0"/>
    <xf numFmtId="0" fontId="8" fillId="0" borderId="0"/>
    <xf numFmtId="0" fontId="19" fillId="0" borderId="0"/>
    <xf numFmtId="0" fontId="19" fillId="0" borderId="0"/>
    <xf numFmtId="0" fontId="27" fillId="0" borderId="0"/>
    <xf numFmtId="0" fontId="28" fillId="0" borderId="0">
      <alignment vertical="center"/>
    </xf>
    <xf numFmtId="0" fontId="29" fillId="0" borderId="0"/>
    <xf numFmtId="0" fontId="29" fillId="0" borderId="8">
      <alignment horizontal="centerContinuous"/>
    </xf>
    <xf numFmtId="0" fontId="30" fillId="0" borderId="8"/>
    <xf numFmtId="166" fontId="8" fillId="0" borderId="0" applyFont="0" applyFill="0" applyBorder="0" applyAlignment="0" applyProtection="0"/>
    <xf numFmtId="0" fontId="31" fillId="0" borderId="0"/>
    <xf numFmtId="0" fontId="8" fillId="0" borderId="0"/>
    <xf numFmtId="0" fontId="8" fillId="0" borderId="0"/>
    <xf numFmtId="0" fontId="10" fillId="0" borderId="0"/>
    <xf numFmtId="0" fontId="36" fillId="0" borderId="0"/>
    <xf numFmtId="0" fontId="8" fillId="0" borderId="0"/>
    <xf numFmtId="0" fontId="8" fillId="0" borderId="0"/>
    <xf numFmtId="0" fontId="8" fillId="0" borderId="0"/>
    <xf numFmtId="166" fontId="8" fillId="0" borderId="0" applyFont="0" applyFill="0" applyBorder="0" applyAlignment="0" applyProtection="0"/>
    <xf numFmtId="0" fontId="8" fillId="0" borderId="0" applyFont="0" applyFill="0" applyBorder="0" applyAlignment="0" applyProtection="0"/>
    <xf numFmtId="0" fontId="37" fillId="0" borderId="0"/>
    <xf numFmtId="0" fontId="38" fillId="9" borderId="0" applyNumberFormat="0" applyAlignment="0" applyProtection="0"/>
    <xf numFmtId="0" fontId="7" fillId="10" borderId="0" applyNumberFormat="0" applyFont="0" applyBorder="0" applyAlignment="0" applyProtection="0"/>
    <xf numFmtId="0" fontId="3" fillId="0" borderId="0"/>
    <xf numFmtId="0" fontId="2" fillId="0" borderId="0"/>
    <xf numFmtId="0" fontId="8" fillId="0" borderId="0"/>
    <xf numFmtId="166" fontId="8" fillId="0" borderId="0" applyFont="0" applyFill="0" applyBorder="0" applyAlignment="0" applyProtection="0"/>
    <xf numFmtId="165" fontId="8" fillId="0" borderId="0" applyFont="0" applyFill="0" applyBorder="0" applyAlignment="0" applyProtection="0"/>
    <xf numFmtId="0" fontId="9" fillId="0" borderId="0"/>
    <xf numFmtId="166" fontId="8" fillId="0" borderId="0" applyFont="0" applyFill="0" applyBorder="0" applyAlignment="0" applyProtection="0"/>
    <xf numFmtId="0" fontId="1" fillId="10" borderId="0" applyNumberFormat="0" applyFont="0" applyBorder="0" applyAlignment="0" applyProtection="0"/>
    <xf numFmtId="0" fontId="1" fillId="0" borderId="0"/>
  </cellStyleXfs>
  <cellXfs count="674">
    <xf numFmtId="0" fontId="0" fillId="0" borderId="0" xfId="0"/>
    <xf numFmtId="0" fontId="8" fillId="0" borderId="0" xfId="0" applyFont="1"/>
    <xf numFmtId="0" fontId="12" fillId="3" borderId="0" xfId="0" applyFont="1" applyFill="1" applyAlignment="1">
      <alignment horizontal="right"/>
    </xf>
    <xf numFmtId="0" fontId="12" fillId="4" borderId="0" xfId="0" applyFont="1" applyFill="1" applyAlignment="1">
      <alignment horizontal="right"/>
    </xf>
    <xf numFmtId="0" fontId="12" fillId="0" borderId="0" xfId="0" applyFont="1" applyAlignment="1">
      <alignment horizontal="right"/>
    </xf>
    <xf numFmtId="0" fontId="32" fillId="4" borderId="0" xfId="0" applyFont="1" applyFill="1" applyAlignment="1">
      <alignment vertical="center"/>
    </xf>
    <xf numFmtId="180" fontId="12" fillId="3" borderId="0" xfId="0" applyNumberFormat="1" applyFont="1" applyFill="1" applyAlignment="1">
      <alignment horizontal="left"/>
    </xf>
    <xf numFmtId="0" fontId="12" fillId="0" borderId="0" xfId="0" applyFont="1"/>
    <xf numFmtId="0" fontId="12" fillId="4" borderId="0" xfId="0" applyFont="1" applyFill="1"/>
    <xf numFmtId="0" fontId="12" fillId="6" borderId="0" xfId="0" applyFont="1" applyFill="1"/>
    <xf numFmtId="0" fontId="6" fillId="0" borderId="0" xfId="0" applyFont="1"/>
    <xf numFmtId="0" fontId="6" fillId="0" borderId="4" xfId="0" applyFont="1" applyBorder="1"/>
    <xf numFmtId="0" fontId="21" fillId="0" borderId="0" xfId="19" applyFont="1"/>
    <xf numFmtId="0" fontId="12" fillId="5" borderId="0" xfId="0" applyFont="1" applyFill="1"/>
    <xf numFmtId="0" fontId="21" fillId="0" borderId="0" xfId="0" applyFont="1"/>
    <xf numFmtId="0" fontId="40" fillId="6" borderId="0" xfId="0" applyFont="1" applyFill="1" applyAlignment="1">
      <alignment horizontal="right"/>
    </xf>
    <xf numFmtId="0" fontId="40" fillId="6" borderId="0" xfId="0" applyFont="1" applyFill="1" applyAlignment="1">
      <alignment horizontal="left"/>
    </xf>
    <xf numFmtId="0" fontId="40" fillId="6" borderId="4" xfId="0" applyFont="1" applyFill="1" applyBorder="1" applyAlignment="1">
      <alignment horizontal="right"/>
    </xf>
    <xf numFmtId="0" fontId="40" fillId="0" borderId="0" xfId="0" applyFont="1" applyAlignment="1">
      <alignment horizontal="right"/>
    </xf>
    <xf numFmtId="0" fontId="39" fillId="0" borderId="0" xfId="0" applyFont="1" applyAlignment="1">
      <alignment horizontal="right"/>
    </xf>
    <xf numFmtId="0" fontId="40" fillId="0" borderId="0" xfId="0" applyFont="1" applyAlignment="1">
      <alignment horizontal="left"/>
    </xf>
    <xf numFmtId="0" fontId="40" fillId="0" borderId="4" xfId="0" applyFont="1" applyBorder="1" applyAlignment="1">
      <alignment horizontal="right"/>
    </xf>
    <xf numFmtId="0" fontId="40" fillId="6" borderId="0" xfId="0" applyFont="1" applyFill="1"/>
    <xf numFmtId="168" fontId="40" fillId="6" borderId="0" xfId="0" applyNumberFormat="1" applyFont="1" applyFill="1"/>
    <xf numFmtId="0" fontId="40" fillId="6" borderId="4" xfId="0" applyFont="1" applyFill="1" applyBorder="1"/>
    <xf numFmtId="0" fontId="40" fillId="0" borderId="0" xfId="0" applyFont="1"/>
    <xf numFmtId="0" fontId="21" fillId="4" borderId="0" xfId="0" applyFont="1" applyFill="1"/>
    <xf numFmtId="168" fontId="12" fillId="4" borderId="0" xfId="0" applyNumberFormat="1" applyFont="1" applyFill="1"/>
    <xf numFmtId="168" fontId="21" fillId="0" borderId="0" xfId="0" applyNumberFormat="1" applyFont="1"/>
    <xf numFmtId="168" fontId="42" fillId="0" borderId="0" xfId="0" applyNumberFormat="1" applyFont="1"/>
    <xf numFmtId="168" fontId="12" fillId="0" borderId="0" xfId="0" applyNumberFormat="1" applyFont="1"/>
    <xf numFmtId="168" fontId="41" fillId="0" borderId="0" xfId="0" applyNumberFormat="1" applyFont="1"/>
    <xf numFmtId="9" fontId="12" fillId="0" borderId="0" xfId="8" applyFont="1" applyFill="1" applyBorder="1"/>
    <xf numFmtId="9" fontId="12" fillId="0" borderId="4" xfId="8" applyFont="1" applyFill="1" applyBorder="1"/>
    <xf numFmtId="9" fontId="43" fillId="0" borderId="0" xfId="8" applyFont="1" applyFill="1" applyBorder="1"/>
    <xf numFmtId="168" fontId="21" fillId="0" borderId="7" xfId="0" applyNumberFormat="1" applyFont="1" applyBorder="1"/>
    <xf numFmtId="168" fontId="42" fillId="0" borderId="7" xfId="0" applyNumberFormat="1" applyFont="1" applyBorder="1"/>
    <xf numFmtId="167" fontId="12" fillId="4" borderId="0" xfId="8" applyNumberFormat="1" applyFont="1" applyFill="1" applyBorder="1"/>
    <xf numFmtId="167" fontId="12" fillId="0" borderId="0" xfId="8" applyNumberFormat="1" applyFont="1" applyFill="1" applyBorder="1"/>
    <xf numFmtId="168" fontId="12" fillId="0" borderId="0" xfId="8" applyNumberFormat="1" applyFont="1" applyFill="1" applyBorder="1"/>
    <xf numFmtId="0" fontId="22" fillId="0" borderId="0" xfId="0" applyFont="1"/>
    <xf numFmtId="167" fontId="22" fillId="0" borderId="0" xfId="8" applyNumberFormat="1" applyFont="1" applyFill="1" applyBorder="1"/>
    <xf numFmtId="168" fontId="41" fillId="0" borderId="7" xfId="0" applyNumberFormat="1" applyFont="1" applyBorder="1"/>
    <xf numFmtId="168" fontId="12" fillId="0" borderId="7" xfId="0" applyNumberFormat="1" applyFont="1" applyBorder="1"/>
    <xf numFmtId="173" fontId="12" fillId="0" borderId="0" xfId="1" applyNumberFormat="1" applyFont="1" applyFill="1" applyBorder="1"/>
    <xf numFmtId="0" fontId="17" fillId="6" borderId="0" xfId="0" applyFont="1" applyFill="1"/>
    <xf numFmtId="178" fontId="21" fillId="0" borderId="0" xfId="19" applyNumberFormat="1" applyFont="1" applyAlignment="1" applyProtection="1">
      <alignment horizontal="right"/>
      <protection locked="0"/>
    </xf>
    <xf numFmtId="178" fontId="21" fillId="0" borderId="0" xfId="19" applyNumberFormat="1" applyFont="1" applyAlignment="1">
      <alignment horizontal="right"/>
    </xf>
    <xf numFmtId="1" fontId="43" fillId="0" borderId="0" xfId="0" applyNumberFormat="1" applyFont="1"/>
    <xf numFmtId="1" fontId="12" fillId="0" borderId="0" xfId="0" applyNumberFormat="1" applyFont="1"/>
    <xf numFmtId="166" fontId="41" fillId="0" borderId="0" xfId="1" applyFont="1" applyFill="1" applyBorder="1"/>
    <xf numFmtId="2" fontId="12" fillId="4" borderId="0" xfId="0" applyNumberFormat="1" applyFont="1" applyFill="1"/>
    <xf numFmtId="3" fontId="46" fillId="0" borderId="0" xfId="1" applyNumberFormat="1" applyFont="1" applyFill="1" applyBorder="1" applyAlignment="1">
      <alignment horizontal="left"/>
    </xf>
    <xf numFmtId="168" fontId="46" fillId="0" borderId="0" xfId="0" applyNumberFormat="1" applyFont="1"/>
    <xf numFmtId="168" fontId="21" fillId="0" borderId="10" xfId="0" applyNumberFormat="1" applyFont="1" applyBorder="1"/>
    <xf numFmtId="3" fontId="47" fillId="0" borderId="0" xfId="18" applyNumberFormat="1" applyFont="1" applyFill="1" applyBorder="1" applyAlignment="1">
      <alignment horizontal="left"/>
    </xf>
    <xf numFmtId="0" fontId="12" fillId="0" borderId="4" xfId="19" applyFont="1" applyBorder="1" applyAlignment="1">
      <alignment horizontal="center"/>
    </xf>
    <xf numFmtId="168" fontId="12" fillId="0" borderId="0" xfId="0" applyNumberFormat="1" applyFont="1" applyAlignment="1">
      <alignment horizontal="right"/>
    </xf>
    <xf numFmtId="164" fontId="12" fillId="4" borderId="0" xfId="0" applyNumberFormat="1" applyFont="1" applyFill="1"/>
    <xf numFmtId="0" fontId="41" fillId="0" borderId="0" xfId="0" applyFont="1" applyAlignment="1">
      <alignment horizontal="right"/>
    </xf>
    <xf numFmtId="0" fontId="43" fillId="0" borderId="0" xfId="0" applyFont="1" applyAlignment="1">
      <alignment horizontal="right"/>
    </xf>
    <xf numFmtId="0" fontId="12" fillId="0" borderId="4" xfId="0" applyFont="1" applyBorder="1"/>
    <xf numFmtId="0" fontId="40" fillId="6" borderId="1" xfId="0" applyFont="1" applyFill="1" applyBorder="1" applyAlignment="1">
      <alignment horizontal="right"/>
    </xf>
    <xf numFmtId="0" fontId="12" fillId="8" borderId="0" xfId="0" applyFont="1" applyFill="1"/>
    <xf numFmtId="0" fontId="21" fillId="4" borderId="11" xfId="0" applyFont="1" applyFill="1" applyBorder="1"/>
    <xf numFmtId="167" fontId="50" fillId="0" borderId="0" xfId="0" applyNumberFormat="1" applyFont="1"/>
    <xf numFmtId="9" fontId="50" fillId="0" borderId="0" xfId="0" applyNumberFormat="1" applyFont="1"/>
    <xf numFmtId="0" fontId="39" fillId="0" borderId="9" xfId="0" applyFont="1" applyBorder="1" applyAlignment="1">
      <alignment horizontal="center" vertical="center" wrapText="1"/>
    </xf>
    <xf numFmtId="0" fontId="24" fillId="0" borderId="0" xfId="0" applyFont="1" applyAlignment="1">
      <alignment horizontal="right" vertical="center"/>
    </xf>
    <xf numFmtId="0" fontId="12" fillId="0" borderId="4" xfId="0" applyFont="1" applyBorder="1" applyAlignment="1">
      <alignment horizontal="right"/>
    </xf>
    <xf numFmtId="0" fontId="17" fillId="0" borderId="0" xfId="0" applyFont="1"/>
    <xf numFmtId="168" fontId="40" fillId="0" borderId="0" xfId="0" applyNumberFormat="1" applyFont="1"/>
    <xf numFmtId="0" fontId="40" fillId="0" borderId="4" xfId="0" applyFont="1" applyBorder="1"/>
    <xf numFmtId="0" fontId="12" fillId="0" borderId="0" xfId="0" applyFont="1" applyAlignment="1">
      <alignment horizontal="center"/>
    </xf>
    <xf numFmtId="0" fontId="12" fillId="0" borderId="0" xfId="0" applyFont="1" applyAlignment="1">
      <alignment horizontal="left"/>
    </xf>
    <xf numFmtId="0" fontId="21" fillId="0" borderId="0" xfId="0" applyFont="1" applyAlignment="1">
      <alignment horizontal="left"/>
    </xf>
    <xf numFmtId="0" fontId="21" fillId="0" borderId="0" xfId="0" applyFont="1" applyAlignment="1">
      <alignment horizontal="center"/>
    </xf>
    <xf numFmtId="173" fontId="21" fillId="0" borderId="0" xfId="1" applyNumberFormat="1" applyFont="1" applyFill="1" applyBorder="1"/>
    <xf numFmtId="170" fontId="12" fillId="0" borderId="0" xfId="0" applyNumberFormat="1" applyFont="1"/>
    <xf numFmtId="0" fontId="21" fillId="0" borderId="7" xfId="0" applyFont="1" applyBorder="1"/>
    <xf numFmtId="0" fontId="21" fillId="0" borderId="7" xfId="0" applyFont="1" applyBorder="1" applyAlignment="1">
      <alignment horizontal="center"/>
    </xf>
    <xf numFmtId="0" fontId="22" fillId="0" borderId="0" xfId="0" applyFont="1" applyAlignment="1">
      <alignment horizontal="left"/>
    </xf>
    <xf numFmtId="0" fontId="12" fillId="0" borderId="7" xfId="0" applyFont="1" applyBorder="1"/>
    <xf numFmtId="0" fontId="44" fillId="0" borderId="0" xfId="0" applyFont="1"/>
    <xf numFmtId="173" fontId="12" fillId="0" borderId="0" xfId="1" applyNumberFormat="1" applyFont="1" applyFill="1" applyBorder="1" applyAlignment="1">
      <alignment horizontal="center"/>
    </xf>
    <xf numFmtId="172" fontId="12" fillId="0" borderId="0" xfId="1" applyNumberFormat="1" applyFont="1" applyFill="1" applyBorder="1"/>
    <xf numFmtId="167" fontId="41" fillId="0" borderId="0" xfId="8" applyNumberFormat="1" applyFont="1" applyFill="1" applyBorder="1"/>
    <xf numFmtId="167" fontId="43" fillId="0" borderId="0" xfId="8" applyNumberFormat="1" applyFont="1" applyFill="1" applyBorder="1"/>
    <xf numFmtId="9" fontId="22" fillId="0" borderId="0" xfId="8" applyFont="1" applyFill="1" applyBorder="1"/>
    <xf numFmtId="0" fontId="41" fillId="0" borderId="0" xfId="0" applyFont="1"/>
    <xf numFmtId="169" fontId="41" fillId="0" borderId="0" xfId="0" applyNumberFormat="1" applyFont="1"/>
    <xf numFmtId="2" fontId="12" fillId="0" borderId="0" xfId="0" applyNumberFormat="1" applyFont="1"/>
    <xf numFmtId="168" fontId="45" fillId="0" borderId="0" xfId="0" applyNumberFormat="1" applyFont="1"/>
    <xf numFmtId="166" fontId="12" fillId="0" borderId="0" xfId="1" applyFont="1" applyFill="1" applyBorder="1"/>
    <xf numFmtId="166" fontId="21" fillId="0" borderId="0" xfId="0" applyNumberFormat="1" applyFont="1"/>
    <xf numFmtId="168" fontId="6" fillId="0" borderId="0" xfId="0" applyNumberFormat="1" applyFont="1"/>
    <xf numFmtId="167" fontId="6" fillId="0" borderId="0" xfId="8" applyNumberFormat="1" applyFont="1" applyFill="1" applyBorder="1"/>
    <xf numFmtId="166" fontId="6" fillId="0" borderId="0" xfId="1" applyFont="1" applyFill="1" applyBorder="1"/>
    <xf numFmtId="175" fontId="20" fillId="0" borderId="0" xfId="0" applyNumberFormat="1" applyFont="1"/>
    <xf numFmtId="2" fontId="6" fillId="0" borderId="0" xfId="0" applyNumberFormat="1" applyFont="1"/>
    <xf numFmtId="0" fontId="21" fillId="0" borderId="10" xfId="0" applyFont="1" applyBorder="1"/>
    <xf numFmtId="168" fontId="12" fillId="0" borderId="10" xfId="0" applyNumberFormat="1" applyFont="1" applyBorder="1"/>
    <xf numFmtId="173" fontId="41" fillId="0" borderId="0" xfId="1" applyNumberFormat="1" applyFont="1" applyFill="1" applyBorder="1"/>
    <xf numFmtId="168" fontId="13" fillId="0" borderId="0" xfId="0" applyNumberFormat="1" applyFont="1"/>
    <xf numFmtId="168" fontId="39" fillId="0" borderId="0" xfId="0" applyNumberFormat="1" applyFont="1"/>
    <xf numFmtId="167" fontId="12" fillId="0" borderId="0" xfId="0" applyNumberFormat="1" applyFont="1"/>
    <xf numFmtId="173" fontId="12" fillId="0" borderId="0" xfId="1" applyNumberFormat="1" applyFont="1" applyFill="1" applyBorder="1" applyAlignment="1">
      <alignment horizontal="right"/>
    </xf>
    <xf numFmtId="173" fontId="21" fillId="0" borderId="0" xfId="1" applyNumberFormat="1" applyFont="1" applyFill="1" applyBorder="1" applyAlignment="1">
      <alignment horizontal="right"/>
    </xf>
    <xf numFmtId="167" fontId="12" fillId="0" borderId="0" xfId="8" applyNumberFormat="1" applyFont="1" applyFill="1" applyBorder="1" applyAlignment="1">
      <alignment horizontal="right"/>
    </xf>
    <xf numFmtId="2" fontId="12" fillId="0" borderId="0" xfId="0" applyNumberFormat="1" applyFont="1" applyAlignment="1">
      <alignment horizontal="right"/>
    </xf>
    <xf numFmtId="0" fontId="17" fillId="0" borderId="0" xfId="0" applyFont="1" applyAlignment="1">
      <alignment horizontal="right"/>
    </xf>
    <xf numFmtId="168" fontId="41" fillId="0" borderId="0" xfId="0" applyNumberFormat="1" applyFont="1" applyAlignment="1">
      <alignment horizontal="right"/>
    </xf>
    <xf numFmtId="164" fontId="12" fillId="0" borderId="0" xfId="0" applyNumberFormat="1" applyFont="1"/>
    <xf numFmtId="9" fontId="12" fillId="0" borderId="0" xfId="0" applyNumberFormat="1" applyFont="1"/>
    <xf numFmtId="9" fontId="43" fillId="0" borderId="0" xfId="0" applyNumberFormat="1" applyFont="1"/>
    <xf numFmtId="9" fontId="41" fillId="0" borderId="0" xfId="0" applyNumberFormat="1" applyFont="1"/>
    <xf numFmtId="0" fontId="39" fillId="6" borderId="0" xfId="0" applyFont="1" applyFill="1" applyAlignment="1">
      <alignment horizontal="right"/>
    </xf>
    <xf numFmtId="0" fontId="21" fillId="5" borderId="0" xfId="0" applyFont="1" applyFill="1"/>
    <xf numFmtId="0" fontId="12" fillId="0" borderId="1" xfId="0" applyFont="1" applyBorder="1"/>
    <xf numFmtId="0" fontId="12" fillId="0" borderId="1" xfId="0" applyFont="1" applyBorder="1" applyAlignment="1">
      <alignment horizontal="center"/>
    </xf>
    <xf numFmtId="0" fontId="23" fillId="0" borderId="0" xfId="0" applyFont="1"/>
    <xf numFmtId="0" fontId="22" fillId="0" borderId="1" xfId="0" applyFont="1" applyBorder="1" applyAlignment="1">
      <alignment horizontal="center"/>
    </xf>
    <xf numFmtId="9" fontId="22" fillId="0" borderId="0" xfId="8" applyFont="1" applyFill="1"/>
    <xf numFmtId="0" fontId="21" fillId="0" borderId="1" xfId="0" applyFont="1" applyBorder="1" applyAlignment="1">
      <alignment horizontal="center"/>
    </xf>
    <xf numFmtId="9" fontId="12" fillId="0" borderId="0" xfId="8" applyFont="1" applyFill="1"/>
    <xf numFmtId="168" fontId="43" fillId="0" borderId="0" xfId="0" applyNumberFormat="1" applyFont="1"/>
    <xf numFmtId="0" fontId="21" fillId="0" borderId="6" xfId="0" applyFont="1" applyBorder="1"/>
    <xf numFmtId="0" fontId="21" fillId="0" borderId="5" xfId="0" applyFont="1" applyBorder="1" applyAlignment="1">
      <alignment horizontal="center"/>
    </xf>
    <xf numFmtId="168" fontId="12" fillId="0" borderId="6" xfId="0" applyNumberFormat="1" applyFont="1" applyBorder="1"/>
    <xf numFmtId="168" fontId="41" fillId="0" borderId="6" xfId="0" applyNumberFormat="1" applyFont="1" applyBorder="1"/>
    <xf numFmtId="167" fontId="12" fillId="0" borderId="0" xfId="8" applyNumberFormat="1" applyFont="1" applyFill="1"/>
    <xf numFmtId="0" fontId="21" fillId="0" borderId="11" xfId="0" applyFont="1" applyBorder="1"/>
    <xf numFmtId="167" fontId="23" fillId="0" borderId="11" xfId="8" applyNumberFormat="1" applyFont="1" applyFill="1" applyBorder="1"/>
    <xf numFmtId="0" fontId="12" fillId="0" borderId="11" xfId="0" applyFont="1" applyBorder="1"/>
    <xf numFmtId="0" fontId="48" fillId="0" borderId="0" xfId="0" applyFont="1"/>
    <xf numFmtId="167" fontId="22" fillId="0" borderId="0" xfId="8" applyNumberFormat="1" applyFont="1" applyFill="1"/>
    <xf numFmtId="0" fontId="49" fillId="0" borderId="0" xfId="0" applyFont="1"/>
    <xf numFmtId="0" fontId="22" fillId="0" borderId="0" xfId="0" applyFont="1" applyAlignment="1">
      <alignment horizontal="left" indent="1"/>
    </xf>
    <xf numFmtId="9" fontId="50" fillId="0" borderId="0" xfId="8" applyFont="1" applyFill="1"/>
    <xf numFmtId="9" fontId="22" fillId="0" borderId="0" xfId="0" applyNumberFormat="1" applyFont="1"/>
    <xf numFmtId="0" fontId="22" fillId="0" borderId="16" xfId="0" applyFont="1" applyBorder="1"/>
    <xf numFmtId="0" fontId="12" fillId="0" borderId="5" xfId="0" applyFont="1" applyBorder="1" applyAlignment="1">
      <alignment horizontal="center"/>
    </xf>
    <xf numFmtId="0" fontId="12" fillId="0" borderId="16" xfId="0" applyFont="1" applyBorder="1"/>
    <xf numFmtId="9" fontId="12" fillId="0" borderId="16" xfId="8" applyFont="1" applyFill="1" applyBorder="1"/>
    <xf numFmtId="167" fontId="22" fillId="0" borderId="16" xfId="0" applyNumberFormat="1" applyFont="1" applyBorder="1"/>
    <xf numFmtId="167" fontId="50" fillId="0" borderId="16" xfId="0" applyNumberFormat="1" applyFont="1" applyBorder="1"/>
    <xf numFmtId="167" fontId="22" fillId="0" borderId="0" xfId="0" applyNumberFormat="1" applyFont="1"/>
    <xf numFmtId="0" fontId="21" fillId="0" borderId="2" xfId="0" applyFont="1" applyBorder="1"/>
    <xf numFmtId="0" fontId="12" fillId="0" borderId="2" xfId="0" applyFont="1" applyBorder="1"/>
    <xf numFmtId="0" fontId="12" fillId="0" borderId="17" xfId="0" applyFont="1" applyBorder="1"/>
    <xf numFmtId="168" fontId="51" fillId="0" borderId="0" xfId="0" applyNumberFormat="1" applyFont="1"/>
    <xf numFmtId="168" fontId="22" fillId="0" borderId="0" xfId="0" applyNumberFormat="1" applyFont="1"/>
    <xf numFmtId="2" fontId="41" fillId="0" borderId="0" xfId="0" applyNumberFormat="1" applyFont="1"/>
    <xf numFmtId="0" fontId="12" fillId="0" borderId="6" xfId="0" applyFont="1" applyBorder="1"/>
    <xf numFmtId="2" fontId="12" fillId="0" borderId="6" xfId="0" applyNumberFormat="1" applyFont="1" applyBorder="1"/>
    <xf numFmtId="168" fontId="12" fillId="0" borderId="0" xfId="8" applyNumberFormat="1" applyFont="1" applyFill="1"/>
    <xf numFmtId="0" fontId="40" fillId="6" borderId="1" xfId="0" applyFont="1" applyFill="1" applyBorder="1" applyAlignment="1">
      <alignment horizontal="center"/>
    </xf>
    <xf numFmtId="2" fontId="41" fillId="0" borderId="6" xfId="0" applyNumberFormat="1" applyFont="1" applyBorder="1"/>
    <xf numFmtId="38" fontId="12" fillId="0" borderId="0" xfId="0" applyNumberFormat="1" applyFont="1"/>
    <xf numFmtId="177" fontId="12" fillId="0" borderId="0" xfId="1" applyNumberFormat="1" applyFont="1" applyFill="1"/>
    <xf numFmtId="0" fontId="12" fillId="0" borderId="17" xfId="0" applyFont="1" applyBorder="1" applyAlignment="1">
      <alignment horizontal="center"/>
    </xf>
    <xf numFmtId="0" fontId="12" fillId="0" borderId="0" xfId="0" applyFont="1" applyAlignment="1">
      <alignment horizontal="left" indent="1"/>
    </xf>
    <xf numFmtId="1" fontId="21" fillId="0" borderId="0" xfId="0" applyNumberFormat="1" applyFont="1"/>
    <xf numFmtId="1" fontId="21" fillId="0" borderId="7" xfId="0" applyNumberFormat="1" applyFont="1" applyBorder="1"/>
    <xf numFmtId="1" fontId="41" fillId="0" borderId="0" xfId="0" applyNumberFormat="1" applyFont="1"/>
    <xf numFmtId="3" fontId="12" fillId="0" borderId="0" xfId="0" applyNumberFormat="1" applyFont="1"/>
    <xf numFmtId="3" fontId="21" fillId="0" borderId="0" xfId="0" applyNumberFormat="1" applyFont="1"/>
    <xf numFmtId="3" fontId="42" fillId="0" borderId="0" xfId="0" applyNumberFormat="1" applyFont="1"/>
    <xf numFmtId="3" fontId="21" fillId="0" borderId="0" xfId="8" applyNumberFormat="1" applyFont="1" applyFill="1" applyBorder="1"/>
    <xf numFmtId="3" fontId="21" fillId="0" borderId="0" xfId="0" applyNumberFormat="1" applyFont="1" applyAlignment="1">
      <alignment horizontal="right"/>
    </xf>
    <xf numFmtId="3" fontId="21" fillId="0" borderId="7" xfId="0" applyNumberFormat="1" applyFont="1" applyBorder="1"/>
    <xf numFmtId="3" fontId="41" fillId="0" borderId="0" xfId="0" applyNumberFormat="1" applyFont="1"/>
    <xf numFmtId="1" fontId="12" fillId="0" borderId="0" xfId="8" applyNumberFormat="1" applyFont="1" applyFill="1" applyBorder="1"/>
    <xf numFmtId="1" fontId="42" fillId="0" borderId="7" xfId="0" applyNumberFormat="1" applyFont="1" applyBorder="1"/>
    <xf numFmtId="3" fontId="12" fillId="0" borderId="0" xfId="8" applyNumberFormat="1" applyFont="1" applyFill="1" applyBorder="1"/>
    <xf numFmtId="3" fontId="42" fillId="0" borderId="7" xfId="0" applyNumberFormat="1" applyFont="1" applyBorder="1"/>
    <xf numFmtId="1" fontId="41" fillId="0" borderId="7" xfId="0" applyNumberFormat="1" applyFont="1" applyBorder="1"/>
    <xf numFmtId="1" fontId="12" fillId="0" borderId="7" xfId="0" applyNumberFormat="1" applyFont="1" applyBorder="1"/>
    <xf numFmtId="1" fontId="12" fillId="0" borderId="0" xfId="1" applyNumberFormat="1" applyFont="1" applyFill="1" applyBorder="1"/>
    <xf numFmtId="0" fontId="22" fillId="0" borderId="0" xfId="0" applyFont="1" applyAlignment="1">
      <alignment horizontal="center"/>
    </xf>
    <xf numFmtId="0" fontId="12" fillId="0" borderId="0" xfId="0" quotePrefix="1" applyFont="1" applyAlignment="1">
      <alignment horizontal="left" indent="1"/>
    </xf>
    <xf numFmtId="3" fontId="21" fillId="0" borderId="0" xfId="19" applyNumberFormat="1" applyFont="1" applyAlignment="1" applyProtection="1">
      <alignment horizontal="right"/>
      <protection locked="0"/>
    </xf>
    <xf numFmtId="3" fontId="21" fillId="0" borderId="0" xfId="19" applyNumberFormat="1" applyFont="1" applyAlignment="1">
      <alignment horizontal="right"/>
    </xf>
    <xf numFmtId="3" fontId="43" fillId="0" borderId="0" xfId="0" applyNumberFormat="1" applyFont="1"/>
    <xf numFmtId="3" fontId="41" fillId="0" borderId="0" xfId="1" applyNumberFormat="1" applyFont="1" applyFill="1" applyBorder="1"/>
    <xf numFmtId="3" fontId="12" fillId="0" borderId="7" xfId="0" applyNumberFormat="1" applyFont="1" applyBorder="1"/>
    <xf numFmtId="3" fontId="45" fillId="0" borderId="0" xfId="0" applyNumberFormat="1" applyFont="1"/>
    <xf numFmtId="3" fontId="12" fillId="0" borderId="0" xfId="1" applyNumberFormat="1" applyFont="1" applyFill="1" applyBorder="1"/>
    <xf numFmtId="3" fontId="6" fillId="0" borderId="0" xfId="0" applyNumberFormat="1" applyFont="1"/>
    <xf numFmtId="1" fontId="6" fillId="0" borderId="0" xfId="0" applyNumberFormat="1" applyFont="1"/>
    <xf numFmtId="1" fontId="46" fillId="0" borderId="0" xfId="0" applyNumberFormat="1" applyFont="1"/>
    <xf numFmtId="3" fontId="46" fillId="0" borderId="0" xfId="0" applyNumberFormat="1" applyFont="1"/>
    <xf numFmtId="3" fontId="6" fillId="0" borderId="0" xfId="8" applyNumberFormat="1" applyFont="1" applyFill="1" applyBorder="1"/>
    <xf numFmtId="3" fontId="6" fillId="0" borderId="0" xfId="1" applyNumberFormat="1" applyFont="1" applyFill="1" applyBorder="1"/>
    <xf numFmtId="3" fontId="21" fillId="0" borderId="10" xfId="0" applyNumberFormat="1" applyFont="1" applyBorder="1"/>
    <xf numFmtId="3" fontId="21" fillId="0" borderId="0" xfId="1" applyNumberFormat="1" applyFont="1" applyFill="1" applyBorder="1"/>
    <xf numFmtId="1" fontId="12" fillId="0" borderId="0" xfId="0" applyNumberFormat="1" applyFont="1" applyAlignment="1">
      <alignment horizontal="right"/>
    </xf>
    <xf numFmtId="0" fontId="12" fillId="3" borderId="0" xfId="0" applyFont="1" applyFill="1"/>
    <xf numFmtId="167" fontId="12" fillId="3" borderId="0" xfId="8" applyNumberFormat="1" applyFont="1" applyFill="1"/>
    <xf numFmtId="0" fontId="33" fillId="4" borderId="0" xfId="0" applyFont="1" applyFill="1" applyAlignment="1">
      <alignment vertical="center"/>
    </xf>
    <xf numFmtId="0" fontId="33" fillId="4" borderId="0" xfId="0" applyFont="1" applyFill="1" applyAlignment="1">
      <alignment horizontal="right" vertical="center"/>
    </xf>
    <xf numFmtId="176" fontId="40" fillId="6" borderId="0" xfId="0" applyNumberFormat="1" applyFont="1" applyFill="1" applyAlignment="1">
      <alignment horizontal="left" vertical="center"/>
    </xf>
    <xf numFmtId="176" fontId="40" fillId="6" borderId="0" xfId="0" applyNumberFormat="1" applyFont="1" applyFill="1" applyAlignment="1">
      <alignment horizontal="right" vertical="center"/>
    </xf>
    <xf numFmtId="176" fontId="40" fillId="4" borderId="0" xfId="0" applyNumberFormat="1" applyFont="1" applyFill="1" applyAlignment="1">
      <alignment horizontal="right" vertical="center"/>
    </xf>
    <xf numFmtId="164" fontId="21" fillId="4" borderId="0" xfId="0" applyNumberFormat="1" applyFont="1" applyFill="1"/>
    <xf numFmtId="15" fontId="12" fillId="4" borderId="0" xfId="0" applyNumberFormat="1" applyFont="1" applyFill="1"/>
    <xf numFmtId="0" fontId="21" fillId="3" borderId="0" xfId="0" applyFont="1" applyFill="1"/>
    <xf numFmtId="172" fontId="21" fillId="3" borderId="0" xfId="1" applyNumberFormat="1" applyFont="1" applyFill="1" applyBorder="1"/>
    <xf numFmtId="171" fontId="12" fillId="4" borderId="0" xfId="0" applyNumberFormat="1" applyFont="1" applyFill="1"/>
    <xf numFmtId="172" fontId="12" fillId="3" borderId="0" xfId="1" applyNumberFormat="1" applyFont="1" applyFill="1" applyBorder="1"/>
    <xf numFmtId="167" fontId="12" fillId="3" borderId="0" xfId="8" applyNumberFormat="1" applyFont="1" applyFill="1" applyBorder="1" applyAlignment="1">
      <alignment horizontal="right"/>
    </xf>
    <xf numFmtId="167" fontId="21" fillId="4" borderId="0" xfId="8" applyNumberFormat="1" applyFont="1" applyFill="1" applyBorder="1"/>
    <xf numFmtId="167" fontId="21" fillId="4" borderId="0" xfId="8" applyNumberFormat="1" applyFont="1" applyFill="1" applyBorder="1" applyAlignment="1">
      <alignment horizontal="right"/>
    </xf>
    <xf numFmtId="172" fontId="21" fillId="4" borderId="0" xfId="1" applyNumberFormat="1" applyFont="1" applyFill="1" applyBorder="1"/>
    <xf numFmtId="172" fontId="12" fillId="3" borderId="0" xfId="0" applyNumberFormat="1" applyFont="1" applyFill="1"/>
    <xf numFmtId="168" fontId="12" fillId="3" borderId="0" xfId="0" applyNumberFormat="1" applyFont="1" applyFill="1" applyAlignment="1">
      <alignment horizontal="right"/>
    </xf>
    <xf numFmtId="172" fontId="12" fillId="4" borderId="0" xfId="0" applyNumberFormat="1" applyFont="1" applyFill="1"/>
    <xf numFmtId="2" fontId="12" fillId="3" borderId="0" xfId="0" applyNumberFormat="1" applyFont="1" applyFill="1"/>
    <xf numFmtId="164" fontId="12" fillId="4" borderId="0" xfId="0" applyNumberFormat="1" applyFont="1" applyFill="1" applyAlignment="1">
      <alignment horizontal="right"/>
    </xf>
    <xf numFmtId="2" fontId="21" fillId="3" borderId="0" xfId="0" applyNumberFormat="1" applyFont="1" applyFill="1"/>
    <xf numFmtId="172" fontId="21" fillId="3" borderId="0" xfId="0" applyNumberFormat="1" applyFont="1" applyFill="1"/>
    <xf numFmtId="0" fontId="6" fillId="4" borderId="0" xfId="0" applyFont="1" applyFill="1" applyAlignment="1">
      <alignment horizontal="left"/>
    </xf>
    <xf numFmtId="9" fontId="12" fillId="4" borderId="0" xfId="8" applyFont="1" applyFill="1"/>
    <xf numFmtId="164" fontId="21" fillId="4" borderId="0" xfId="0" applyNumberFormat="1" applyFont="1" applyFill="1" applyAlignment="1">
      <alignment horizontal="right"/>
    </xf>
    <xf numFmtId="0" fontId="35" fillId="4" borderId="0" xfId="0" applyFont="1" applyFill="1" applyAlignment="1">
      <alignment horizontal="left"/>
    </xf>
    <xf numFmtId="0" fontId="12" fillId="3" borderId="0" xfId="0" applyFont="1" applyFill="1" applyAlignment="1">
      <alignment horizontal="left" indent="1"/>
    </xf>
    <xf numFmtId="9" fontId="12" fillId="3" borderId="0" xfId="8" applyFont="1" applyFill="1" applyBorder="1"/>
    <xf numFmtId="167" fontId="12" fillId="4" borderId="0" xfId="0" applyNumberFormat="1" applyFont="1" applyFill="1"/>
    <xf numFmtId="168" fontId="12" fillId="3" borderId="0" xfId="0" applyNumberFormat="1" applyFont="1" applyFill="1"/>
    <xf numFmtId="0" fontId="12" fillId="3" borderId="0" xfId="0" applyFont="1" applyFill="1" applyAlignment="1">
      <alignment horizontal="center"/>
    </xf>
    <xf numFmtId="0" fontId="21" fillId="3" borderId="15" xfId="0" applyFont="1" applyFill="1" applyBorder="1"/>
    <xf numFmtId="172" fontId="21" fillId="3" borderId="19" xfId="0" applyNumberFormat="1" applyFont="1" applyFill="1" applyBorder="1"/>
    <xf numFmtId="9" fontId="12" fillId="3" borderId="0" xfId="0" applyNumberFormat="1" applyFont="1" applyFill="1" applyAlignment="1">
      <alignment horizontal="right"/>
    </xf>
    <xf numFmtId="38" fontId="12" fillId="3" borderId="0" xfId="0" applyNumberFormat="1" applyFont="1" applyFill="1"/>
    <xf numFmtId="167" fontId="12" fillId="3" borderId="0" xfId="8" applyNumberFormat="1" applyFont="1" applyFill="1" applyBorder="1"/>
    <xf numFmtId="0" fontId="52" fillId="4" borderId="0" xfId="0" applyFont="1" applyFill="1"/>
    <xf numFmtId="0" fontId="53" fillId="4" borderId="0" xfId="0" applyFont="1" applyFill="1"/>
    <xf numFmtId="0" fontId="54" fillId="4" borderId="0" xfId="21" applyFont="1" applyFill="1"/>
    <xf numFmtId="2" fontId="53" fillId="4" borderId="0" xfId="0" applyNumberFormat="1" applyFont="1" applyFill="1"/>
    <xf numFmtId="167" fontId="53" fillId="4" borderId="0" xfId="0" applyNumberFormat="1" applyFont="1" applyFill="1"/>
    <xf numFmtId="179" fontId="54" fillId="4" borderId="0" xfId="21" applyNumberFormat="1" applyFont="1" applyFill="1"/>
    <xf numFmtId="174" fontId="53" fillId="4" borderId="0" xfId="1" applyNumberFormat="1" applyFont="1" applyFill="1" applyAlignment="1">
      <alignment horizontal="right"/>
    </xf>
    <xf numFmtId="0" fontId="55" fillId="4" borderId="0" xfId="21" applyFont="1" applyFill="1" applyAlignment="1">
      <alignment horizontal="left"/>
    </xf>
    <xf numFmtId="16" fontId="55" fillId="4" borderId="0" xfId="21" quotePrefix="1" applyNumberFormat="1" applyFont="1" applyFill="1" applyAlignment="1">
      <alignment horizontal="right" wrapText="1"/>
    </xf>
    <xf numFmtId="0" fontId="54" fillId="4" borderId="0" xfId="21" applyFont="1" applyFill="1" applyAlignment="1">
      <alignment horizontal="left"/>
    </xf>
    <xf numFmtId="168" fontId="53" fillId="4" borderId="0" xfId="0" applyNumberFormat="1" applyFont="1" applyFill="1" applyAlignment="1">
      <alignment horizontal="right"/>
    </xf>
    <xf numFmtId="3" fontId="53" fillId="4" borderId="0" xfId="0" applyNumberFormat="1" applyFont="1" applyFill="1" applyAlignment="1">
      <alignment horizontal="right"/>
    </xf>
    <xf numFmtId="0" fontId="53" fillId="4" borderId="0" xfId="0" applyFont="1" applyFill="1" applyAlignment="1">
      <alignment horizontal="right"/>
    </xf>
    <xf numFmtId="167" fontId="53" fillId="4" borderId="0" xfId="8" applyNumberFormat="1" applyFont="1" applyFill="1"/>
    <xf numFmtId="168" fontId="53" fillId="4" borderId="0" xfId="8" applyNumberFormat="1" applyFont="1" applyFill="1"/>
    <xf numFmtId="0" fontId="56" fillId="4" borderId="0" xfId="21" applyFont="1" applyFill="1" applyAlignment="1">
      <alignment horizontal="left" vertical="center"/>
    </xf>
    <xf numFmtId="0" fontId="21" fillId="4" borderId="0" xfId="0" applyFont="1" applyFill="1" applyAlignment="1">
      <alignment horizontal="right"/>
    </xf>
    <xf numFmtId="0" fontId="21" fillId="3" borderId="0" xfId="0" applyFont="1" applyFill="1" applyAlignment="1">
      <alignment horizontal="right"/>
    </xf>
    <xf numFmtId="168" fontId="21" fillId="3" borderId="0" xfId="0" applyNumberFormat="1" applyFont="1" applyFill="1" applyAlignment="1">
      <alignment horizontal="right"/>
    </xf>
    <xf numFmtId="3" fontId="12" fillId="3" borderId="0" xfId="0" applyNumberFormat="1" applyFont="1" applyFill="1"/>
    <xf numFmtId="167" fontId="12" fillId="3" borderId="0" xfId="0" applyNumberFormat="1" applyFont="1" applyFill="1"/>
    <xf numFmtId="3" fontId="12" fillId="4" borderId="0" xfId="0" applyNumberFormat="1" applyFont="1" applyFill="1"/>
    <xf numFmtId="0" fontId="12" fillId="4" borderId="2" xfId="0" applyFont="1" applyFill="1" applyBorder="1"/>
    <xf numFmtId="172" fontId="12" fillId="4" borderId="2" xfId="0" applyNumberFormat="1" applyFont="1" applyFill="1" applyBorder="1"/>
    <xf numFmtId="172" fontId="21" fillId="4" borderId="0" xfId="0" applyNumberFormat="1" applyFont="1" applyFill="1"/>
    <xf numFmtId="49" fontId="12" fillId="4" borderId="0" xfId="1" applyNumberFormat="1" applyFont="1" applyFill="1" applyBorder="1"/>
    <xf numFmtId="49" fontId="12" fillId="4" borderId="0" xfId="0" applyNumberFormat="1" applyFont="1" applyFill="1"/>
    <xf numFmtId="49" fontId="12" fillId="4" borderId="2" xfId="0" applyNumberFormat="1" applyFont="1" applyFill="1" applyBorder="1" applyAlignment="1">
      <alignment horizontal="left"/>
    </xf>
    <xf numFmtId="49" fontId="21" fillId="4" borderId="0" xfId="0" applyNumberFormat="1" applyFont="1" applyFill="1"/>
    <xf numFmtId="49" fontId="21" fillId="4" borderId="11" xfId="0" applyNumberFormat="1" applyFont="1" applyFill="1" applyBorder="1"/>
    <xf numFmtId="172" fontId="21" fillId="4" borderId="16" xfId="0" applyNumberFormat="1" applyFont="1" applyFill="1" applyBorder="1"/>
    <xf numFmtId="168" fontId="12" fillId="4" borderId="2" xfId="0" applyNumberFormat="1" applyFont="1" applyFill="1" applyBorder="1"/>
    <xf numFmtId="182" fontId="12" fillId="4" borderId="0" xfId="0" applyNumberFormat="1" applyFont="1" applyFill="1" applyAlignment="1">
      <alignment horizontal="left"/>
    </xf>
    <xf numFmtId="1" fontId="12" fillId="3" borderId="0" xfId="0" applyNumberFormat="1" applyFont="1" applyFill="1" applyAlignment="1">
      <alignment horizontal="right"/>
    </xf>
    <xf numFmtId="180" fontId="22" fillId="3" borderId="0" xfId="0" applyNumberFormat="1" applyFont="1" applyFill="1" applyAlignment="1">
      <alignment horizontal="left"/>
    </xf>
    <xf numFmtId="164" fontId="41" fillId="7" borderId="0" xfId="0" applyNumberFormat="1" applyFont="1" applyFill="1"/>
    <xf numFmtId="175" fontId="11" fillId="0" borderId="0" xfId="0" applyNumberFormat="1" applyFont="1"/>
    <xf numFmtId="167" fontId="21" fillId="0" borderId="0" xfId="8" applyNumberFormat="1" applyFont="1" applyBorder="1"/>
    <xf numFmtId="175" fontId="17" fillId="0" borderId="0" xfId="7" applyFont="1" applyAlignment="1">
      <alignment horizontal="right"/>
    </xf>
    <xf numFmtId="0" fontId="17" fillId="0" borderId="0" xfId="7" applyNumberFormat="1" applyFont="1" applyAlignment="1">
      <alignment horizontal="right"/>
    </xf>
    <xf numFmtId="175" fontId="21" fillId="0" borderId="0" xfId="0" applyNumberFormat="1" applyFont="1"/>
    <xf numFmtId="181" fontId="12" fillId="0" borderId="0" xfId="0" applyNumberFormat="1" applyFont="1"/>
    <xf numFmtId="9" fontId="35" fillId="0" borderId="0" xfId="8" applyFont="1" applyFill="1" applyBorder="1"/>
    <xf numFmtId="181" fontId="6" fillId="0" borderId="0" xfId="0" applyNumberFormat="1" applyFont="1"/>
    <xf numFmtId="175" fontId="57" fillId="0" borderId="0" xfId="7" applyFont="1"/>
    <xf numFmtId="175" fontId="58" fillId="0" borderId="0" xfId="7" applyFont="1"/>
    <xf numFmtId="175" fontId="12" fillId="0" borderId="0" xfId="7" applyFont="1" applyAlignment="1">
      <alignment horizontal="right"/>
    </xf>
    <xf numFmtId="0" fontId="12" fillId="0" borderId="26" xfId="0" applyFont="1" applyBorder="1"/>
    <xf numFmtId="0" fontId="12" fillId="0" borderId="28" xfId="0" applyFont="1" applyBorder="1"/>
    <xf numFmtId="0" fontId="63" fillId="8" borderId="0" xfId="0" applyFont="1" applyFill="1"/>
    <xf numFmtId="0" fontId="63" fillId="8" borderId="0" xfId="0" applyFont="1" applyFill="1" applyAlignment="1">
      <alignment horizontal="center"/>
    </xf>
    <xf numFmtId="1" fontId="63" fillId="8" borderId="0" xfId="0" applyNumberFormat="1" applyFont="1" applyFill="1" applyAlignment="1">
      <alignment horizontal="center"/>
    </xf>
    <xf numFmtId="2" fontId="63" fillId="8" borderId="0" xfId="0" applyNumberFormat="1" applyFont="1" applyFill="1" applyAlignment="1">
      <alignment horizontal="center"/>
    </xf>
    <xf numFmtId="0" fontId="63" fillId="8" borderId="0" xfId="0" applyFont="1" applyFill="1" applyAlignment="1">
      <alignment horizontal="left" vertical="top" wrapText="1"/>
    </xf>
    <xf numFmtId="0" fontId="63" fillId="8" borderId="0" xfId="0" applyFont="1" applyFill="1" applyAlignment="1">
      <alignment horizontal="right" vertical="top" wrapText="1"/>
    </xf>
    <xf numFmtId="0" fontId="62" fillId="8" borderId="0" xfId="0" applyFont="1" applyFill="1"/>
    <xf numFmtId="0" fontId="61" fillId="8" borderId="0" xfId="0" applyFont="1" applyFill="1" applyAlignment="1">
      <alignment horizontal="center" vertical="top" wrapText="1"/>
    </xf>
    <xf numFmtId="9" fontId="6" fillId="0" borderId="0" xfId="8" applyFont="1" applyFill="1" applyBorder="1"/>
    <xf numFmtId="1" fontId="21" fillId="0" borderId="0" xfId="1" applyNumberFormat="1" applyFont="1" applyBorder="1"/>
    <xf numFmtId="3" fontId="12" fillId="0" borderId="0" xfId="1" applyNumberFormat="1" applyFont="1" applyBorder="1"/>
    <xf numFmtId="1" fontId="12" fillId="0" borderId="26" xfId="0" applyNumberFormat="1" applyFont="1" applyBorder="1"/>
    <xf numFmtId="9" fontId="12" fillId="0" borderId="26" xfId="8" applyFont="1" applyFill="1" applyBorder="1"/>
    <xf numFmtId="1" fontId="21" fillId="0" borderId="26" xfId="1" applyNumberFormat="1" applyFont="1" applyBorder="1"/>
    <xf numFmtId="168" fontId="12" fillId="0" borderId="26" xfId="0" applyNumberFormat="1" applyFont="1" applyBorder="1"/>
    <xf numFmtId="167" fontId="12" fillId="0" borderId="26" xfId="0" applyNumberFormat="1" applyFont="1" applyBorder="1"/>
    <xf numFmtId="175" fontId="12" fillId="0" borderId="26" xfId="7" applyFont="1" applyBorder="1" applyAlignment="1">
      <alignment horizontal="right"/>
    </xf>
    <xf numFmtId="1" fontId="12" fillId="12" borderId="0" xfId="0" applyNumberFormat="1" applyFont="1" applyFill="1"/>
    <xf numFmtId="9" fontId="22" fillId="0" borderId="4" xfId="8" applyFont="1" applyFill="1" applyBorder="1"/>
    <xf numFmtId="9" fontId="22" fillId="0" borderId="16" xfId="0" applyNumberFormat="1" applyFont="1" applyBorder="1"/>
    <xf numFmtId="167" fontId="43" fillId="0" borderId="0" xfId="8" applyNumberFormat="1" applyFont="1" applyFill="1"/>
    <xf numFmtId="172" fontId="21" fillId="0" borderId="0" xfId="0" applyNumberFormat="1" applyFont="1"/>
    <xf numFmtId="172" fontId="12" fillId="0" borderId="0" xfId="0" applyNumberFormat="1" applyFont="1"/>
    <xf numFmtId="0" fontId="21" fillId="0" borderId="0" xfId="0" applyFont="1" applyAlignment="1">
      <alignment horizontal="right"/>
    </xf>
    <xf numFmtId="171" fontId="21" fillId="4" borderId="0" xfId="0" applyNumberFormat="1" applyFont="1" applyFill="1"/>
    <xf numFmtId="167" fontId="6" fillId="0" borderId="0" xfId="8" applyNumberFormat="1" applyFont="1" applyBorder="1"/>
    <xf numFmtId="0" fontId="61" fillId="8" borderId="0" xfId="0" applyFont="1" applyFill="1"/>
    <xf numFmtId="0" fontId="21" fillId="0" borderId="0" xfId="0" applyFont="1" applyAlignment="1">
      <alignment horizontal="center" vertical="center"/>
    </xf>
    <xf numFmtId="0" fontId="6" fillId="0" borderId="0" xfId="0" applyFont="1" applyAlignment="1">
      <alignment horizontal="left" indent="1"/>
    </xf>
    <xf numFmtId="164" fontId="35" fillId="0" borderId="0" xfId="0" applyNumberFormat="1" applyFont="1"/>
    <xf numFmtId="175" fontId="21" fillId="0" borderId="0" xfId="7" applyFont="1"/>
    <xf numFmtId="0" fontId="45" fillId="0" borderId="0" xfId="0" applyFont="1"/>
    <xf numFmtId="0" fontId="60" fillId="0" borderId="0" xfId="0" quotePrefix="1" applyFont="1"/>
    <xf numFmtId="175" fontId="42" fillId="0" borderId="0" xfId="7" applyFont="1"/>
    <xf numFmtId="9" fontId="64" fillId="0" borderId="0" xfId="8" applyFont="1" applyFill="1" applyBorder="1"/>
    <xf numFmtId="181" fontId="6" fillId="0" borderId="26" xfId="0" applyNumberFormat="1" applyFont="1" applyBorder="1"/>
    <xf numFmtId="0" fontId="12" fillId="0" borderId="25" xfId="0" applyFont="1" applyBorder="1"/>
    <xf numFmtId="0" fontId="21" fillId="8" borderId="22" xfId="0" applyFont="1" applyFill="1" applyBorder="1" applyAlignment="1">
      <alignment horizontal="left"/>
    </xf>
    <xf numFmtId="167" fontId="21" fillId="8" borderId="23" xfId="8" applyNumberFormat="1" applyFont="1" applyFill="1" applyBorder="1" applyAlignment="1">
      <alignment horizontal="right"/>
    </xf>
    <xf numFmtId="0" fontId="21" fillId="8" borderId="23" xfId="0" applyFont="1" applyFill="1" applyBorder="1" applyAlignment="1">
      <alignment horizontal="right" wrapText="1"/>
    </xf>
    <xf numFmtId="0" fontId="21" fillId="8" borderId="23" xfId="0" applyFont="1" applyFill="1" applyBorder="1" applyAlignment="1">
      <alignment horizontal="right"/>
    </xf>
    <xf numFmtId="0" fontId="21" fillId="8" borderId="24" xfId="0" applyFont="1" applyFill="1" applyBorder="1" applyAlignment="1">
      <alignment horizontal="right"/>
    </xf>
    <xf numFmtId="0" fontId="35" fillId="0" borderId="27" xfId="0" applyFont="1" applyBorder="1" applyAlignment="1">
      <alignment horizontal="left"/>
    </xf>
    <xf numFmtId="9" fontId="35" fillId="0" borderId="28" xfId="8" applyFont="1" applyFill="1" applyBorder="1"/>
    <xf numFmtId="2" fontId="21" fillId="0" borderId="28" xfId="0" applyNumberFormat="1" applyFont="1" applyBorder="1"/>
    <xf numFmtId="9" fontId="35" fillId="0" borderId="23" xfId="8" applyFont="1" applyFill="1" applyBorder="1"/>
    <xf numFmtId="0" fontId="35" fillId="0" borderId="25" xfId="0" applyFont="1" applyBorder="1" applyAlignment="1">
      <alignment horizontal="left"/>
    </xf>
    <xf numFmtId="171" fontId="12" fillId="0" borderId="26" xfId="0" applyNumberFormat="1" applyFont="1" applyBorder="1" applyAlignment="1">
      <alignment horizontal="right"/>
    </xf>
    <xf numFmtId="171" fontId="21" fillId="0" borderId="26" xfId="0" applyNumberFormat="1" applyFont="1" applyBorder="1" applyAlignment="1">
      <alignment horizontal="right"/>
    </xf>
    <xf numFmtId="0" fontId="6" fillId="0" borderId="27" xfId="0" applyFont="1" applyBorder="1" applyAlignment="1">
      <alignment horizontal="left" indent="1"/>
    </xf>
    <xf numFmtId="164" fontId="35" fillId="0" borderId="28" xfId="0" applyNumberFormat="1" applyFont="1" applyBorder="1"/>
    <xf numFmtId="9" fontId="6" fillId="0" borderId="29" xfId="8" applyFont="1" applyFill="1" applyBorder="1"/>
    <xf numFmtId="0" fontId="6" fillId="0" borderId="22" xfId="0" applyFont="1" applyBorder="1" applyAlignment="1">
      <alignment horizontal="left" indent="1"/>
    </xf>
    <xf numFmtId="0" fontId="4" fillId="0" borderId="25" xfId="0" applyFont="1" applyBorder="1" applyAlignment="1">
      <alignment horizontal="left" indent="1"/>
    </xf>
    <xf numFmtId="0" fontId="6" fillId="0" borderId="25" xfId="0" applyFont="1" applyBorder="1" applyAlignment="1">
      <alignment horizontal="left" indent="1"/>
    </xf>
    <xf numFmtId="9" fontId="64" fillId="0" borderId="24" xfId="8" applyFont="1" applyFill="1" applyBorder="1"/>
    <xf numFmtId="175" fontId="21" fillId="8" borderId="22" xfId="7" applyFont="1" applyFill="1" applyBorder="1"/>
    <xf numFmtId="175" fontId="21" fillId="8" borderId="24" xfId="7" applyFont="1" applyFill="1" applyBorder="1"/>
    <xf numFmtId="175" fontId="12" fillId="0" borderId="25" xfId="7" applyFont="1" applyBorder="1"/>
    <xf numFmtId="15" fontId="41" fillId="12" borderId="26" xfId="0" applyNumberFormat="1" applyFont="1" applyFill="1" applyBorder="1"/>
    <xf numFmtId="15" fontId="12" fillId="0" borderId="26" xfId="0" applyNumberFormat="1" applyFont="1" applyBorder="1"/>
    <xf numFmtId="175" fontId="12" fillId="0" borderId="27" xfId="7" applyFont="1" applyBorder="1"/>
    <xf numFmtId="170" fontId="12" fillId="0" borderId="29" xfId="0" applyNumberFormat="1" applyFont="1" applyBorder="1"/>
    <xf numFmtId="0" fontId="12" fillId="0" borderId="25" xfId="0" applyFont="1" applyBorder="1" applyAlignment="1">
      <alignment horizontal="left" indent="1"/>
    </xf>
    <xf numFmtId="164" fontId="12" fillId="0" borderId="26" xfId="0" applyNumberFormat="1" applyFont="1" applyBorder="1"/>
    <xf numFmtId="1" fontId="12" fillId="12" borderId="26" xfId="0" applyNumberFormat="1" applyFont="1" applyFill="1" applyBorder="1"/>
    <xf numFmtId="3" fontId="12" fillId="0" borderId="26" xfId="0" applyNumberFormat="1" applyFont="1" applyBorder="1"/>
    <xf numFmtId="3" fontId="12" fillId="12" borderId="26" xfId="0" applyNumberFormat="1" applyFont="1" applyFill="1" applyBorder="1"/>
    <xf numFmtId="0" fontId="21" fillId="0" borderId="25" xfId="0" applyFont="1" applyBorder="1"/>
    <xf numFmtId="3" fontId="21" fillId="0" borderId="26" xfId="0" applyNumberFormat="1" applyFont="1" applyBorder="1"/>
    <xf numFmtId="167" fontId="64" fillId="0" borderId="26" xfId="0" applyNumberFormat="1" applyFont="1" applyBorder="1"/>
    <xf numFmtId="9" fontId="64" fillId="0" borderId="26" xfId="8" applyFont="1" applyFill="1" applyBorder="1"/>
    <xf numFmtId="0" fontId="12" fillId="0" borderId="25" xfId="0" quotePrefix="1" applyFont="1" applyBorder="1" applyAlignment="1">
      <alignment horizontal="left" indent="1"/>
    </xf>
    <xf numFmtId="9" fontId="12" fillId="0" borderId="26" xfId="0" applyNumberFormat="1" applyFont="1" applyBorder="1"/>
    <xf numFmtId="168" fontId="43" fillId="0" borderId="26" xfId="0" applyNumberFormat="1" applyFont="1" applyBorder="1"/>
    <xf numFmtId="167" fontId="21" fillId="0" borderId="26" xfId="0" applyNumberFormat="1" applyFont="1" applyBorder="1"/>
    <xf numFmtId="9" fontId="64" fillId="0" borderId="26" xfId="0" applyNumberFormat="1" applyFont="1" applyBorder="1"/>
    <xf numFmtId="0" fontId="33" fillId="0" borderId="27" xfId="0" applyFont="1" applyBorder="1"/>
    <xf numFmtId="167" fontId="35" fillId="0" borderId="29" xfId="8" applyNumberFormat="1" applyFont="1" applyFill="1" applyBorder="1"/>
    <xf numFmtId="175" fontId="21" fillId="0" borderId="22" xfId="7" applyFont="1" applyBorder="1"/>
    <xf numFmtId="175" fontId="21" fillId="0" borderId="23" xfId="7" applyFont="1" applyBorder="1" applyAlignment="1">
      <alignment horizontal="right"/>
    </xf>
    <xf numFmtId="175" fontId="21" fillId="0" borderId="24" xfId="7" applyFont="1" applyBorder="1" applyAlignment="1">
      <alignment horizontal="right"/>
    </xf>
    <xf numFmtId="175" fontId="12" fillId="0" borderId="25" xfId="7" applyFont="1" applyBorder="1" applyAlignment="1">
      <alignment horizontal="left" indent="1"/>
    </xf>
    <xf numFmtId="175" fontId="59" fillId="0" borderId="25" xfId="7" applyFont="1" applyBorder="1" applyAlignment="1">
      <alignment horizontal="left" indent="1"/>
    </xf>
    <xf numFmtId="0" fontId="21" fillId="0" borderId="25" xfId="22" applyFont="1" applyBorder="1"/>
    <xf numFmtId="175" fontId="21" fillId="0" borderId="25" xfId="7" applyFont="1" applyBorder="1"/>
    <xf numFmtId="1" fontId="21" fillId="0" borderId="26" xfId="0" applyNumberFormat="1" applyFont="1" applyBorder="1"/>
    <xf numFmtId="175" fontId="21" fillId="0" borderId="27" xfId="7" applyFont="1" applyBorder="1"/>
    <xf numFmtId="3" fontId="21" fillId="0" borderId="29" xfId="0" applyNumberFormat="1" applyFont="1" applyBorder="1"/>
    <xf numFmtId="175" fontId="21" fillId="8" borderId="23" xfId="7" applyFont="1" applyFill="1" applyBorder="1" applyAlignment="1">
      <alignment horizontal="right"/>
    </xf>
    <xf numFmtId="175" fontId="21" fillId="8" borderId="24" xfId="7" applyFont="1" applyFill="1" applyBorder="1" applyAlignment="1">
      <alignment horizontal="right"/>
    </xf>
    <xf numFmtId="164" fontId="12" fillId="0" borderId="26" xfId="2" applyNumberFormat="1" applyFont="1" applyBorder="1"/>
    <xf numFmtId="164" fontId="21" fillId="0" borderId="26" xfId="2" applyNumberFormat="1" applyFont="1" applyBorder="1"/>
    <xf numFmtId="175" fontId="35" fillId="0" borderId="27" xfId="7" applyFont="1" applyBorder="1"/>
    <xf numFmtId="0" fontId="45" fillId="0" borderId="28" xfId="0" applyFont="1" applyBorder="1"/>
    <xf numFmtId="3" fontId="64" fillId="12" borderId="0" xfId="0" applyNumberFormat="1" applyFont="1" applyFill="1"/>
    <xf numFmtId="1" fontId="66" fillId="12" borderId="0" xfId="0" applyNumberFormat="1" applyFont="1" applyFill="1"/>
    <xf numFmtId="164" fontId="35" fillId="5" borderId="29" xfId="0" applyNumberFormat="1" applyFont="1" applyFill="1" applyBorder="1"/>
    <xf numFmtId="183" fontId="41" fillId="0" borderId="26" xfId="0" applyNumberFormat="1" applyFont="1" applyBorder="1"/>
    <xf numFmtId="2" fontId="12" fillId="0" borderId="26" xfId="0" applyNumberFormat="1" applyFont="1" applyBorder="1"/>
    <xf numFmtId="183" fontId="12" fillId="0" borderId="26" xfId="0" applyNumberFormat="1" applyFont="1" applyBorder="1"/>
    <xf numFmtId="9" fontId="41" fillId="0" borderId="26" xfId="0" applyNumberFormat="1" applyFont="1" applyBorder="1"/>
    <xf numFmtId="164" fontId="6" fillId="0" borderId="26" xfId="0" applyNumberFormat="1" applyFont="1" applyBorder="1"/>
    <xf numFmtId="175" fontId="21" fillId="8" borderId="25" xfId="7" applyFont="1" applyFill="1" applyBorder="1"/>
    <xf numFmtId="175" fontId="33" fillId="8" borderId="26" xfId="7" applyFont="1" applyFill="1" applyBorder="1" applyAlignment="1">
      <alignment horizontal="right"/>
    </xf>
    <xf numFmtId="0" fontId="21" fillId="0" borderId="0" xfId="0" applyFont="1" applyAlignment="1">
      <alignment vertical="center"/>
    </xf>
    <xf numFmtId="9" fontId="22" fillId="0" borderId="16" xfId="8" applyFont="1" applyFill="1" applyBorder="1"/>
    <xf numFmtId="168" fontId="41" fillId="0" borderId="16" xfId="0" applyNumberFormat="1" applyFont="1" applyBorder="1"/>
    <xf numFmtId="168" fontId="12" fillId="0" borderId="16" xfId="0" applyNumberFormat="1" applyFont="1" applyBorder="1"/>
    <xf numFmtId="168" fontId="51" fillId="0" borderId="16" xfId="0" applyNumberFormat="1" applyFont="1" applyBorder="1"/>
    <xf numFmtId="4" fontId="12" fillId="0" borderId="0" xfId="0" applyNumberFormat="1" applyFont="1"/>
    <xf numFmtId="168" fontId="41" fillId="0" borderId="0" xfId="8" applyNumberFormat="1" applyFont="1" applyFill="1"/>
    <xf numFmtId="168" fontId="41" fillId="0" borderId="0" xfId="8" applyNumberFormat="1" applyFont="1" applyFill="1" applyBorder="1"/>
    <xf numFmtId="0" fontId="42" fillId="0" borderId="0" xfId="0" applyFont="1"/>
    <xf numFmtId="168" fontId="21" fillId="4" borderId="0" xfId="0" applyNumberFormat="1" applyFont="1" applyFill="1"/>
    <xf numFmtId="0" fontId="12" fillId="8" borderId="4" xfId="0" applyFont="1" applyFill="1" applyBorder="1"/>
    <xf numFmtId="0" fontId="3" fillId="0" borderId="0" xfId="0" applyFont="1"/>
    <xf numFmtId="186" fontId="11" fillId="0" borderId="0" xfId="7" applyNumberFormat="1" applyFont="1"/>
    <xf numFmtId="168" fontId="41" fillId="0" borderId="4" xfId="0" applyNumberFormat="1" applyFont="1" applyBorder="1"/>
    <xf numFmtId="168" fontId="41" fillId="0" borderId="18" xfId="0" applyNumberFormat="1" applyFont="1" applyBorder="1"/>
    <xf numFmtId="168" fontId="12" fillId="0" borderId="4" xfId="8" applyNumberFormat="1" applyFont="1" applyFill="1" applyBorder="1"/>
    <xf numFmtId="168" fontId="12" fillId="0" borderId="4" xfId="0" applyNumberFormat="1" applyFont="1" applyBorder="1"/>
    <xf numFmtId="167" fontId="22" fillId="0" borderId="4" xfId="8" applyNumberFormat="1" applyFont="1" applyFill="1" applyBorder="1"/>
    <xf numFmtId="1" fontId="12" fillId="0" borderId="4" xfId="0" applyNumberFormat="1" applyFont="1" applyBorder="1"/>
    <xf numFmtId="167" fontId="12" fillId="0" borderId="4" xfId="8" applyNumberFormat="1" applyFont="1" applyFill="1" applyBorder="1"/>
    <xf numFmtId="168" fontId="12" fillId="0" borderId="18" xfId="0" applyNumberFormat="1" applyFont="1" applyBorder="1"/>
    <xf numFmtId="2" fontId="12" fillId="0" borderId="4" xfId="0" applyNumberFormat="1" applyFont="1" applyBorder="1"/>
    <xf numFmtId="9" fontId="12" fillId="0" borderId="18" xfId="8" applyFont="1" applyFill="1" applyBorder="1"/>
    <xf numFmtId="168" fontId="21" fillId="0" borderId="4" xfId="0" applyNumberFormat="1" applyFont="1" applyBorder="1"/>
    <xf numFmtId="0" fontId="12" fillId="0" borderId="30" xfId="0" applyFont="1" applyBorder="1"/>
    <xf numFmtId="9" fontId="12" fillId="0" borderId="4" xfId="0" applyNumberFormat="1" applyFont="1" applyBorder="1"/>
    <xf numFmtId="9" fontId="22" fillId="0" borderId="18" xfId="8" applyFont="1" applyFill="1" applyBorder="1"/>
    <xf numFmtId="177" fontId="12" fillId="0" borderId="4" xfId="1" applyNumberFormat="1" applyFont="1" applyFill="1" applyBorder="1"/>
    <xf numFmtId="167" fontId="12" fillId="0" borderId="4" xfId="0" applyNumberFormat="1" applyFont="1" applyBorder="1"/>
    <xf numFmtId="167" fontId="12" fillId="0" borderId="0" xfId="8" applyNumberFormat="1" applyFont="1"/>
    <xf numFmtId="1" fontId="12" fillId="0" borderId="0" xfId="8" applyNumberFormat="1" applyFont="1"/>
    <xf numFmtId="166" fontId="12" fillId="0" borderId="0" xfId="1" applyFont="1"/>
    <xf numFmtId="1" fontId="12" fillId="0" borderId="0" xfId="1" applyNumberFormat="1" applyFont="1"/>
    <xf numFmtId="167" fontId="12" fillId="0" borderId="11" xfId="8" applyNumberFormat="1" applyFont="1" applyBorder="1"/>
    <xf numFmtId="167" fontId="23" fillId="4" borderId="11" xfId="8" applyNumberFormat="1" applyFont="1" applyFill="1" applyBorder="1"/>
    <xf numFmtId="0" fontId="21" fillId="4" borderId="5" xfId="0" applyFont="1" applyFill="1" applyBorder="1" applyAlignment="1">
      <alignment horizontal="center"/>
    </xf>
    <xf numFmtId="3" fontId="41" fillId="0" borderId="4" xfId="0" applyNumberFormat="1" applyFont="1" applyBorder="1"/>
    <xf numFmtId="1" fontId="41" fillId="0" borderId="4" xfId="0" applyNumberFormat="1" applyFont="1" applyBorder="1"/>
    <xf numFmtId="3" fontId="21" fillId="0" borderId="20" xfId="0" applyNumberFormat="1" applyFont="1" applyBorder="1"/>
    <xf numFmtId="3" fontId="12" fillId="0" borderId="4" xfId="0" applyNumberFormat="1" applyFont="1" applyBorder="1"/>
    <xf numFmtId="3" fontId="45" fillId="0" borderId="4" xfId="0" applyNumberFormat="1" applyFont="1" applyBorder="1"/>
    <xf numFmtId="3" fontId="21" fillId="0" borderId="4" xfId="0" applyNumberFormat="1" applyFont="1" applyBorder="1"/>
    <xf numFmtId="3" fontId="21" fillId="0" borderId="4" xfId="19" applyNumberFormat="1" applyFont="1" applyBorder="1" applyAlignment="1" applyProtection="1">
      <alignment horizontal="right"/>
      <protection locked="0"/>
    </xf>
    <xf numFmtId="4" fontId="12" fillId="0" borderId="4" xfId="0" applyNumberFormat="1" applyFont="1" applyBorder="1"/>
    <xf numFmtId="9" fontId="43" fillId="0" borderId="4" xfId="8" applyFont="1" applyFill="1" applyBorder="1"/>
    <xf numFmtId="1" fontId="12" fillId="0" borderId="4" xfId="8" applyNumberFormat="1" applyFont="1" applyFill="1" applyBorder="1"/>
    <xf numFmtId="1" fontId="21" fillId="0" borderId="4" xfId="0" applyNumberFormat="1" applyFont="1" applyBorder="1"/>
    <xf numFmtId="1" fontId="12" fillId="0" borderId="20" xfId="0" applyNumberFormat="1" applyFont="1" applyBorder="1"/>
    <xf numFmtId="1" fontId="43" fillId="0" borderId="4" xfId="0" applyNumberFormat="1" applyFont="1" applyBorder="1"/>
    <xf numFmtId="3" fontId="12" fillId="0" borderId="4" xfId="1" applyNumberFormat="1" applyFont="1" applyFill="1" applyBorder="1"/>
    <xf numFmtId="3" fontId="6" fillId="0" borderId="4" xfId="0" applyNumberFormat="1" applyFont="1" applyBorder="1"/>
    <xf numFmtId="167" fontId="41" fillId="0" borderId="4" xfId="8" applyNumberFormat="1" applyFont="1" applyFill="1" applyBorder="1"/>
    <xf numFmtId="1" fontId="6" fillId="0" borderId="4" xfId="0" applyNumberFormat="1" applyFont="1" applyBorder="1"/>
    <xf numFmtId="167" fontId="6" fillId="0" borderId="4" xfId="8" applyNumberFormat="1" applyFont="1" applyFill="1" applyBorder="1"/>
    <xf numFmtId="1" fontId="46" fillId="0" borderId="4" xfId="0" applyNumberFormat="1" applyFont="1" applyBorder="1"/>
    <xf numFmtId="168" fontId="6" fillId="0" borderId="4" xfId="0" applyNumberFormat="1" applyFont="1" applyBorder="1"/>
    <xf numFmtId="3" fontId="46" fillId="0" borderId="4" xfId="0" applyNumberFormat="1" applyFont="1" applyBorder="1"/>
    <xf numFmtId="3" fontId="12" fillId="0" borderId="4" xfId="8" applyNumberFormat="1" applyFont="1" applyFill="1" applyBorder="1"/>
    <xf numFmtId="9" fontId="43" fillId="0" borderId="4" xfId="0" applyNumberFormat="1" applyFont="1" applyBorder="1"/>
    <xf numFmtId="1" fontId="12" fillId="0" borderId="4" xfId="0" applyNumberFormat="1" applyFont="1" applyBorder="1" applyAlignment="1">
      <alignment horizontal="right"/>
    </xf>
    <xf numFmtId="0" fontId="41" fillId="0" borderId="4" xfId="0" applyFont="1" applyBorder="1" applyAlignment="1">
      <alignment horizontal="right"/>
    </xf>
    <xf numFmtId="0" fontId="21" fillId="0" borderId="16" xfId="0" applyFont="1" applyBorder="1"/>
    <xf numFmtId="167" fontId="12" fillId="0" borderId="16" xfId="0" applyNumberFormat="1" applyFont="1" applyBorder="1"/>
    <xf numFmtId="0" fontId="35" fillId="4" borderId="31" xfId="32" applyFont="1" applyFill="1" applyBorder="1" applyAlignment="1">
      <alignment horizontal="center"/>
    </xf>
    <xf numFmtId="166" fontId="35" fillId="4" borderId="34" xfId="32" applyNumberFormat="1" applyFont="1" applyFill="1" applyBorder="1"/>
    <xf numFmtId="164" fontId="35" fillId="0" borderId="26" xfId="0" applyNumberFormat="1" applyFont="1" applyBorder="1"/>
    <xf numFmtId="9" fontId="12" fillId="5" borderId="0" xfId="8" applyFont="1" applyFill="1" applyBorder="1"/>
    <xf numFmtId="167" fontId="50" fillId="0" borderId="0" xfId="8" applyNumberFormat="1" applyFont="1" applyFill="1" applyBorder="1"/>
    <xf numFmtId="167" fontId="50" fillId="0" borderId="0" xfId="8" applyNumberFormat="1" applyFont="1" applyFill="1"/>
    <xf numFmtId="166" fontId="12" fillId="4" borderId="0" xfId="0" applyNumberFormat="1" applyFont="1" applyFill="1"/>
    <xf numFmtId="9" fontId="50" fillId="0" borderId="0" xfId="8" applyFont="1" applyFill="1" applyBorder="1"/>
    <xf numFmtId="171" fontId="12" fillId="3" borderId="0" xfId="0" applyNumberFormat="1" applyFont="1" applyFill="1" applyAlignment="1">
      <alignment horizontal="center"/>
    </xf>
    <xf numFmtId="177" fontId="12" fillId="0" borderId="0" xfId="1" applyNumberFormat="1" applyFont="1" applyFill="1" applyBorder="1"/>
    <xf numFmtId="167" fontId="12" fillId="0" borderId="0" xfId="8" applyNumberFormat="1" applyFont="1" applyBorder="1"/>
    <xf numFmtId="172" fontId="21" fillId="0" borderId="7" xfId="0" applyNumberFormat="1" applyFont="1" applyBorder="1"/>
    <xf numFmtId="4" fontId="6" fillId="0" borderId="0" xfId="0" applyNumberFormat="1" applyFont="1"/>
    <xf numFmtId="4" fontId="12" fillId="0" borderId="0" xfId="0" applyNumberFormat="1" applyFont="1" applyAlignment="1">
      <alignment horizontal="right"/>
    </xf>
    <xf numFmtId="4" fontId="21" fillId="0" borderId="0" xfId="0" applyNumberFormat="1" applyFont="1"/>
    <xf numFmtId="4" fontId="40" fillId="6" borderId="0" xfId="0" applyNumberFormat="1" applyFont="1" applyFill="1" applyAlignment="1">
      <alignment horizontal="right"/>
    </xf>
    <xf numFmtId="4" fontId="40" fillId="0" borderId="0" xfId="0" applyNumberFormat="1" applyFont="1" applyAlignment="1">
      <alignment horizontal="right"/>
    </xf>
    <xf numFmtId="4" fontId="40" fillId="6" borderId="0" xfId="0" applyNumberFormat="1" applyFont="1" applyFill="1"/>
    <xf numFmtId="4" fontId="40" fillId="0" borderId="0" xfId="0" applyNumberFormat="1" applyFont="1"/>
    <xf numFmtId="4" fontId="21" fillId="0" borderId="0" xfId="8" applyNumberFormat="1" applyFont="1" applyFill="1" applyBorder="1"/>
    <xf numFmtId="4" fontId="21" fillId="0" borderId="7" xfId="0" applyNumberFormat="1" applyFont="1" applyBorder="1"/>
    <xf numFmtId="4" fontId="41" fillId="0" borderId="0" xfId="0" applyNumberFormat="1" applyFont="1"/>
    <xf numFmtId="4" fontId="12" fillId="0" borderId="0" xfId="8" applyNumberFormat="1" applyFont="1" applyFill="1" applyBorder="1"/>
    <xf numFmtId="4" fontId="43" fillId="0" borderId="0" xfId="8" applyNumberFormat="1" applyFont="1" applyFill="1" applyBorder="1"/>
    <xf numFmtId="4" fontId="22" fillId="0" borderId="0" xfId="8" applyNumberFormat="1" applyFont="1" applyFill="1" applyBorder="1"/>
    <xf numFmtId="4" fontId="12" fillId="0" borderId="7" xfId="0" applyNumberFormat="1" applyFont="1" applyBorder="1"/>
    <xf numFmtId="4" fontId="43" fillId="0" borderId="0" xfId="0" applyNumberFormat="1" applyFont="1"/>
    <xf numFmtId="4" fontId="42" fillId="0" borderId="7" xfId="0" applyNumberFormat="1" applyFont="1" applyBorder="1"/>
    <xf numFmtId="4" fontId="21" fillId="5" borderId="0" xfId="0" applyNumberFormat="1" applyFont="1" applyFill="1"/>
    <xf numFmtId="4" fontId="17" fillId="6" borderId="0" xfId="0" applyNumberFormat="1" applyFont="1" applyFill="1"/>
    <xf numFmtId="4" fontId="45" fillId="0" borderId="0" xfId="0" applyNumberFormat="1" applyFont="1"/>
    <xf numFmtId="4" fontId="12" fillId="0" borderId="0" xfId="1" applyNumberFormat="1" applyFont="1" applyFill="1" applyBorder="1"/>
    <xf numFmtId="4" fontId="17" fillId="0" borderId="0" xfId="0" applyNumberFormat="1" applyFont="1"/>
    <xf numFmtId="4" fontId="6" fillId="0" borderId="0" xfId="8" applyNumberFormat="1" applyFont="1" applyFill="1" applyBorder="1"/>
    <xf numFmtId="4" fontId="46" fillId="0" borderId="0" xfId="0" applyNumberFormat="1" applyFont="1"/>
    <xf numFmtId="4" fontId="6" fillId="0" borderId="0" xfId="1" applyNumberFormat="1" applyFont="1" applyFill="1" applyBorder="1"/>
    <xf numFmtId="4" fontId="21" fillId="0" borderId="10" xfId="0" applyNumberFormat="1" applyFont="1" applyBorder="1"/>
    <xf numFmtId="4" fontId="21" fillId="0" borderId="0" xfId="19" applyNumberFormat="1" applyFont="1" applyAlignment="1" applyProtection="1">
      <alignment horizontal="right"/>
      <protection locked="0"/>
    </xf>
    <xf numFmtId="4" fontId="41" fillId="0" borderId="0" xfId="0" applyNumberFormat="1" applyFont="1" applyAlignment="1">
      <alignment horizontal="right"/>
    </xf>
    <xf numFmtId="4" fontId="12" fillId="8" borderId="0" xfId="0" applyNumberFormat="1" applyFont="1" applyFill="1"/>
    <xf numFmtId="167" fontId="12" fillId="0" borderId="16" xfId="8" applyNumberFormat="1" applyFont="1" applyBorder="1"/>
    <xf numFmtId="9" fontId="12" fillId="0" borderId="0" xfId="8" applyFont="1" applyBorder="1"/>
    <xf numFmtId="0" fontId="5" fillId="4" borderId="22" xfId="0" applyFont="1" applyFill="1" applyBorder="1" applyAlignment="1">
      <alignment horizontal="left" indent="1"/>
    </xf>
    <xf numFmtId="164" fontId="5" fillId="4" borderId="23" xfId="0" applyNumberFormat="1" applyFont="1" applyFill="1" applyBorder="1"/>
    <xf numFmtId="9" fontId="6" fillId="4" borderId="24" xfId="8" applyFont="1" applyFill="1" applyBorder="1"/>
    <xf numFmtId="164" fontId="5" fillId="4" borderId="0" xfId="0" applyNumberFormat="1" applyFont="1" applyFill="1"/>
    <xf numFmtId="9" fontId="6" fillId="4" borderId="26" xfId="8" applyFont="1" applyFill="1" applyBorder="1"/>
    <xf numFmtId="0" fontId="5" fillId="4" borderId="25" xfId="0" applyFont="1" applyFill="1" applyBorder="1" applyAlignment="1">
      <alignment horizontal="left"/>
    </xf>
    <xf numFmtId="0" fontId="3" fillId="4" borderId="25" xfId="0" applyFont="1" applyFill="1" applyBorder="1" applyAlignment="1">
      <alignment horizontal="left"/>
    </xf>
    <xf numFmtId="171" fontId="6" fillId="4" borderId="0" xfId="0" applyNumberFormat="1" applyFont="1" applyFill="1"/>
    <xf numFmtId="0" fontId="40" fillId="11" borderId="22" xfId="0" applyFont="1" applyFill="1" applyBorder="1" applyAlignment="1">
      <alignment horizontal="left"/>
    </xf>
    <xf numFmtId="164" fontId="40" fillId="11" borderId="23" xfId="0" applyNumberFormat="1" applyFont="1" applyFill="1" applyBorder="1" applyAlignment="1">
      <alignment horizontal="right"/>
    </xf>
    <xf numFmtId="9" fontId="40" fillId="11" borderId="23" xfId="8" applyFont="1" applyFill="1" applyBorder="1" applyAlignment="1">
      <alignment horizontal="right"/>
    </xf>
    <xf numFmtId="167" fontId="40" fillId="11" borderId="24" xfId="8" applyNumberFormat="1" applyFont="1" applyFill="1" applyBorder="1" applyAlignment="1">
      <alignment horizontal="right"/>
    </xf>
    <xf numFmtId="0" fontId="5" fillId="13" borderId="25" xfId="0" applyFont="1" applyFill="1" applyBorder="1" applyAlignment="1">
      <alignment horizontal="left" indent="1"/>
    </xf>
    <xf numFmtId="164" fontId="5" fillId="13" borderId="0" xfId="0" applyNumberFormat="1" applyFont="1" applyFill="1"/>
    <xf numFmtId="9" fontId="6" fillId="13" borderId="26" xfId="8" applyFont="1" applyFill="1" applyBorder="1"/>
    <xf numFmtId="9" fontId="5" fillId="13" borderId="0" xfId="8" applyFont="1" applyFill="1" applyBorder="1"/>
    <xf numFmtId="0" fontId="35" fillId="13" borderId="27" xfId="0" applyFont="1" applyFill="1" applyBorder="1" applyAlignment="1">
      <alignment horizontal="left"/>
    </xf>
    <xf numFmtId="164" fontId="35" fillId="13" borderId="28" xfId="0" applyNumberFormat="1" applyFont="1" applyFill="1" applyBorder="1"/>
    <xf numFmtId="9" fontId="35" fillId="13" borderId="29" xfId="8" applyFont="1" applyFill="1" applyBorder="1"/>
    <xf numFmtId="0" fontId="3" fillId="13" borderId="27" xfId="0" applyFont="1" applyFill="1" applyBorder="1" applyAlignment="1">
      <alignment horizontal="left"/>
    </xf>
    <xf numFmtId="171" fontId="6" fillId="13" borderId="28" xfId="0" applyNumberFormat="1" applyFont="1" applyFill="1" applyBorder="1"/>
    <xf numFmtId="9" fontId="6" fillId="13" borderId="29" xfId="8" applyFont="1" applyFill="1" applyBorder="1"/>
    <xf numFmtId="168" fontId="41" fillId="7" borderId="6" xfId="0" applyNumberFormat="1" applyFont="1" applyFill="1" applyBorder="1"/>
    <xf numFmtId="168" fontId="41" fillId="7" borderId="0" xfId="8" applyNumberFormat="1" applyFont="1" applyFill="1"/>
    <xf numFmtId="168" fontId="41" fillId="7" borderId="0" xfId="8" applyNumberFormat="1" applyFont="1" applyFill="1" applyBorder="1"/>
    <xf numFmtId="187" fontId="21" fillId="0" borderId="7" xfId="0" applyNumberFormat="1" applyFont="1" applyBorder="1"/>
    <xf numFmtId="2" fontId="21" fillId="0" borderId="0" xfId="0" applyNumberFormat="1" applyFont="1"/>
    <xf numFmtId="167" fontId="12" fillId="4" borderId="0" xfId="8" applyNumberFormat="1" applyFont="1" applyFill="1" applyBorder="1" applyAlignment="1">
      <alignment horizontal="right"/>
    </xf>
    <xf numFmtId="1" fontId="12" fillId="4" borderId="0" xfId="0" applyNumberFormat="1" applyFont="1" applyFill="1" applyAlignment="1">
      <alignment horizontal="right"/>
    </xf>
    <xf numFmtId="2" fontId="21" fillId="4" borderId="0" xfId="0" applyNumberFormat="1" applyFont="1" applyFill="1"/>
    <xf numFmtId="2" fontId="21" fillId="0" borderId="7" xfId="0" applyNumberFormat="1" applyFont="1" applyBorder="1"/>
    <xf numFmtId="172" fontId="41" fillId="0" borderId="0" xfId="0" applyNumberFormat="1" applyFont="1"/>
    <xf numFmtId="167" fontId="50" fillId="0" borderId="4" xfId="0" applyNumberFormat="1" applyFont="1" applyBorder="1"/>
    <xf numFmtId="172" fontId="12" fillId="0" borderId="4" xfId="0" applyNumberFormat="1" applyFont="1" applyBorder="1"/>
    <xf numFmtId="188" fontId="21" fillId="0" borderId="7" xfId="0" applyNumberFormat="1" applyFont="1" applyBorder="1"/>
    <xf numFmtId="168" fontId="42" fillId="0" borderId="20" xfId="0" applyNumberFormat="1" applyFont="1" applyBorder="1"/>
    <xf numFmtId="16" fontId="12" fillId="0" borderId="0" xfId="0" applyNumberFormat="1" applyFont="1"/>
    <xf numFmtId="187" fontId="21" fillId="0" borderId="0" xfId="0" applyNumberFormat="1" applyFont="1"/>
    <xf numFmtId="9" fontId="41" fillId="0" borderId="0" xfId="8" applyFont="1" applyFill="1" applyBorder="1"/>
    <xf numFmtId="168" fontId="41" fillId="0" borderId="4" xfId="8" applyNumberFormat="1" applyFont="1" applyFill="1" applyBorder="1"/>
    <xf numFmtId="188" fontId="21" fillId="0" borderId="0" xfId="0" applyNumberFormat="1" applyFont="1"/>
    <xf numFmtId="0" fontId="43" fillId="0" borderId="0" xfId="0" applyFont="1"/>
    <xf numFmtId="0" fontId="41" fillId="0" borderId="4" xfId="0" applyFont="1" applyBorder="1"/>
    <xf numFmtId="0" fontId="21" fillId="14" borderId="2" xfId="0" applyFont="1" applyFill="1" applyBorder="1"/>
    <xf numFmtId="0" fontId="12" fillId="14" borderId="2" xfId="0" applyFont="1" applyFill="1" applyBorder="1"/>
    <xf numFmtId="0" fontId="12" fillId="14" borderId="17" xfId="0" applyFont="1" applyFill="1" applyBorder="1" applyAlignment="1">
      <alignment horizontal="center"/>
    </xf>
    <xf numFmtId="0" fontId="12" fillId="14" borderId="30" xfId="0" applyFont="1" applyFill="1" applyBorder="1"/>
    <xf numFmtId="0" fontId="12" fillId="14" borderId="0" xfId="0" applyFont="1" applyFill="1"/>
    <xf numFmtId="170" fontId="21" fillId="0" borderId="0" xfId="0" applyNumberFormat="1" applyFont="1"/>
    <xf numFmtId="9" fontId="12" fillId="0" borderId="0" xfId="8" applyFont="1"/>
    <xf numFmtId="0" fontId="12" fillId="0" borderId="18" xfId="0" applyFont="1" applyBorder="1"/>
    <xf numFmtId="170" fontId="21" fillId="0" borderId="7" xfId="0" applyNumberFormat="1" applyFont="1" applyBorder="1"/>
    <xf numFmtId="9" fontId="21" fillId="0" borderId="0" xfId="8" applyFont="1" applyFill="1" applyBorder="1"/>
    <xf numFmtId="167" fontId="43" fillId="0" borderId="0" xfId="0" applyNumberFormat="1" applyFont="1"/>
    <xf numFmtId="0" fontId="21" fillId="8" borderId="31" xfId="0" applyFont="1" applyFill="1" applyBorder="1"/>
    <xf numFmtId="0" fontId="21" fillId="8" borderId="33" xfId="0" applyFont="1" applyFill="1" applyBorder="1"/>
    <xf numFmtId="3" fontId="21" fillId="0" borderId="4" xfId="8" applyNumberFormat="1" applyFont="1" applyFill="1" applyBorder="1"/>
    <xf numFmtId="172" fontId="21" fillId="0" borderId="20" xfId="0" applyNumberFormat="1" applyFont="1" applyBorder="1"/>
    <xf numFmtId="9" fontId="21" fillId="0" borderId="4" xfId="8" applyFont="1" applyFill="1" applyBorder="1"/>
    <xf numFmtId="187" fontId="21" fillId="0" borderId="20" xfId="0" applyNumberFormat="1" applyFont="1" applyBorder="1"/>
    <xf numFmtId="170" fontId="21" fillId="0" borderId="4" xfId="0" applyNumberFormat="1" applyFont="1" applyBorder="1"/>
    <xf numFmtId="168" fontId="21" fillId="0" borderId="20" xfId="0" applyNumberFormat="1" applyFont="1" applyBorder="1"/>
    <xf numFmtId="0" fontId="21" fillId="5" borderId="4" xfId="0" applyFont="1" applyFill="1" applyBorder="1"/>
    <xf numFmtId="0" fontId="17" fillId="6" borderId="4" xfId="0" applyFont="1" applyFill="1" applyBorder="1"/>
    <xf numFmtId="3" fontId="42" fillId="0" borderId="20" xfId="0" applyNumberFormat="1" applyFont="1" applyBorder="1"/>
    <xf numFmtId="3" fontId="12" fillId="0" borderId="20" xfId="0" applyNumberFormat="1" applyFont="1" applyBorder="1"/>
    <xf numFmtId="0" fontId="17" fillId="0" borderId="4" xfId="0" applyFont="1" applyBorder="1"/>
    <xf numFmtId="3" fontId="6" fillId="0" borderId="4" xfId="1" applyNumberFormat="1" applyFont="1" applyFill="1" applyBorder="1"/>
    <xf numFmtId="3" fontId="21" fillId="0" borderId="35" xfId="0" applyNumberFormat="1" applyFont="1" applyBorder="1"/>
    <xf numFmtId="172" fontId="21" fillId="0" borderId="4" xfId="0" applyNumberFormat="1" applyFont="1" applyBorder="1"/>
    <xf numFmtId="178" fontId="21" fillId="0" borderId="4" xfId="19" applyNumberFormat="1" applyFont="1" applyBorder="1" applyAlignment="1" applyProtection="1">
      <alignment horizontal="right"/>
      <protection locked="0"/>
    </xf>
    <xf numFmtId="9" fontId="50" fillId="0" borderId="4" xfId="8" applyFont="1" applyFill="1" applyBorder="1"/>
    <xf numFmtId="9" fontId="22" fillId="0" borderId="4" xfId="0" applyNumberFormat="1" applyFont="1" applyBorder="1"/>
    <xf numFmtId="167" fontId="12" fillId="0" borderId="4" xfId="8" applyNumberFormat="1" applyFont="1" applyBorder="1"/>
    <xf numFmtId="167" fontId="12" fillId="0" borderId="18" xfId="8" applyNumberFormat="1" applyFont="1" applyBorder="1"/>
    <xf numFmtId="187" fontId="12" fillId="0" borderId="4" xfId="0" applyNumberFormat="1" applyFont="1" applyBorder="1"/>
    <xf numFmtId="2" fontId="41" fillId="0" borderId="4" xfId="0" applyNumberFormat="1" applyFont="1" applyBorder="1"/>
    <xf numFmtId="167" fontId="21" fillId="3" borderId="0" xfId="8" applyNumberFormat="1" applyFont="1" applyFill="1" applyBorder="1"/>
    <xf numFmtId="0" fontId="6" fillId="0" borderId="1" xfId="0" applyFont="1" applyBorder="1"/>
    <xf numFmtId="0" fontId="12" fillId="0" borderId="1" xfId="0" applyFont="1" applyBorder="1" applyAlignment="1">
      <alignment horizontal="right"/>
    </xf>
    <xf numFmtId="0" fontId="40" fillId="0" borderId="1" xfId="0" applyFont="1" applyBorder="1" applyAlignment="1">
      <alignment horizontal="right"/>
    </xf>
    <xf numFmtId="0" fontId="40" fillId="6" borderId="1" xfId="0" applyFont="1" applyFill="1" applyBorder="1"/>
    <xf numFmtId="0" fontId="40" fillId="0" borderId="1" xfId="0" applyFont="1" applyBorder="1"/>
    <xf numFmtId="3" fontId="12" fillId="0" borderId="1" xfId="0" applyNumberFormat="1" applyFont="1" applyBorder="1"/>
    <xf numFmtId="3" fontId="21" fillId="0" borderId="1" xfId="0" applyNumberFormat="1" applyFont="1" applyBorder="1"/>
    <xf numFmtId="9" fontId="21" fillId="0" borderId="1" xfId="8" applyFont="1" applyFill="1" applyBorder="1"/>
    <xf numFmtId="3" fontId="41" fillId="0" borderId="1" xfId="0" applyNumberFormat="1" applyFont="1" applyBorder="1"/>
    <xf numFmtId="9" fontId="12" fillId="0" borderId="1" xfId="8" applyFont="1" applyFill="1" applyBorder="1"/>
    <xf numFmtId="9" fontId="43" fillId="0" borderId="1" xfId="8" applyFont="1" applyFill="1" applyBorder="1"/>
    <xf numFmtId="172" fontId="12" fillId="0" borderId="1" xfId="0" applyNumberFormat="1" applyFont="1" applyBorder="1"/>
    <xf numFmtId="172" fontId="21" fillId="0" borderId="36" xfId="0" applyNumberFormat="1" applyFont="1" applyBorder="1"/>
    <xf numFmtId="3" fontId="21" fillId="0" borderId="36" xfId="0" applyNumberFormat="1" applyFont="1" applyBorder="1"/>
    <xf numFmtId="167" fontId="12" fillId="0" borderId="1" xfId="8" applyNumberFormat="1" applyFont="1" applyFill="1" applyBorder="1"/>
    <xf numFmtId="1" fontId="12" fillId="0" borderId="1" xfId="8" applyNumberFormat="1" applyFont="1" applyFill="1" applyBorder="1"/>
    <xf numFmtId="1" fontId="12" fillId="0" borderId="1" xfId="0" applyNumberFormat="1" applyFont="1" applyBorder="1"/>
    <xf numFmtId="1" fontId="21" fillId="0" borderId="1" xfId="0" applyNumberFormat="1" applyFont="1" applyBorder="1"/>
    <xf numFmtId="9" fontId="22" fillId="0" borderId="1" xfId="8" applyFont="1" applyFill="1" applyBorder="1"/>
    <xf numFmtId="167" fontId="22" fillId="0" borderId="1" xfId="8" applyNumberFormat="1" applyFont="1" applyFill="1" applyBorder="1"/>
    <xf numFmtId="1" fontId="41" fillId="0" borderId="1" xfId="0" applyNumberFormat="1" applyFont="1" applyBorder="1"/>
    <xf numFmtId="1" fontId="12" fillId="0" borderId="36" xfId="0" applyNumberFormat="1" applyFont="1" applyBorder="1"/>
    <xf numFmtId="1" fontId="21" fillId="0" borderId="36" xfId="0" applyNumberFormat="1" applyFont="1" applyBorder="1"/>
    <xf numFmtId="1" fontId="43" fillId="0" borderId="1" xfId="0" applyNumberFormat="1" applyFont="1" applyBorder="1"/>
    <xf numFmtId="1" fontId="42" fillId="0" borderId="36" xfId="0" applyNumberFormat="1" applyFont="1" applyBorder="1"/>
    <xf numFmtId="168" fontId="42" fillId="0" borderId="36" xfId="0" applyNumberFormat="1" applyFont="1" applyBorder="1"/>
    <xf numFmtId="0" fontId="12" fillId="5" borderId="1" xfId="0" applyFont="1" applyFill="1" applyBorder="1"/>
    <xf numFmtId="9" fontId="12" fillId="0" borderId="1" xfId="0" applyNumberFormat="1" applyFont="1" applyBorder="1"/>
    <xf numFmtId="168" fontId="12" fillId="0" borderId="1" xfId="0" applyNumberFormat="1" applyFont="1" applyBorder="1"/>
    <xf numFmtId="1" fontId="12" fillId="0" borderId="1" xfId="1" applyNumberFormat="1" applyFont="1" applyFill="1" applyBorder="1"/>
    <xf numFmtId="0" fontId="12" fillId="6" borderId="1" xfId="0" applyFont="1" applyFill="1" applyBorder="1"/>
    <xf numFmtId="3" fontId="42" fillId="0" borderId="1" xfId="0" applyNumberFormat="1" applyFont="1" applyBorder="1"/>
    <xf numFmtId="172" fontId="41" fillId="0" borderId="1" xfId="0" applyNumberFormat="1" applyFont="1" applyBorder="1"/>
    <xf numFmtId="187" fontId="21" fillId="0" borderId="1" xfId="0" applyNumberFormat="1" applyFont="1" applyBorder="1"/>
    <xf numFmtId="188" fontId="21" fillId="0" borderId="1" xfId="0" applyNumberFormat="1" applyFont="1" applyBorder="1"/>
    <xf numFmtId="3" fontId="12" fillId="0" borderId="1" xfId="1" applyNumberFormat="1" applyFont="1" applyFill="1" applyBorder="1"/>
    <xf numFmtId="4" fontId="12" fillId="0" borderId="1" xfId="0" applyNumberFormat="1" applyFont="1" applyBorder="1"/>
    <xf numFmtId="3" fontId="6" fillId="0" borderId="1" xfId="0" applyNumberFormat="1" applyFont="1" applyBorder="1"/>
    <xf numFmtId="167" fontId="41" fillId="0" borderId="1" xfId="8" applyNumberFormat="1" applyFont="1" applyFill="1" applyBorder="1"/>
    <xf numFmtId="1" fontId="6" fillId="0" borderId="1" xfId="0" applyNumberFormat="1" applyFont="1" applyBorder="1"/>
    <xf numFmtId="167" fontId="6" fillId="0" borderId="1" xfId="8" applyNumberFormat="1" applyFont="1" applyFill="1" applyBorder="1"/>
    <xf numFmtId="1" fontId="46" fillId="0" borderId="1" xfId="0" applyNumberFormat="1" applyFont="1" applyBorder="1"/>
    <xf numFmtId="168" fontId="6" fillId="0" borderId="1" xfId="0" applyNumberFormat="1" applyFont="1" applyBorder="1"/>
    <xf numFmtId="3" fontId="46" fillId="0" borderId="1" xfId="0" applyNumberFormat="1" applyFont="1" applyBorder="1"/>
    <xf numFmtId="4" fontId="21" fillId="0" borderId="1" xfId="0" applyNumberFormat="1" applyFont="1" applyBorder="1"/>
    <xf numFmtId="3" fontId="21" fillId="0" borderId="1" xfId="19" applyNumberFormat="1" applyFont="1" applyBorder="1" applyAlignment="1" applyProtection="1">
      <alignment horizontal="right"/>
      <protection locked="0"/>
    </xf>
    <xf numFmtId="3" fontId="21" fillId="0" borderId="1" xfId="1" applyNumberFormat="1" applyFont="1" applyFill="1" applyBorder="1"/>
    <xf numFmtId="3" fontId="12" fillId="0" borderId="1" xfId="8" applyNumberFormat="1" applyFont="1" applyFill="1" applyBorder="1"/>
    <xf numFmtId="3" fontId="45" fillId="0" borderId="1" xfId="0" applyNumberFormat="1" applyFont="1" applyBorder="1"/>
    <xf numFmtId="2" fontId="41" fillId="0" borderId="1" xfId="0" applyNumberFormat="1" applyFont="1" applyBorder="1"/>
    <xf numFmtId="9" fontId="41" fillId="0" borderId="1" xfId="0" applyNumberFormat="1" applyFont="1" applyBorder="1"/>
    <xf numFmtId="9" fontId="43" fillId="0" borderId="1" xfId="0" applyNumberFormat="1" applyFont="1" applyBorder="1"/>
    <xf numFmtId="1" fontId="12" fillId="0" borderId="1" xfId="0" applyNumberFormat="1" applyFont="1" applyBorder="1" applyAlignment="1">
      <alignment horizontal="right"/>
    </xf>
    <xf numFmtId="0" fontId="41" fillId="0" borderId="1" xfId="0" applyFont="1" applyBorder="1" applyAlignment="1">
      <alignment horizontal="right"/>
    </xf>
    <xf numFmtId="0" fontId="12" fillId="8" borderId="1" xfId="0" applyFont="1" applyFill="1" applyBorder="1"/>
    <xf numFmtId="168" fontId="41" fillId="0" borderId="1" xfId="0" applyNumberFormat="1" applyFont="1" applyBorder="1"/>
    <xf numFmtId="9" fontId="22" fillId="0" borderId="5" xfId="8" applyFont="1" applyFill="1" applyBorder="1"/>
    <xf numFmtId="168" fontId="21" fillId="0" borderId="1" xfId="0" applyNumberFormat="1" applyFont="1" applyBorder="1"/>
    <xf numFmtId="168" fontId="41" fillId="0" borderId="5" xfId="0" applyNumberFormat="1" applyFont="1" applyBorder="1"/>
    <xf numFmtId="168" fontId="12" fillId="0" borderId="5" xfId="0" applyNumberFormat="1" applyFont="1" applyBorder="1"/>
    <xf numFmtId="2" fontId="12" fillId="0" borderId="1" xfId="0" applyNumberFormat="1" applyFont="1" applyBorder="1"/>
    <xf numFmtId="167" fontId="50" fillId="0" borderId="1" xfId="0" applyNumberFormat="1" applyFont="1" applyBorder="1"/>
    <xf numFmtId="167" fontId="12" fillId="0" borderId="5" xfId="0" applyNumberFormat="1" applyFont="1" applyBorder="1"/>
    <xf numFmtId="177" fontId="12" fillId="0" borderId="1" xfId="1" applyNumberFormat="1" applyFont="1" applyFill="1" applyBorder="1"/>
    <xf numFmtId="167" fontId="12" fillId="0" borderId="1" xfId="0" applyNumberFormat="1" applyFont="1" applyBorder="1"/>
    <xf numFmtId="0" fontId="12" fillId="14" borderId="17" xfId="0" applyFont="1" applyFill="1" applyBorder="1"/>
    <xf numFmtId="0" fontId="41" fillId="0" borderId="1" xfId="0" applyFont="1" applyBorder="1"/>
    <xf numFmtId="167" fontId="43" fillId="0" borderId="1" xfId="8" applyNumberFormat="1" applyFont="1" applyFill="1" applyBorder="1"/>
    <xf numFmtId="9" fontId="50" fillId="0" borderId="4" xfId="0" applyNumberFormat="1" applyFont="1" applyBorder="1"/>
    <xf numFmtId="0" fontId="12" fillId="0" borderId="5" xfId="0" applyFont="1" applyBorder="1"/>
    <xf numFmtId="3" fontId="12" fillId="7" borderId="0" xfId="0" applyNumberFormat="1" applyFont="1" applyFill="1"/>
    <xf numFmtId="3" fontId="12" fillId="15" borderId="0" xfId="0" applyNumberFormat="1" applyFont="1" applyFill="1"/>
    <xf numFmtId="1" fontId="12" fillId="15" borderId="0" xfId="0" applyNumberFormat="1" applyFont="1" applyFill="1"/>
    <xf numFmtId="1" fontId="12" fillId="15" borderId="0" xfId="0" applyNumberFormat="1" applyFont="1" applyFill="1" applyAlignment="1">
      <alignment horizontal="right"/>
    </xf>
    <xf numFmtId="3" fontId="45" fillId="15" borderId="0" xfId="0" applyNumberFormat="1" applyFont="1" applyFill="1"/>
    <xf numFmtId="3" fontId="45" fillId="7" borderId="0" xfId="0" applyNumberFormat="1" applyFont="1" applyFill="1"/>
    <xf numFmtId="0" fontId="21" fillId="4" borderId="12" xfId="0" applyFont="1" applyFill="1" applyBorder="1" applyAlignment="1">
      <alignment horizontal="center"/>
    </xf>
    <xf numFmtId="0" fontId="34" fillId="4" borderId="13" xfId="0" applyFont="1" applyFill="1" applyBorder="1" applyAlignment="1">
      <alignment horizontal="center" vertical="center" wrapText="1"/>
    </xf>
    <xf numFmtId="0" fontId="34" fillId="4" borderId="14" xfId="0" applyFont="1" applyFill="1" applyBorder="1" applyAlignment="1">
      <alignment horizontal="center" vertical="center" wrapText="1"/>
    </xf>
    <xf numFmtId="0" fontId="56" fillId="4" borderId="0" xfId="9" applyFont="1" applyFill="1" applyAlignment="1">
      <alignment horizontal="left" vertical="center"/>
    </xf>
    <xf numFmtId="184" fontId="42" fillId="0" borderId="0" xfId="7" applyNumberFormat="1" applyFont="1" applyAlignment="1">
      <alignment horizontal="left"/>
    </xf>
    <xf numFmtId="185" fontId="42" fillId="0" borderId="0" xfId="7" applyNumberFormat="1" applyFont="1" applyAlignment="1">
      <alignment horizontal="left"/>
    </xf>
    <xf numFmtId="175" fontId="21" fillId="8" borderId="31" xfId="7" applyFont="1" applyFill="1" applyBorder="1" applyAlignment="1">
      <alignment horizontal="center"/>
    </xf>
    <xf numFmtId="175" fontId="21" fillId="8" borderId="32" xfId="7" applyFont="1" applyFill="1" applyBorder="1" applyAlignment="1">
      <alignment horizontal="center"/>
    </xf>
    <xf numFmtId="0" fontId="35" fillId="0" borderId="0" xfId="0" applyFont="1" applyAlignment="1">
      <alignment horizontal="left" vertical="center" indent="2"/>
    </xf>
    <xf numFmtId="0" fontId="39" fillId="0" borderId="21" xfId="0" applyFont="1" applyBorder="1" applyAlignment="1">
      <alignment horizontal="center" vertical="center" wrapText="1"/>
    </xf>
    <xf numFmtId="0" fontId="39" fillId="0" borderId="0" xfId="0" applyFont="1" applyAlignment="1">
      <alignment horizontal="center" vertical="center" wrapText="1"/>
    </xf>
    <xf numFmtId="2" fontId="12" fillId="0" borderId="1" xfId="0" applyNumberFormat="1" applyFont="1" applyFill="1" applyBorder="1"/>
    <xf numFmtId="0" fontId="12" fillId="0" borderId="1" xfId="0" applyFont="1" applyFill="1" applyBorder="1"/>
    <xf numFmtId="168" fontId="41" fillId="0" borderId="1" xfId="0" applyNumberFormat="1" applyFont="1" applyFill="1" applyBorder="1"/>
    <xf numFmtId="49" fontId="69" fillId="0" borderId="0" xfId="0" applyNumberFormat="1" applyFont="1"/>
    <xf numFmtId="49" fontId="69" fillId="0" borderId="0" xfId="0" applyNumberFormat="1" applyFont="1" applyAlignment="1"/>
    <xf numFmtId="49" fontId="70" fillId="0" borderId="0" xfId="0" applyNumberFormat="1" applyFont="1" applyAlignment="1"/>
    <xf numFmtId="49" fontId="8" fillId="0" borderId="0" xfId="0" applyNumberFormat="1" applyFont="1" applyAlignment="1"/>
    <xf numFmtId="49" fontId="71" fillId="0" borderId="0" xfId="0" applyNumberFormat="1" applyFont="1" applyAlignment="1"/>
    <xf numFmtId="49" fontId="8" fillId="0" borderId="5" xfId="0" applyNumberFormat="1" applyFont="1" applyBorder="1" applyAlignment="1"/>
    <xf numFmtId="49" fontId="8" fillId="0" borderId="5" xfId="0" applyNumberFormat="1" applyFont="1" applyBorder="1" applyAlignment="1"/>
    <xf numFmtId="49" fontId="8" fillId="0" borderId="0" xfId="0" applyNumberFormat="1" applyFont="1" applyAlignment="1">
      <alignment horizontal="left" vertical="center"/>
    </xf>
    <xf numFmtId="2" fontId="69" fillId="0" borderId="0" xfId="0" applyNumberFormat="1" applyFont="1"/>
    <xf numFmtId="49" fontId="72" fillId="16" borderId="0" xfId="0" applyNumberFormat="1" applyFont="1" applyFill="1" applyAlignment="1">
      <alignment wrapText="1"/>
    </xf>
    <xf numFmtId="0" fontId="0" fillId="16" borderId="0" xfId="0" applyFill="1"/>
    <xf numFmtId="49" fontId="73" fillId="16" borderId="0" xfId="0" applyNumberFormat="1" applyFont="1" applyFill="1" applyAlignment="1">
      <alignment wrapText="1"/>
    </xf>
  </cellXfs>
  <cellStyles count="41">
    <cellStyle name="_MWA RR_1-pager " xfId="23" xr:uid="{00000000-0005-0000-0000-000000000000}"/>
    <cellStyle name="_RRS1_1_1-pager " xfId="24" xr:uid="{00000000-0005-0000-0000-000001000000}"/>
    <cellStyle name="_RRS10_1_1-pager " xfId="25" xr:uid="{00000000-0005-0000-0000-000002000000}"/>
    <cellStyle name="_SUMMARY " xfId="10" xr:uid="{00000000-0005-0000-0000-000003000000}"/>
    <cellStyle name="_SUMMARY _1-pager " xfId="26" xr:uid="{00000000-0005-0000-0000-000004000000}"/>
    <cellStyle name="0_Capex &amp; Depreciation " xfId="11" xr:uid="{00000000-0005-0000-0000-000005000000}"/>
    <cellStyle name="0_Valuing BP " xfId="12" xr:uid="{00000000-0005-0000-0000-000006000000}"/>
    <cellStyle name="c_HardInc " xfId="13" xr:uid="{00000000-0005-0000-0000-000007000000}"/>
    <cellStyle name="Comma" xfId="1" builtinId="3"/>
    <cellStyle name="Comma 2" xfId="35" xr:uid="{FF6F0330-45C7-48AC-B771-8BCBBE1557C9}"/>
    <cellStyle name="Comma 5" xfId="18" xr:uid="{00000000-0005-0000-0000-000009000000}"/>
    <cellStyle name="Comma 5 2" xfId="38" xr:uid="{E4919957-EA41-4CE3-BFB5-267EE919CD67}"/>
    <cellStyle name="Currency" xfId="2" builtinId="4"/>
    <cellStyle name="Currency 2" xfId="36" xr:uid="{86F2A4DB-5590-4AAF-B7C8-DAAF2288DE47}"/>
    <cellStyle name="Heading 1" xfId="3" builtinId="16" customBuiltin="1"/>
    <cellStyle name="Heading 2" xfId="4" builtinId="17" customBuiltin="1"/>
    <cellStyle name="Heading 3" xfId="5" builtinId="18" customBuiltin="1"/>
    <cellStyle name="Heading 3 2" xfId="37" xr:uid="{59DECB82-92EC-4215-BA58-DF50C8648FC2}"/>
    <cellStyle name="Input" xfId="6" builtinId="20" customBuiltin="1"/>
    <cellStyle name="Millares_2AV_M_M " xfId="27" xr:uid="{00000000-0005-0000-0000-00000F000000}"/>
    <cellStyle name="Moneda [0]_2AV_M_M " xfId="28" xr:uid="{00000000-0005-0000-0000-000010000000}"/>
    <cellStyle name="MS Heading 2" xfId="30" xr:uid="{00000000-0005-0000-0000-000011000000}"/>
    <cellStyle name="MS Shading Alt" xfId="31" xr:uid="{00000000-0005-0000-0000-000012000000}"/>
    <cellStyle name="MS Shading Alt 2" xfId="39" xr:uid="{B60F4683-1145-45EE-97D5-35487F4B5809}"/>
    <cellStyle name="Normal" xfId="0" builtinId="0" customBuiltin="1"/>
    <cellStyle name="Normal 10" xfId="20" xr:uid="{00000000-0005-0000-0000-000014000000}"/>
    <cellStyle name="Normal 2" xfId="32" xr:uid="{00000000-0005-0000-0000-000015000000}"/>
    <cellStyle name="Normal 2 2" xfId="34" xr:uid="{F930EF4D-7D84-499B-A8E4-2815C7EADDD6}"/>
    <cellStyle name="Normal 3" xfId="9" xr:uid="{00000000-0005-0000-0000-000016000000}"/>
    <cellStyle name="Normal 3 2" xfId="21" xr:uid="{00000000-0005-0000-0000-000017000000}"/>
    <cellStyle name="Normal 4" xfId="33" xr:uid="{00000000-0005-0000-0000-000018000000}"/>
    <cellStyle name="Normal 4 2" xfId="40" xr:uid="{531904F0-9B6C-4C17-9B06-708437622B7C}"/>
    <cellStyle name="Normal_ACH Model" xfId="19" xr:uid="{00000000-0005-0000-0000-000019000000}"/>
    <cellStyle name="Normal_NPX" xfId="22" xr:uid="{00000000-0005-0000-0000-00001A000000}"/>
    <cellStyle name="Normal_TEL" xfId="7" xr:uid="{00000000-0005-0000-0000-00001B000000}"/>
    <cellStyle name="p " xfId="14" xr:uid="{00000000-0005-0000-0000-00001C000000}"/>
    <cellStyle name="Percent" xfId="8" builtinId="5"/>
    <cellStyle name="s_HardInc " xfId="15" xr:uid="{00000000-0005-0000-0000-00001E000000}"/>
    <cellStyle name="s_Valuation " xfId="16" xr:uid="{00000000-0005-0000-0000-00001F000000}"/>
    <cellStyle name="ssp " xfId="17" xr:uid="{00000000-0005-0000-0000-000020000000}"/>
    <cellStyle name="표준_0N-HANDLING " xfId="29" xr:uid="{00000000-0005-0000-0000-000021000000}"/>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C00000"/>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C00000"/>
        </patternFill>
      </fill>
    </dxf>
    <dxf>
      <font>
        <color theme="0"/>
      </font>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000000"/>
      <rgbColor rgb="00ED1C24"/>
      <rgbColor rgb="00939598"/>
      <rgbColor rgb="00790008"/>
      <rgbColor rgb="00BEBEBE"/>
      <rgbColor rgb="00FFFFFF"/>
      <rgbColor rgb="00C0C0C0"/>
      <rgbColor rgb="00808080"/>
      <rgbColor rgb="00790008"/>
      <rgbColor rgb="006D6E71"/>
      <rgbColor rgb="00BCBEC0"/>
      <rgbColor rgb="00ED1C24"/>
      <rgbColor rgb="00939598"/>
      <rgbColor rgb="00000000"/>
      <rgbColor rgb="00EC008C"/>
      <rgbColor rgb="0000A651"/>
      <rgbColor rgb="00790008"/>
      <rgbColor rgb="006D6E71"/>
      <rgbColor rgb="00BCBEC0"/>
      <rgbColor rgb="00ED1C24"/>
      <rgbColor rgb="00939598"/>
      <rgbColor rgb="00000000"/>
      <rgbColor rgb="00EC008C"/>
      <rgbColor rgb="0000A651"/>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FF"/>
      <color rgb="FF0000FF"/>
      <color rgb="FFFFFFCC"/>
      <color rgb="FF0060A9"/>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7501312335958"/>
          <c:y val="4.166666666666666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21250064850051423"/>
          <c:y val="0.23333428277296051"/>
          <c:w val="0.59375181198673088"/>
          <c:h val="0.45000183106213809"/>
        </c:manualLayout>
      </c:layout>
      <c:pieChart>
        <c:varyColors val="1"/>
        <c:ser>
          <c:idx val="0"/>
          <c:order val="0"/>
          <c:tx>
            <c:v>2008 Earnings Split</c:v>
          </c:tx>
          <c:dLbls>
            <c:dLbl>
              <c:idx val="0"/>
              <c:layout>
                <c:manualLayout>
                  <c:x val="-0.37957863697349004"/>
                  <c:y val="-0.5366374191805560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666-4DD1-A8A3-B902D624C629}"/>
                </c:ext>
              </c:extLst>
            </c:dLbl>
            <c:dLbl>
              <c:idx val="1"/>
              <c:layout>
                <c:manualLayout>
                  <c:x val="0.10742533925903748"/>
                  <c:y val="-0.14795958067670201"/>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666-4DD1-A8A3-B902D624C629}"/>
                </c:ext>
              </c:extLst>
            </c:dLbl>
            <c:dLbl>
              <c:idx val="2"/>
              <c:layout>
                <c:manualLayout>
                  <c:x val="7.4517313417311604E-2"/>
                  <c:y val="-0.1092531164489880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666-4DD1-A8A3-B902D624C629}"/>
                </c:ext>
              </c:extLst>
            </c:dLbl>
            <c:spPr>
              <a:noFill/>
              <a:ln w="25400">
                <a:noFill/>
              </a:ln>
            </c:spPr>
            <c:txPr>
              <a:bodyPr/>
              <a:lstStyle/>
              <a:p>
                <a:pPr>
                  <a:defRPr sz="6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Lit>
              <c:ptCount val="3"/>
              <c:pt idx="0">
                <c:v>Cement, Lime and Concrete</c:v>
              </c:pt>
              <c:pt idx="1">
                <c:v>Concrete Products</c:v>
              </c:pt>
              <c:pt idx="2">
                <c:v>Other</c:v>
              </c:pt>
            </c:strLit>
          </c:cat>
          <c:val>
            <c:numLit>
              <c:formatCode>General</c:formatCode>
              <c:ptCount val="3"/>
              <c:pt idx="0">
                <c:v>191.8</c:v>
              </c:pt>
              <c:pt idx="1">
                <c:v>8.5</c:v>
              </c:pt>
              <c:pt idx="2">
                <c:v>-11.2</c:v>
              </c:pt>
            </c:numLit>
          </c:val>
          <c:extLst>
            <c:ext xmlns:c16="http://schemas.microsoft.com/office/drawing/2014/chart" uri="{C3380CC4-5D6E-409C-BE32-E72D297353CC}">
              <c16:uniqueId val="{00000003-5666-4DD1-A8A3-B902D624C62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250131233595798"/>
          <c:y val="0.83750349956255465"/>
          <c:w val="0"/>
          <c:h val="4.1666666666666519E-3"/>
        </c:manualLayout>
      </c:layout>
      <c:overlay val="0"/>
      <c:spPr>
        <a:solidFill>
          <a:srgbClr val="FFFFFF"/>
        </a:solidFill>
        <a:ln w="25400">
          <a:noFill/>
        </a:ln>
      </c:spPr>
      <c:txPr>
        <a:bodyPr/>
        <a:lstStyle/>
        <a:p>
          <a:pPr>
            <a:defRPr sz="55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6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dLbl>
              <c:idx val="4"/>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D2-4E6C-B7E9-7943184943A0}"/>
                </c:ext>
              </c:extLst>
            </c:dLbl>
            <c:dLbl>
              <c:idx val="5"/>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6D2-4E6C-B7E9-7943184943A0}"/>
                </c:ext>
              </c:extLst>
            </c:dLbl>
            <c:dLbl>
              <c:idx val="6"/>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6D2-4E6C-B7E9-7943184943A0}"/>
                </c:ext>
              </c:extLst>
            </c:dLbl>
            <c:spPr>
              <a:noFill/>
              <a:ln w="25400">
                <a:noFill/>
              </a:ln>
            </c:spPr>
            <c:txPr>
              <a:bodyPr/>
              <a:lstStyle/>
              <a:p>
                <a:pPr>
                  <a:defRPr sz="6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Lit>
              <c:ptCount val="6"/>
              <c:pt idx="0">
                <c:v>Australia</c:v>
              </c:pt>
              <c:pt idx="1">
                <c:v>Boral Gypsum</c:v>
              </c:pt>
              <c:pt idx="2">
                <c:v>Boral North America</c:v>
              </c:pt>
              <c:pt idx="3">
                <c:v>Discountinued operations</c:v>
              </c:pt>
              <c:pt idx="4">
                <c:v>Unallocated</c:v>
              </c:pt>
              <c:pt idx="5">
                <c:v>Total underlying EBIT</c:v>
              </c:pt>
            </c:strLit>
          </c:cat>
          <c:val>
            <c:numLit>
              <c:formatCode>General</c:formatCode>
              <c:ptCount val="6"/>
              <c:pt idx="0">
                <c:v>53</c:v>
              </c:pt>
              <c:pt idx="1">
                <c:v>0</c:v>
              </c:pt>
              <c:pt idx="2">
                <c:v>0</c:v>
              </c:pt>
              <c:pt idx="3">
                <c:v>1.6</c:v>
              </c:pt>
              <c:pt idx="4">
                <c:v>-4.9000000000000004</c:v>
              </c:pt>
              <c:pt idx="5">
                <c:v>49.7</c:v>
              </c:pt>
            </c:numLit>
          </c:val>
          <c:extLst>
            <c:ext xmlns:c16="http://schemas.microsoft.com/office/drawing/2014/chart" uri="{C3380CC4-5D6E-409C-BE32-E72D297353CC}">
              <c16:uniqueId val="{00000003-16D2-4E6C-B7E9-7943184943A0}"/>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9050279329608939"/>
          <c:y val="0"/>
          <c:w val="4.4692737430167599E-2"/>
          <c:h val="0"/>
        </c:manualLayout>
      </c:layout>
      <c:overlay val="0"/>
      <c:spPr>
        <a:solidFill>
          <a:srgbClr val="FFFFFF"/>
        </a:solidFill>
        <a:ln w="25400">
          <a:noFill/>
        </a:ln>
      </c:spPr>
      <c:txPr>
        <a:bodyPr/>
        <a:lstStyle/>
        <a:p>
          <a:pPr>
            <a:defRPr sz="55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6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hyperlink" Target="#'Fin Sum'!A1"/></Relationships>
</file>

<file path=xl/drawings/_rels/drawing4.xml.rels><?xml version="1.0" encoding="UTF-8" standalone="yes"?>
<Relationships xmlns="http://schemas.openxmlformats.org/package/2006/relationships"><Relationship Id="rId1" Type="http://schemas.openxmlformats.org/officeDocument/2006/relationships/hyperlink" Target="#'Fin Sum'!A1"/></Relationships>
</file>

<file path=xl/drawings/_rels/drawing5.xml.rels><?xml version="1.0" encoding="UTF-8" standalone="yes"?>
<Relationships xmlns="http://schemas.openxmlformats.org/package/2006/relationships"><Relationship Id="rId1" Type="http://schemas.openxmlformats.org/officeDocument/2006/relationships/hyperlink" Target="#'Fin Sum'!A1"/></Relationships>
</file>

<file path=xl/drawings/_rels/drawing6.xml.rels><?xml version="1.0" encoding="UTF-8" standalone="yes"?>
<Relationships xmlns="http://schemas.openxmlformats.org/package/2006/relationships"><Relationship Id="rId1" Type="http://schemas.openxmlformats.org/officeDocument/2006/relationships/hyperlink" Target="#'Fin Sum'!A1"/></Relationships>
</file>

<file path=xl/drawings/_rels/drawing7.xml.rels><?xml version="1.0" encoding="UTF-8" standalone="yes"?>
<Relationships xmlns="http://schemas.openxmlformats.org/package/2006/relationships"><Relationship Id="rId1" Type="http://schemas.openxmlformats.org/officeDocument/2006/relationships/hyperlink" Target="#'Fin Sum'!A1"/></Relationships>
</file>

<file path=xl/drawings/_rels/drawing8.xml.rels><?xml version="1.0" encoding="UTF-8" standalone="yes"?>
<Relationships xmlns="http://schemas.openxmlformats.org/package/2006/relationships"><Relationship Id="rId1" Type="http://schemas.openxmlformats.org/officeDocument/2006/relationships/hyperlink" Target="#'Fin Sum'!A1"/></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664C80B6-877C-883B-E48A-8E591B8EE8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177</xdr:row>
      <xdr:rowOff>0</xdr:rowOff>
    </xdr:from>
    <xdr:to>
      <xdr:col>10</xdr:col>
      <xdr:colOff>527050</xdr:colOff>
      <xdr:row>199</xdr:row>
      <xdr:rowOff>150495</xdr:rowOff>
    </xdr:to>
    <xdr:pic>
      <xdr:nvPicPr>
        <xdr:cNvPr id="5" name="Picture 4">
          <a:extLst>
            <a:ext uri="{FF2B5EF4-FFF2-40B4-BE49-F238E27FC236}">
              <a16:creationId xmlns:a16="http://schemas.microsoft.com/office/drawing/2014/main" id="{B10F2D2D-DF05-F200-0DF8-D27E6F29B3F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0038040"/>
          <a:ext cx="6496050" cy="3838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609600</xdr:colOff>
      <xdr:row>142</xdr:row>
      <xdr:rowOff>85725</xdr:rowOff>
    </xdr:from>
    <xdr:to>
      <xdr:col>2</xdr:col>
      <xdr:colOff>0</xdr:colOff>
      <xdr:row>156</xdr:row>
      <xdr:rowOff>104775</xdr:rowOff>
    </xdr:to>
    <xdr:graphicFrame macro="">
      <xdr:nvGraphicFramePr>
        <xdr:cNvPr id="2" name="Chart 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44824</xdr:colOff>
      <xdr:row>0</xdr:row>
      <xdr:rowOff>134471</xdr:rowOff>
    </xdr:from>
    <xdr:to>
      <xdr:col>3</xdr:col>
      <xdr:colOff>605118</xdr:colOff>
      <xdr:row>2</xdr:row>
      <xdr:rowOff>95825</xdr:rowOff>
    </xdr:to>
    <xdr:pic>
      <xdr:nvPicPr>
        <xdr:cNvPr id="3" name="Picture 4" descr="MS_PCLogo_Gray128">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1706" y="134471"/>
          <a:ext cx="2599765" cy="2751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333375</xdr:colOff>
      <xdr:row>11</xdr:row>
      <xdr:rowOff>0</xdr:rowOff>
    </xdr:from>
    <xdr:to>
      <xdr:col>15</xdr:col>
      <xdr:colOff>0</xdr:colOff>
      <xdr:row>11</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171450</xdr:colOff>
      <xdr:row>2</xdr:row>
      <xdr:rowOff>104775</xdr:rowOff>
    </xdr:to>
    <xdr:sp macro="" textlink="">
      <xdr:nvSpPr>
        <xdr:cNvPr id="2" name="AutoShape 1">
          <a:hlinkClick xmlns:r="http://schemas.openxmlformats.org/officeDocument/2006/relationships" r:id="rId1" tooltip="Financial Summary"/>
          <a:extLst>
            <a:ext uri="{FF2B5EF4-FFF2-40B4-BE49-F238E27FC236}">
              <a16:creationId xmlns:a16="http://schemas.microsoft.com/office/drawing/2014/main" id="{00000000-0008-0000-0100-000002000000}"/>
            </a:ext>
          </a:extLst>
        </xdr:cNvPr>
        <xdr:cNvSpPr>
          <a:spLocks noChangeArrowheads="1"/>
        </xdr:cNvSpPr>
      </xdr:nvSpPr>
      <xdr:spPr bwMode="auto">
        <a:xfrm>
          <a:off x="0" y="0"/>
          <a:ext cx="333375" cy="390525"/>
        </a:xfrm>
        <a:prstGeom prst="actionButtonHome">
          <a:avLst/>
        </a:prstGeom>
        <a:solidFill>
          <a:srgbClr val="002060"/>
        </a:solidFill>
        <a:ln>
          <a:solidFill>
            <a:schemeClr val="bg1"/>
          </a:solidFill>
        </a:ln>
        <a:effectLst/>
      </xdr:spPr>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9525</xdr:rowOff>
    </xdr:from>
    <xdr:to>
      <xdr:col>12</xdr:col>
      <xdr:colOff>180975</xdr:colOff>
      <xdr:row>1</xdr:row>
      <xdr:rowOff>0</xdr:rowOff>
    </xdr:to>
    <xdr:sp macro="[0]!Interestcalc" textlink="">
      <xdr:nvSpPr>
        <xdr:cNvPr id="4" name="Rounded Rectangle 3">
          <a:extLst>
            <a:ext uri="{FF2B5EF4-FFF2-40B4-BE49-F238E27FC236}">
              <a16:creationId xmlns:a16="http://schemas.microsoft.com/office/drawing/2014/main" id="{00000000-0008-0000-0300-000004000000}"/>
            </a:ext>
          </a:extLst>
        </xdr:cNvPr>
        <xdr:cNvSpPr/>
      </xdr:nvSpPr>
      <xdr:spPr>
        <a:xfrm>
          <a:off x="3362325" y="9525"/>
          <a:ext cx="1343025" cy="257175"/>
        </a:xfrm>
        <a:prstGeom prst="roundRect">
          <a:avLst/>
        </a:prstGeom>
        <a:solidFill>
          <a:schemeClr val="bg1">
            <a:lumMod val="50000"/>
          </a:schemeClr>
        </a:solidFill>
        <a:ln>
          <a:noFill/>
        </a:ln>
        <a:scene3d>
          <a:camera prst="orthographicFront"/>
          <a:lightRig rig="threePt" dir="t"/>
        </a:scene3d>
        <a:sp3d contourW="12700" prstMaterial="matte">
          <a:bevelT w="19050"/>
          <a:bevelB w="12700"/>
          <a:contourClr>
            <a:schemeClr val="bg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latin typeface="Arial" panose="020B0604020202020204" pitchFamily="34" charset="0"/>
              <a:cs typeface="Arial" panose="020B0604020202020204" pitchFamily="34" charset="0"/>
            </a:rPr>
            <a:t>Cash</a:t>
          </a:r>
          <a:r>
            <a:rPr lang="en-US" sz="800" b="1" baseline="0">
              <a:latin typeface="Arial" panose="020B0604020202020204" pitchFamily="34" charset="0"/>
              <a:cs typeface="Arial" panose="020B0604020202020204" pitchFamily="34" charset="0"/>
            </a:rPr>
            <a:t> balancer</a:t>
          </a:r>
          <a:endParaRPr lang="en-US" sz="800" b="1">
            <a:latin typeface="Arial" panose="020B0604020202020204" pitchFamily="34" charset="0"/>
            <a:cs typeface="Arial" panose="020B0604020202020204" pitchFamily="34" charset="0"/>
          </a:endParaRPr>
        </a:p>
      </xdr:txBody>
    </xdr:sp>
    <xdr:clientData/>
  </xdr:twoCellAnchor>
  <xdr:twoCellAnchor>
    <xdr:from>
      <xdr:col>0</xdr:col>
      <xdr:colOff>0</xdr:colOff>
      <xdr:row>0</xdr:row>
      <xdr:rowOff>0</xdr:rowOff>
    </xdr:from>
    <xdr:to>
      <xdr:col>1</xdr:col>
      <xdr:colOff>180975</xdr:colOff>
      <xdr:row>1</xdr:row>
      <xdr:rowOff>22412</xdr:rowOff>
    </xdr:to>
    <xdr:sp macro="" textlink="">
      <xdr:nvSpPr>
        <xdr:cNvPr id="5" name="AutoShape 1">
          <a:hlinkClick xmlns:r="http://schemas.openxmlformats.org/officeDocument/2006/relationships" r:id="rId1" tooltip="Financial Summary"/>
          <a:extLst>
            <a:ext uri="{FF2B5EF4-FFF2-40B4-BE49-F238E27FC236}">
              <a16:creationId xmlns:a16="http://schemas.microsoft.com/office/drawing/2014/main" id="{00000000-0008-0000-0300-000005000000}"/>
            </a:ext>
          </a:extLst>
        </xdr:cNvPr>
        <xdr:cNvSpPr>
          <a:spLocks noChangeArrowheads="1"/>
        </xdr:cNvSpPr>
      </xdr:nvSpPr>
      <xdr:spPr bwMode="auto">
        <a:xfrm>
          <a:off x="0" y="0"/>
          <a:ext cx="382681" cy="291353"/>
        </a:xfrm>
        <a:prstGeom prst="actionButtonHome">
          <a:avLst/>
        </a:prstGeom>
        <a:solidFill>
          <a:srgbClr val="002060"/>
        </a:solidFill>
        <a:ln>
          <a:solidFill>
            <a:schemeClr val="bg1"/>
          </a:solidFill>
        </a:ln>
        <a:effec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382681</xdr:colOff>
      <xdr:row>1</xdr:row>
      <xdr:rowOff>134471</xdr:rowOff>
    </xdr:to>
    <xdr:sp macro="" textlink="">
      <xdr:nvSpPr>
        <xdr:cNvPr id="2" name="AutoShape 1">
          <a:hlinkClick xmlns:r="http://schemas.openxmlformats.org/officeDocument/2006/relationships" r:id="rId1" tooltip="Financial Summary"/>
          <a:extLst>
            <a:ext uri="{FF2B5EF4-FFF2-40B4-BE49-F238E27FC236}">
              <a16:creationId xmlns:a16="http://schemas.microsoft.com/office/drawing/2014/main" id="{00000000-0008-0000-0600-000002000000}"/>
            </a:ext>
          </a:extLst>
        </xdr:cNvPr>
        <xdr:cNvSpPr>
          <a:spLocks noChangeArrowheads="1"/>
        </xdr:cNvSpPr>
      </xdr:nvSpPr>
      <xdr:spPr bwMode="auto">
        <a:xfrm>
          <a:off x="0" y="0"/>
          <a:ext cx="382681" cy="291353"/>
        </a:xfrm>
        <a:prstGeom prst="actionButtonHome">
          <a:avLst/>
        </a:prstGeom>
        <a:solidFill>
          <a:srgbClr val="002060"/>
        </a:solidFill>
        <a:ln>
          <a:solidFill>
            <a:schemeClr val="bg1"/>
          </a:solidFill>
        </a:ln>
        <a:effec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382681</xdr:colOff>
      <xdr:row>1</xdr:row>
      <xdr:rowOff>134471</xdr:rowOff>
    </xdr:to>
    <xdr:sp macro="" textlink="">
      <xdr:nvSpPr>
        <xdr:cNvPr id="3" name="AutoShape 1">
          <a:hlinkClick xmlns:r="http://schemas.openxmlformats.org/officeDocument/2006/relationships" r:id="rId1" tooltip="Financial Summary"/>
          <a:extLst>
            <a:ext uri="{FF2B5EF4-FFF2-40B4-BE49-F238E27FC236}">
              <a16:creationId xmlns:a16="http://schemas.microsoft.com/office/drawing/2014/main" id="{00000000-0008-0000-0500-000003000000}"/>
            </a:ext>
          </a:extLst>
        </xdr:cNvPr>
        <xdr:cNvSpPr>
          <a:spLocks noChangeArrowheads="1"/>
        </xdr:cNvSpPr>
      </xdr:nvSpPr>
      <xdr:spPr bwMode="auto">
        <a:xfrm>
          <a:off x="0" y="0"/>
          <a:ext cx="382681" cy="291353"/>
        </a:xfrm>
        <a:prstGeom prst="actionButtonHome">
          <a:avLst/>
        </a:prstGeom>
        <a:solidFill>
          <a:srgbClr val="002060"/>
        </a:solidFill>
        <a:ln>
          <a:solidFill>
            <a:schemeClr val="bg1"/>
          </a:solidFill>
        </a:ln>
        <a:effec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382681</xdr:colOff>
      <xdr:row>1</xdr:row>
      <xdr:rowOff>134471</xdr:rowOff>
    </xdr:to>
    <xdr:sp macro="" textlink="">
      <xdr:nvSpPr>
        <xdr:cNvPr id="2" name="AutoShape 1">
          <a:hlinkClick xmlns:r="http://schemas.openxmlformats.org/officeDocument/2006/relationships" r:id="rId1" tooltip="Financial Summary"/>
          <a:extLst>
            <a:ext uri="{FF2B5EF4-FFF2-40B4-BE49-F238E27FC236}">
              <a16:creationId xmlns:a16="http://schemas.microsoft.com/office/drawing/2014/main" id="{00000000-0008-0000-0700-000002000000}"/>
            </a:ext>
          </a:extLst>
        </xdr:cNvPr>
        <xdr:cNvSpPr>
          <a:spLocks noChangeArrowheads="1"/>
        </xdr:cNvSpPr>
      </xdr:nvSpPr>
      <xdr:spPr bwMode="auto">
        <a:xfrm>
          <a:off x="0" y="0"/>
          <a:ext cx="382681" cy="291353"/>
        </a:xfrm>
        <a:prstGeom prst="actionButtonHome">
          <a:avLst/>
        </a:prstGeom>
        <a:solidFill>
          <a:srgbClr val="002060"/>
        </a:solidFill>
        <a:ln>
          <a:solidFill>
            <a:schemeClr val="bg1"/>
          </a:solidFill>
        </a:ln>
        <a:effec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382681</xdr:colOff>
      <xdr:row>1</xdr:row>
      <xdr:rowOff>134471</xdr:rowOff>
    </xdr:to>
    <xdr:sp macro="" textlink="">
      <xdr:nvSpPr>
        <xdr:cNvPr id="2" name="AutoShape 1">
          <a:hlinkClick xmlns:r="http://schemas.openxmlformats.org/officeDocument/2006/relationships" r:id="rId1" tooltip="Financial Summary"/>
          <a:extLst>
            <a:ext uri="{FF2B5EF4-FFF2-40B4-BE49-F238E27FC236}">
              <a16:creationId xmlns:a16="http://schemas.microsoft.com/office/drawing/2014/main" id="{00000000-0008-0000-0800-000002000000}"/>
            </a:ext>
          </a:extLst>
        </xdr:cNvPr>
        <xdr:cNvSpPr>
          <a:spLocks noChangeArrowheads="1"/>
        </xdr:cNvSpPr>
      </xdr:nvSpPr>
      <xdr:spPr bwMode="auto">
        <a:xfrm>
          <a:off x="0" y="0"/>
          <a:ext cx="382681" cy="291353"/>
        </a:xfrm>
        <a:prstGeom prst="actionButtonHome">
          <a:avLst/>
        </a:prstGeom>
        <a:solidFill>
          <a:srgbClr val="002060"/>
        </a:solidFill>
        <a:ln>
          <a:solidFill>
            <a:schemeClr val="bg1"/>
          </a:solidFill>
        </a:ln>
        <a:effectLst/>
      </xdr:spPr>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dineshs/Desktop/MS_AB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BS, CF and P&amp;L"/>
      <sheetName val="MW-Cache"/>
      <sheetName val="Segments"/>
      <sheetName val="Valuation"/>
      <sheetName val="Fin Summ"/>
      <sheetName val="Chart"/>
      <sheetName val="Charts - New"/>
      <sheetName val="Result comparison"/>
      <sheetName val="Forecast Change"/>
      <sheetName val="Upside Scenario"/>
      <sheetName val="Downside Scenario"/>
      <sheetName val="About"/>
      <sheetName val="AMP Sensitivities"/>
      <sheetName val="Results Announcements"/>
      <sheetName val="mwareDates"/>
      <sheetName val="MWA RR"/>
      <sheetName val="mwareSettings"/>
      <sheetName val="Chg Sum"/>
      <sheetName val="GRD2"/>
      <sheetName val="GRD OLD"/>
      <sheetName val="BS"/>
      <sheetName val="P&amp;L"/>
      <sheetName val="D&amp;A"/>
      <sheetName val="CF"/>
      <sheetName val="Int"/>
      <sheetName val="Tax"/>
      <sheetName val="ShareCap"/>
      <sheetName val="Val"/>
      <sheetName val="Fin Sum old"/>
      <sheetName val="Charts"/>
      <sheetName val="IPP"/>
      <sheetName val="Operations"/>
      <sheetName val="Lime"/>
      <sheetName val="Result Snapshot"/>
      <sheetName val="Returns Sheet"/>
      <sheetName val="Fin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persons/person.xml><?xml version="1.0" encoding="utf-8"?>
<personList xmlns="http://schemas.microsoft.com/office/spreadsheetml/2018/threadedcomments" xmlns:x="http://schemas.openxmlformats.org/spreadsheetml/2006/main">
  <person displayName="Sick, Julianna C (Research)" id="{1ADAFE21-4E15-4CE1-9CFC-7FD8FBA746A0}" userId="S::Julianna.Sick@morganstanley.com::34e60967-76c6-40b7-a838-cb09369d7fd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G18" dT="2023-08-21T00:53:45.20" personId="{1ADAFE21-4E15-4CE1-9CFC-7FD8FBA746A0}" id="{7AD2FE30-E3B7-418E-A0D3-E07A8F43F35B}">
    <text>1,243.8</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33C96-3DE9-45F5-A1D0-9D1C2D66F702}">
  <dimension ref="B2:B9"/>
  <sheetViews>
    <sheetView showGridLines="0" showRowColHeaders="0" tabSelected="1" workbookViewId="0">
      <selection activeCell="Z1" sqref="Z1"/>
    </sheetView>
  </sheetViews>
  <sheetFormatPr defaultRowHeight="13.2"/>
  <cols>
    <col min="1" max="1" width="8.88671875" style="672"/>
    <col min="2" max="2" width="101.109375" style="672" customWidth="1"/>
    <col min="3" max="16384" width="8.88671875" style="672"/>
  </cols>
  <sheetData>
    <row r="2" spans="2:2" ht="52.2">
      <c r="B2" s="671" t="s">
        <v>945</v>
      </c>
    </row>
    <row r="3" spans="2:2" ht="17.399999999999999">
      <c r="B3" s="671"/>
    </row>
    <row r="4" spans="2:2" ht="17.399999999999999">
      <c r="B4" s="671"/>
    </row>
    <row r="5" spans="2:2" ht="17.399999999999999">
      <c r="B5" s="671" t="s">
        <v>946</v>
      </c>
    </row>
    <row r="6" spans="2:2" ht="17.399999999999999">
      <c r="B6" s="671" t="s">
        <v>947</v>
      </c>
    </row>
    <row r="7" spans="2:2" ht="17.399999999999999">
      <c r="B7" s="671" t="s">
        <v>948</v>
      </c>
    </row>
    <row r="8" spans="2:2" ht="17.399999999999999">
      <c r="B8" s="671"/>
    </row>
    <row r="9" spans="2:2" ht="34.799999999999997">
      <c r="B9" s="673" t="s">
        <v>949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DB0AB-AB8A-4FD9-9342-A8F6855C384B}">
  <dimension ref="A1:H428"/>
  <sheetViews>
    <sheetView showGridLines="0" workbookViewId="0">
      <selection activeCell="Z1" sqref="Z1"/>
    </sheetView>
  </sheetViews>
  <sheetFormatPr defaultRowHeight="13.2"/>
  <sheetData>
    <row r="1" spans="1:8" ht="23.25" customHeight="1">
      <c r="A1" s="669"/>
      <c r="B1" s="665"/>
      <c r="C1" s="665"/>
      <c r="D1" s="665"/>
      <c r="E1" s="665"/>
      <c r="F1" s="665"/>
      <c r="G1" s="665"/>
      <c r="H1" s="665"/>
    </row>
    <row r="2" spans="1:8">
      <c r="A2" s="663" t="s">
        <v>527</v>
      </c>
      <c r="B2" s="665"/>
      <c r="C2" s="665"/>
      <c r="D2" s="665"/>
      <c r="E2" s="665"/>
      <c r="F2" s="665"/>
      <c r="G2" s="665"/>
      <c r="H2" s="665"/>
    </row>
    <row r="3" spans="1:8">
      <c r="A3" s="663" t="s">
        <v>528</v>
      </c>
      <c r="B3" s="665"/>
      <c r="C3" s="665"/>
      <c r="D3" s="665"/>
      <c r="E3" s="665"/>
      <c r="F3" s="665"/>
      <c r="G3" s="665"/>
      <c r="H3" s="665"/>
    </row>
    <row r="4" spans="1:8">
      <c r="A4" s="663" t="s">
        <v>529</v>
      </c>
      <c r="B4" s="665"/>
      <c r="C4" s="665"/>
      <c r="D4" s="665"/>
      <c r="E4" s="665"/>
      <c r="F4" s="665"/>
      <c r="G4" s="665"/>
      <c r="H4" s="665"/>
    </row>
    <row r="5" spans="1:8">
      <c r="A5" s="663" t="s">
        <v>530</v>
      </c>
      <c r="B5" s="665"/>
      <c r="C5" s="665"/>
      <c r="D5" s="665"/>
      <c r="E5" s="665"/>
      <c r="F5" s="665"/>
      <c r="G5" s="665"/>
      <c r="H5" s="665"/>
    </row>
    <row r="6" spans="1:8">
      <c r="A6" s="663"/>
      <c r="B6" s="665"/>
      <c r="C6" s="665"/>
      <c r="D6" s="665"/>
      <c r="E6" s="665"/>
      <c r="F6" s="665"/>
      <c r="G6" s="665"/>
      <c r="H6" s="665"/>
    </row>
    <row r="7" spans="1:8">
      <c r="A7" s="663" t="s">
        <v>531</v>
      </c>
      <c r="B7" s="665"/>
      <c r="C7" s="665"/>
      <c r="D7" s="665"/>
      <c r="E7" s="665"/>
      <c r="F7" s="665"/>
      <c r="G7" s="665"/>
      <c r="H7" s="665"/>
    </row>
    <row r="8" spans="1:8">
      <c r="A8" s="663" t="s">
        <v>532</v>
      </c>
      <c r="B8" s="665"/>
      <c r="C8" s="665"/>
      <c r="D8" s="665"/>
      <c r="E8" s="665"/>
      <c r="F8" s="665"/>
      <c r="G8" s="665"/>
      <c r="H8" s="665"/>
    </row>
    <row r="9" spans="1:8">
      <c r="A9" s="663"/>
      <c r="B9" s="665"/>
      <c r="C9" s="665"/>
      <c r="D9" s="665"/>
      <c r="E9" s="665"/>
      <c r="F9" s="665"/>
      <c r="G9" s="665"/>
      <c r="H9" s="665"/>
    </row>
    <row r="10" spans="1:8">
      <c r="A10" s="663" t="s">
        <v>533</v>
      </c>
      <c r="B10" s="665"/>
      <c r="C10" s="665"/>
      <c r="D10" s="665"/>
      <c r="E10" s="665"/>
      <c r="F10" s="665"/>
      <c r="G10" s="665"/>
      <c r="H10" s="665"/>
    </row>
    <row r="11" spans="1:8">
      <c r="A11" s="663" t="s">
        <v>534</v>
      </c>
      <c r="B11" s="665"/>
      <c r="C11" s="665"/>
      <c r="D11" s="665"/>
      <c r="E11" s="665"/>
      <c r="F11" s="665"/>
      <c r="G11" s="665"/>
      <c r="H11" s="665"/>
    </row>
    <row r="12" spans="1:8">
      <c r="A12" s="663" t="s">
        <v>535</v>
      </c>
      <c r="B12" s="665"/>
      <c r="C12" s="665"/>
      <c r="D12" s="665"/>
      <c r="E12" s="665"/>
      <c r="F12" s="665"/>
      <c r="G12" s="665"/>
      <c r="H12" s="665"/>
    </row>
    <row r="13" spans="1:8">
      <c r="A13" s="663" t="s">
        <v>536</v>
      </c>
      <c r="B13" s="665"/>
      <c r="C13" s="665"/>
      <c r="D13" s="665"/>
      <c r="E13" s="665"/>
      <c r="F13" s="665"/>
      <c r="G13" s="665"/>
      <c r="H13" s="665"/>
    </row>
    <row r="14" spans="1:8">
      <c r="A14" s="663" t="s">
        <v>537</v>
      </c>
      <c r="B14" s="665"/>
      <c r="C14" s="665"/>
      <c r="D14" s="665"/>
      <c r="E14" s="665"/>
      <c r="F14" s="665"/>
      <c r="G14" s="665"/>
      <c r="H14" s="665"/>
    </row>
    <row r="15" spans="1:8">
      <c r="A15" s="663" t="s">
        <v>538</v>
      </c>
      <c r="B15" s="665"/>
      <c r="C15" s="665"/>
      <c r="D15" s="665"/>
      <c r="E15" s="665"/>
      <c r="F15" s="665"/>
      <c r="G15" s="665"/>
      <c r="H15" s="665"/>
    </row>
    <row r="16" spans="1:8">
      <c r="A16" s="663"/>
      <c r="B16" s="665"/>
      <c r="C16" s="665"/>
      <c r="D16" s="665"/>
      <c r="E16" s="665"/>
      <c r="F16" s="665"/>
      <c r="G16" s="665"/>
      <c r="H16" s="665"/>
    </row>
    <row r="17" spans="1:8">
      <c r="A17" s="663" t="s">
        <v>539</v>
      </c>
      <c r="B17" s="665"/>
      <c r="C17" s="665"/>
      <c r="D17" s="665"/>
      <c r="E17" s="665"/>
      <c r="F17" s="665"/>
      <c r="G17" s="665"/>
      <c r="H17" s="665"/>
    </row>
    <row r="18" spans="1:8">
      <c r="A18" s="663"/>
      <c r="B18" s="665"/>
      <c r="C18" s="665"/>
      <c r="D18" s="665"/>
      <c r="E18" s="665"/>
      <c r="F18" s="665"/>
      <c r="G18" s="665"/>
      <c r="H18" s="665"/>
    </row>
    <row r="19" spans="1:8">
      <c r="A19" s="663" t="s">
        <v>540</v>
      </c>
      <c r="B19" s="665"/>
      <c r="C19" s="665"/>
      <c r="D19" s="665"/>
      <c r="E19" s="665"/>
      <c r="F19" s="665"/>
      <c r="G19" s="665"/>
      <c r="H19" s="665"/>
    </row>
    <row r="20" spans="1:8">
      <c r="A20" s="663"/>
      <c r="B20" s="665"/>
      <c r="C20" s="665"/>
      <c r="D20" s="665"/>
      <c r="E20" s="665"/>
      <c r="F20" s="665"/>
      <c r="G20" s="665"/>
      <c r="H20" s="665"/>
    </row>
    <row r="21" spans="1:8">
      <c r="A21" s="664" t="s">
        <v>541</v>
      </c>
      <c r="B21" s="665"/>
      <c r="C21" s="665"/>
      <c r="D21" s="665"/>
      <c r="E21" s="665"/>
      <c r="F21" s="665"/>
      <c r="G21" s="665"/>
      <c r="H21" s="665"/>
    </row>
    <row r="22" spans="1:8">
      <c r="A22" s="665"/>
      <c r="B22" s="665"/>
      <c r="C22" s="665"/>
      <c r="D22" s="665"/>
      <c r="E22" s="665"/>
      <c r="F22" s="665"/>
      <c r="G22" s="665"/>
      <c r="H22" s="665"/>
    </row>
    <row r="23" spans="1:8">
      <c r="A23" s="665" t="s">
        <v>542</v>
      </c>
      <c r="B23" s="665"/>
      <c r="C23" s="665"/>
      <c r="D23" s="665"/>
      <c r="E23" s="665"/>
      <c r="F23" s="665"/>
      <c r="G23" s="665"/>
      <c r="H23" s="665"/>
    </row>
    <row r="24" spans="1:8">
      <c r="A24" s="665" t="s">
        <v>543</v>
      </c>
      <c r="B24" s="665"/>
      <c r="C24" s="665"/>
      <c r="D24" s="665"/>
      <c r="E24" s="665"/>
      <c r="F24" s="665"/>
      <c r="G24" s="665"/>
      <c r="H24" s="665"/>
    </row>
    <row r="25" spans="1:8">
      <c r="A25" s="665" t="s">
        <v>544</v>
      </c>
      <c r="B25" s="665"/>
      <c r="C25" s="665"/>
      <c r="D25" s="665"/>
      <c r="E25" s="665"/>
      <c r="F25" s="665"/>
      <c r="G25" s="665"/>
      <c r="H25" s="665"/>
    </row>
    <row r="26" spans="1:8">
      <c r="A26" s="665" t="s">
        <v>545</v>
      </c>
      <c r="B26" s="665"/>
      <c r="C26" s="665"/>
      <c r="D26" s="665"/>
      <c r="E26" s="665"/>
      <c r="F26" s="665"/>
      <c r="G26" s="665"/>
      <c r="H26" s="665"/>
    </row>
    <row r="27" spans="1:8">
      <c r="A27" s="665"/>
      <c r="B27" s="665"/>
      <c r="C27" s="665"/>
      <c r="D27" s="665"/>
      <c r="E27" s="665"/>
      <c r="F27" s="665"/>
      <c r="G27" s="665"/>
      <c r="H27" s="665"/>
    </row>
    <row r="28" spans="1:8">
      <c r="A28" s="665" t="s">
        <v>546</v>
      </c>
      <c r="B28" s="665"/>
      <c r="C28" s="665"/>
      <c r="D28" s="665"/>
      <c r="E28" s="665"/>
      <c r="F28" s="665"/>
      <c r="G28" s="665"/>
      <c r="H28" s="665"/>
    </row>
    <row r="29" spans="1:8">
      <c r="A29" s="665" t="s">
        <v>547</v>
      </c>
      <c r="B29" s="665"/>
      <c r="C29" s="665"/>
      <c r="D29" s="665"/>
      <c r="E29" s="665"/>
      <c r="F29" s="665"/>
      <c r="G29" s="665"/>
      <c r="H29" s="665"/>
    </row>
    <row r="30" spans="1:8">
      <c r="A30" s="665" t="s">
        <v>548</v>
      </c>
      <c r="B30" s="665"/>
      <c r="C30" s="665"/>
      <c r="D30" s="665"/>
      <c r="E30" s="665"/>
      <c r="F30" s="665"/>
      <c r="G30" s="665"/>
      <c r="H30" s="665"/>
    </row>
    <row r="31" spans="1:8">
      <c r="A31" s="665" t="s">
        <v>549</v>
      </c>
      <c r="B31" s="665"/>
      <c r="C31" s="665"/>
      <c r="D31" s="665"/>
      <c r="E31" s="665"/>
      <c r="F31" s="665"/>
      <c r="G31" s="665"/>
      <c r="H31" s="665"/>
    </row>
    <row r="32" spans="1:8">
      <c r="A32" s="665" t="s">
        <v>550</v>
      </c>
      <c r="B32" s="665"/>
      <c r="C32" s="665"/>
      <c r="D32" s="665"/>
      <c r="E32" s="665"/>
      <c r="F32" s="665"/>
      <c r="G32" s="665"/>
      <c r="H32" s="665"/>
    </row>
    <row r="33" spans="1:8">
      <c r="A33" s="665" t="s">
        <v>551</v>
      </c>
      <c r="B33" s="665"/>
      <c r="C33" s="665"/>
      <c r="D33" s="665"/>
      <c r="E33" s="665"/>
      <c r="F33" s="665"/>
      <c r="G33" s="665"/>
      <c r="H33" s="665"/>
    </row>
    <row r="34" spans="1:8">
      <c r="A34" s="665" t="s">
        <v>552</v>
      </c>
      <c r="B34" s="665"/>
      <c r="C34" s="665"/>
      <c r="D34" s="665"/>
      <c r="E34" s="665"/>
      <c r="F34" s="665"/>
      <c r="G34" s="665"/>
      <c r="H34" s="665"/>
    </row>
    <row r="35" spans="1:8">
      <c r="A35" s="665" t="s">
        <v>553</v>
      </c>
      <c r="B35" s="665"/>
      <c r="C35" s="665"/>
      <c r="D35" s="665"/>
      <c r="E35" s="665"/>
      <c r="F35" s="665"/>
      <c r="G35" s="665"/>
      <c r="H35" s="665"/>
    </row>
    <row r="36" spans="1:8">
      <c r="A36" s="665" t="s">
        <v>554</v>
      </c>
      <c r="B36" s="665"/>
      <c r="C36" s="665"/>
      <c r="D36" s="665"/>
      <c r="E36" s="665"/>
      <c r="F36" s="665"/>
      <c r="G36" s="665"/>
      <c r="H36" s="665"/>
    </row>
    <row r="37" spans="1:8">
      <c r="A37" s="665" t="s">
        <v>555</v>
      </c>
      <c r="B37" s="665"/>
      <c r="C37" s="665"/>
      <c r="D37" s="665"/>
      <c r="E37" s="665"/>
      <c r="F37" s="665"/>
      <c r="G37" s="665"/>
      <c r="H37" s="665"/>
    </row>
    <row r="38" spans="1:8">
      <c r="A38" s="665" t="s">
        <v>556</v>
      </c>
      <c r="B38" s="665"/>
      <c r="C38" s="665"/>
      <c r="D38" s="665"/>
      <c r="E38" s="665"/>
      <c r="F38" s="665"/>
      <c r="G38" s="665"/>
      <c r="H38" s="665"/>
    </row>
    <row r="39" spans="1:8">
      <c r="A39" s="665" t="s">
        <v>557</v>
      </c>
      <c r="B39" s="665"/>
      <c r="C39" s="665"/>
      <c r="D39" s="665"/>
      <c r="E39" s="665"/>
      <c r="F39" s="665"/>
      <c r="G39" s="665"/>
      <c r="H39" s="665"/>
    </row>
    <row r="40" spans="1:8">
      <c r="A40" s="665" t="s">
        <v>558</v>
      </c>
      <c r="B40" s="665"/>
      <c r="C40" s="665"/>
      <c r="D40" s="665"/>
      <c r="E40" s="665"/>
      <c r="F40" s="665"/>
      <c r="G40" s="665"/>
      <c r="H40" s="665"/>
    </row>
    <row r="41" spans="1:8">
      <c r="A41" s="665" t="s">
        <v>559</v>
      </c>
      <c r="B41" s="665"/>
      <c r="C41" s="665"/>
      <c r="D41" s="665"/>
      <c r="E41" s="665"/>
      <c r="F41" s="665"/>
      <c r="G41" s="665"/>
      <c r="H41" s="665"/>
    </row>
    <row r="42" spans="1:8">
      <c r="A42" s="665" t="s">
        <v>560</v>
      </c>
      <c r="B42" s="665"/>
      <c r="C42" s="665"/>
      <c r="D42" s="665"/>
      <c r="E42" s="665"/>
      <c r="F42" s="665"/>
      <c r="G42" s="665"/>
      <c r="H42" s="665"/>
    </row>
    <row r="43" spans="1:8">
      <c r="A43" s="665" t="s">
        <v>561</v>
      </c>
      <c r="B43" s="665"/>
      <c r="C43" s="665"/>
      <c r="D43" s="665"/>
      <c r="E43" s="665"/>
      <c r="F43" s="665"/>
      <c r="G43" s="665"/>
      <c r="H43" s="665"/>
    </row>
    <row r="44" spans="1:8">
      <c r="A44" s="665" t="s">
        <v>562</v>
      </c>
      <c r="B44" s="665"/>
      <c r="C44" s="665"/>
      <c r="D44" s="665"/>
      <c r="E44" s="665"/>
      <c r="F44" s="665"/>
      <c r="G44" s="665"/>
      <c r="H44" s="665"/>
    </row>
    <row r="45" spans="1:8">
      <c r="A45" s="665" t="s">
        <v>563</v>
      </c>
      <c r="B45" s="665"/>
      <c r="C45" s="665"/>
      <c r="D45" s="665"/>
      <c r="E45" s="665"/>
      <c r="F45" s="665"/>
      <c r="G45" s="665"/>
      <c r="H45" s="665"/>
    </row>
    <row r="46" spans="1:8">
      <c r="A46" s="665" t="s">
        <v>564</v>
      </c>
      <c r="B46" s="665"/>
      <c r="C46" s="665"/>
      <c r="D46" s="665"/>
      <c r="E46" s="665"/>
      <c r="F46" s="665"/>
      <c r="G46" s="665"/>
      <c r="H46" s="665"/>
    </row>
    <row r="47" spans="1:8">
      <c r="A47" s="665" t="s">
        <v>565</v>
      </c>
      <c r="B47" s="665"/>
      <c r="C47" s="665"/>
      <c r="D47" s="665"/>
      <c r="E47" s="665"/>
      <c r="F47" s="665"/>
      <c r="G47" s="665"/>
      <c r="H47" s="665"/>
    </row>
    <row r="48" spans="1:8">
      <c r="A48" s="665" t="s">
        <v>566</v>
      </c>
      <c r="B48" s="665"/>
      <c r="C48" s="665"/>
      <c r="D48" s="665"/>
      <c r="E48" s="665"/>
      <c r="F48" s="665"/>
      <c r="G48" s="665"/>
      <c r="H48" s="665"/>
    </row>
    <row r="49" spans="1:8">
      <c r="A49" s="665" t="s">
        <v>567</v>
      </c>
      <c r="B49" s="665"/>
      <c r="C49" s="665"/>
      <c r="D49" s="665"/>
      <c r="E49" s="665"/>
      <c r="F49" s="665"/>
      <c r="G49" s="665"/>
      <c r="H49" s="665"/>
    </row>
    <row r="50" spans="1:8">
      <c r="A50" s="665" t="s">
        <v>568</v>
      </c>
      <c r="B50" s="665"/>
      <c r="C50" s="665"/>
      <c r="D50" s="665"/>
      <c r="E50" s="665"/>
      <c r="F50" s="665"/>
      <c r="G50" s="665"/>
      <c r="H50" s="665"/>
    </row>
    <row r="51" spans="1:8">
      <c r="A51" s="665"/>
      <c r="B51" s="665"/>
      <c r="C51" s="665"/>
      <c r="D51" s="665"/>
      <c r="E51" s="665"/>
      <c r="F51" s="665"/>
      <c r="G51" s="665"/>
      <c r="H51" s="665"/>
    </row>
    <row r="52" spans="1:8">
      <c r="A52" s="665" t="s">
        <v>569</v>
      </c>
      <c r="B52" s="665"/>
      <c r="C52" s="665"/>
      <c r="D52" s="665"/>
      <c r="E52" s="665"/>
      <c r="F52" s="665"/>
      <c r="G52" s="665"/>
      <c r="H52" s="665"/>
    </row>
    <row r="53" spans="1:8">
      <c r="A53" s="665" t="s">
        <v>570</v>
      </c>
      <c r="B53" s="665"/>
      <c r="C53" s="665"/>
      <c r="D53" s="665"/>
      <c r="E53" s="665"/>
      <c r="F53" s="665"/>
      <c r="G53" s="665"/>
      <c r="H53" s="665"/>
    </row>
    <row r="54" spans="1:8">
      <c r="A54" s="665" t="s">
        <v>571</v>
      </c>
      <c r="B54" s="665"/>
      <c r="C54" s="665"/>
      <c r="D54" s="665"/>
      <c r="E54" s="665"/>
      <c r="F54" s="665"/>
      <c r="G54" s="665"/>
      <c r="H54" s="665"/>
    </row>
    <row r="55" spans="1:8">
      <c r="A55" s="665" t="s">
        <v>572</v>
      </c>
      <c r="B55" s="665"/>
      <c r="C55" s="665"/>
      <c r="D55" s="665"/>
      <c r="E55" s="665"/>
      <c r="F55" s="665"/>
      <c r="G55" s="665"/>
      <c r="H55" s="665"/>
    </row>
    <row r="56" spans="1:8">
      <c r="A56" s="665"/>
      <c r="B56" s="665"/>
      <c r="C56" s="665"/>
      <c r="D56" s="665"/>
      <c r="E56" s="665"/>
      <c r="F56" s="665"/>
      <c r="G56" s="665"/>
      <c r="H56" s="665"/>
    </row>
    <row r="57" spans="1:8">
      <c r="A57" s="665" t="s">
        <v>573</v>
      </c>
      <c r="B57" s="665"/>
      <c r="C57" s="665"/>
      <c r="D57" s="665"/>
      <c r="E57" s="665"/>
      <c r="F57" s="665"/>
      <c r="G57" s="665"/>
      <c r="H57" s="665"/>
    </row>
    <row r="58" spans="1:8">
      <c r="A58" s="665" t="s">
        <v>574</v>
      </c>
      <c r="B58" s="665"/>
      <c r="C58" s="665"/>
      <c r="D58" s="665"/>
      <c r="E58" s="665"/>
      <c r="F58" s="665"/>
      <c r="G58" s="665"/>
      <c r="H58" s="665"/>
    </row>
    <row r="59" spans="1:8">
      <c r="A59" s="665" t="s">
        <v>575</v>
      </c>
      <c r="B59" s="665"/>
      <c r="C59" s="665"/>
      <c r="D59" s="665"/>
      <c r="E59" s="665"/>
      <c r="F59" s="665"/>
      <c r="G59" s="665"/>
      <c r="H59" s="665"/>
    </row>
    <row r="60" spans="1:8">
      <c r="A60" s="665" t="s">
        <v>576</v>
      </c>
      <c r="B60" s="665"/>
      <c r="C60" s="665"/>
      <c r="D60" s="665"/>
      <c r="E60" s="665"/>
      <c r="F60" s="665"/>
      <c r="G60" s="665"/>
      <c r="H60" s="665"/>
    </row>
    <row r="61" spans="1:8">
      <c r="A61" s="665" t="s">
        <v>577</v>
      </c>
      <c r="B61" s="665"/>
      <c r="C61" s="665"/>
      <c r="D61" s="665"/>
      <c r="E61" s="665"/>
      <c r="F61" s="665"/>
      <c r="G61" s="665"/>
      <c r="H61" s="665"/>
    </row>
    <row r="62" spans="1:8">
      <c r="A62" s="665" t="s">
        <v>578</v>
      </c>
      <c r="B62" s="665"/>
      <c r="C62" s="665"/>
      <c r="D62" s="665"/>
      <c r="E62" s="665"/>
      <c r="F62" s="665"/>
      <c r="G62" s="665"/>
      <c r="H62" s="665"/>
    </row>
    <row r="63" spans="1:8">
      <c r="A63" s="665"/>
      <c r="B63" s="665"/>
      <c r="C63" s="665"/>
      <c r="D63" s="665"/>
      <c r="E63" s="665"/>
      <c r="F63" s="665"/>
      <c r="G63" s="665"/>
      <c r="H63" s="665"/>
    </row>
    <row r="64" spans="1:8" ht="15.6">
      <c r="A64" s="666" t="s">
        <v>579</v>
      </c>
      <c r="B64" s="665"/>
      <c r="C64" s="665"/>
      <c r="D64" s="665"/>
      <c r="E64" s="665"/>
      <c r="F64" s="665"/>
      <c r="G64" s="665"/>
      <c r="H64" s="665"/>
    </row>
    <row r="65" spans="1:8">
      <c r="A65" s="665"/>
      <c r="B65" s="665"/>
      <c r="C65" s="665"/>
      <c r="D65" s="665"/>
      <c r="E65" s="665"/>
      <c r="F65" s="665"/>
      <c r="G65" s="665"/>
      <c r="H65" s="665"/>
    </row>
    <row r="66" spans="1:8">
      <c r="A66" s="665" t="s">
        <v>580</v>
      </c>
      <c r="B66" s="665"/>
      <c r="C66" s="665"/>
      <c r="D66" s="665"/>
      <c r="E66" s="665"/>
      <c r="F66" s="665"/>
      <c r="G66" s="665"/>
      <c r="H66" s="665"/>
    </row>
    <row r="67" spans="1:8">
      <c r="A67" s="665" t="s">
        <v>581</v>
      </c>
      <c r="B67" s="665"/>
      <c r="C67" s="665"/>
      <c r="D67" s="665"/>
      <c r="E67" s="665"/>
      <c r="F67" s="665"/>
      <c r="G67" s="665"/>
      <c r="H67" s="665"/>
    </row>
    <row r="68" spans="1:8">
      <c r="A68" s="665" t="s">
        <v>582</v>
      </c>
      <c r="B68" s="665"/>
      <c r="C68" s="665"/>
      <c r="D68" s="665"/>
      <c r="E68" s="665"/>
      <c r="F68" s="665"/>
      <c r="G68" s="665"/>
      <c r="H68" s="665"/>
    </row>
    <row r="69" spans="1:8">
      <c r="A69" s="665" t="s">
        <v>583</v>
      </c>
      <c r="B69" s="665"/>
      <c r="C69" s="665"/>
      <c r="D69" s="665"/>
      <c r="E69" s="665"/>
      <c r="F69" s="665"/>
      <c r="G69" s="665"/>
      <c r="H69" s="665"/>
    </row>
    <row r="70" spans="1:8">
      <c r="A70" s="665"/>
      <c r="B70" s="665"/>
      <c r="C70" s="665"/>
      <c r="D70" s="665"/>
      <c r="E70" s="665"/>
      <c r="F70" s="665"/>
      <c r="G70" s="665"/>
      <c r="H70" s="665"/>
    </row>
    <row r="71" spans="1:8">
      <c r="A71" s="665" t="s">
        <v>584</v>
      </c>
      <c r="B71" s="665"/>
      <c r="C71" s="665"/>
      <c r="D71" s="665"/>
      <c r="E71" s="665"/>
      <c r="F71" s="665"/>
      <c r="G71" s="665"/>
      <c r="H71" s="665"/>
    </row>
    <row r="72" spans="1:8">
      <c r="A72" s="665"/>
      <c r="B72" s="665"/>
      <c r="C72" s="665"/>
      <c r="D72" s="665"/>
      <c r="E72" s="665"/>
      <c r="F72" s="665"/>
      <c r="G72" s="665"/>
      <c r="H72" s="665"/>
    </row>
    <row r="73" spans="1:8" ht="15.6">
      <c r="A73" s="666" t="s">
        <v>585</v>
      </c>
      <c r="B73" s="665"/>
      <c r="C73" s="665"/>
      <c r="D73" s="665"/>
      <c r="E73" s="665"/>
      <c r="F73" s="665"/>
      <c r="G73" s="665"/>
      <c r="H73" s="665"/>
    </row>
    <row r="74" spans="1:8">
      <c r="A74" s="665"/>
      <c r="B74" s="665"/>
      <c r="C74" s="665"/>
      <c r="D74" s="665"/>
      <c r="E74" s="665"/>
      <c r="F74" s="665"/>
      <c r="G74" s="665"/>
      <c r="H74" s="665"/>
    </row>
    <row r="75" spans="1:8">
      <c r="A75" s="665" t="s">
        <v>586</v>
      </c>
      <c r="B75" s="665"/>
      <c r="C75" s="665"/>
      <c r="D75" s="665"/>
      <c r="E75" s="665"/>
      <c r="F75" s="665"/>
      <c r="G75" s="665"/>
      <c r="H75" s="665"/>
    </row>
    <row r="76" spans="1:8">
      <c r="A76" s="665" t="s">
        <v>587</v>
      </c>
      <c r="B76" s="665"/>
      <c r="C76" s="665"/>
      <c r="D76" s="665"/>
      <c r="E76" s="665"/>
      <c r="F76" s="665"/>
      <c r="G76" s="665"/>
      <c r="H76" s="665"/>
    </row>
    <row r="77" spans="1:8">
      <c r="A77" s="665" t="s">
        <v>588</v>
      </c>
      <c r="B77" s="665"/>
      <c r="C77" s="665"/>
      <c r="D77" s="665"/>
      <c r="E77" s="665"/>
      <c r="F77" s="665"/>
      <c r="G77" s="665"/>
      <c r="H77" s="665"/>
    </row>
    <row r="78" spans="1:8">
      <c r="A78" s="665"/>
      <c r="B78" s="665"/>
      <c r="C78" s="665"/>
      <c r="D78" s="665"/>
      <c r="E78" s="665"/>
      <c r="F78" s="665"/>
      <c r="G78" s="665"/>
      <c r="H78" s="665"/>
    </row>
    <row r="79" spans="1:8" ht="15.6">
      <c r="A79" s="666" t="s">
        <v>589</v>
      </c>
      <c r="B79" s="665"/>
      <c r="C79" s="665"/>
      <c r="D79" s="665"/>
      <c r="E79" s="665"/>
      <c r="F79" s="665"/>
      <c r="G79" s="665"/>
      <c r="H79" s="665"/>
    </row>
    <row r="80" spans="1:8">
      <c r="A80" s="665"/>
      <c r="B80" s="665"/>
      <c r="C80" s="665"/>
      <c r="D80" s="665"/>
      <c r="E80" s="665"/>
      <c r="F80" s="665"/>
      <c r="G80" s="665"/>
      <c r="H80" s="665"/>
    </row>
    <row r="81" spans="1:8">
      <c r="A81" s="665" t="s">
        <v>590</v>
      </c>
      <c r="B81" s="665"/>
      <c r="C81" s="665"/>
      <c r="D81" s="665"/>
      <c r="E81" s="665"/>
      <c r="F81" s="665"/>
      <c r="G81" s="665"/>
      <c r="H81" s="665"/>
    </row>
    <row r="82" spans="1:8">
      <c r="A82" s="665" t="s">
        <v>591</v>
      </c>
      <c r="B82" s="665"/>
      <c r="C82" s="665"/>
      <c r="D82" s="665"/>
      <c r="E82" s="665"/>
      <c r="F82" s="665"/>
      <c r="G82" s="665"/>
      <c r="H82" s="665"/>
    </row>
    <row r="83" spans="1:8">
      <c r="A83" s="665" t="s">
        <v>592</v>
      </c>
      <c r="B83" s="665"/>
      <c r="C83" s="665"/>
      <c r="D83" s="665"/>
      <c r="E83" s="665"/>
      <c r="F83" s="665"/>
      <c r="G83" s="665"/>
      <c r="H83" s="665"/>
    </row>
    <row r="84" spans="1:8">
      <c r="A84" s="665" t="s">
        <v>593</v>
      </c>
      <c r="B84" s="665"/>
      <c r="C84" s="665"/>
      <c r="D84" s="665"/>
      <c r="E84" s="665"/>
      <c r="F84" s="665"/>
      <c r="G84" s="665"/>
      <c r="H84" s="665"/>
    </row>
    <row r="85" spans="1:8">
      <c r="A85" s="665" t="s">
        <v>594</v>
      </c>
      <c r="B85" s="665"/>
      <c r="C85" s="665"/>
      <c r="D85" s="665"/>
      <c r="E85" s="665"/>
      <c r="F85" s="665"/>
      <c r="G85" s="665"/>
      <c r="H85" s="665"/>
    </row>
    <row r="86" spans="1:8">
      <c r="A86" s="665" t="s">
        <v>595</v>
      </c>
      <c r="B86" s="665"/>
      <c r="C86" s="665"/>
      <c r="D86" s="665"/>
      <c r="E86" s="665"/>
      <c r="F86" s="665"/>
      <c r="G86" s="665"/>
      <c r="H86" s="665"/>
    </row>
    <row r="87" spans="1:8">
      <c r="A87" s="665"/>
      <c r="B87" s="665"/>
      <c r="C87" s="665"/>
      <c r="D87" s="665"/>
      <c r="E87" s="665"/>
      <c r="F87" s="665"/>
      <c r="G87" s="665"/>
      <c r="H87" s="665"/>
    </row>
    <row r="88" spans="1:8">
      <c r="A88" s="665" t="s">
        <v>596</v>
      </c>
      <c r="B88" s="665"/>
      <c r="C88" s="665"/>
      <c r="D88" s="665"/>
      <c r="E88" s="665"/>
      <c r="F88" s="665"/>
      <c r="G88" s="665"/>
      <c r="H88" s="665"/>
    </row>
    <row r="89" spans="1:8">
      <c r="A89" s="665" t="s">
        <v>597</v>
      </c>
      <c r="B89" s="665"/>
      <c r="C89" s="665"/>
      <c r="D89" s="665"/>
      <c r="E89" s="665"/>
      <c r="F89" s="665"/>
      <c r="G89" s="665"/>
      <c r="H89" s="665"/>
    </row>
    <row r="90" spans="1:8">
      <c r="A90" s="665" t="s">
        <v>598</v>
      </c>
      <c r="B90" s="665"/>
      <c r="C90" s="665"/>
      <c r="D90" s="665"/>
      <c r="E90" s="665"/>
      <c r="F90" s="665"/>
      <c r="G90" s="665"/>
      <c r="H90" s="665"/>
    </row>
    <row r="91" spans="1:8">
      <c r="A91" s="665" t="s">
        <v>599</v>
      </c>
      <c r="B91" s="665"/>
      <c r="C91" s="665"/>
      <c r="D91" s="665"/>
      <c r="E91" s="665"/>
      <c r="F91" s="665"/>
      <c r="G91" s="665"/>
      <c r="H91" s="665"/>
    </row>
    <row r="92" spans="1:8">
      <c r="A92" s="665" t="s">
        <v>600</v>
      </c>
      <c r="B92" s="665"/>
      <c r="C92" s="665"/>
      <c r="D92" s="665"/>
      <c r="E92" s="665"/>
      <c r="F92" s="665"/>
      <c r="G92" s="665"/>
      <c r="H92" s="665"/>
    </row>
    <row r="93" spans="1:8">
      <c r="A93" s="665" t="s">
        <v>601</v>
      </c>
      <c r="B93" s="665"/>
      <c r="C93" s="665"/>
      <c r="D93" s="665"/>
      <c r="E93" s="665"/>
      <c r="F93" s="665"/>
      <c r="G93" s="665"/>
      <c r="H93" s="665"/>
    </row>
    <row r="94" spans="1:8">
      <c r="A94" s="665" t="s">
        <v>602</v>
      </c>
      <c r="B94" s="665"/>
      <c r="C94" s="665"/>
      <c r="D94" s="665"/>
      <c r="E94" s="665"/>
      <c r="F94" s="665"/>
      <c r="G94" s="665"/>
      <c r="H94" s="665"/>
    </row>
    <row r="95" spans="1:8">
      <c r="A95" s="665"/>
      <c r="B95" s="665"/>
      <c r="C95" s="665"/>
      <c r="D95" s="665"/>
      <c r="E95" s="665"/>
      <c r="F95" s="665"/>
      <c r="G95" s="665"/>
      <c r="H95" s="665"/>
    </row>
    <row r="96" spans="1:8">
      <c r="A96" s="665" t="s">
        <v>603</v>
      </c>
      <c r="B96" s="665"/>
      <c r="C96" s="665"/>
      <c r="D96" s="665"/>
      <c r="E96" s="665"/>
      <c r="F96" s="665"/>
      <c r="G96" s="665"/>
      <c r="H96" s="665"/>
    </row>
    <row r="97" spans="1:8">
      <c r="A97" s="665" t="s">
        <v>604</v>
      </c>
      <c r="B97" s="665"/>
      <c r="C97" s="665"/>
      <c r="D97" s="665"/>
      <c r="E97" s="665"/>
      <c r="F97" s="665"/>
      <c r="G97" s="665"/>
      <c r="H97" s="665"/>
    </row>
    <row r="98" spans="1:8">
      <c r="A98" s="665"/>
      <c r="B98" s="665"/>
      <c r="C98" s="665"/>
      <c r="D98" s="665"/>
      <c r="E98" s="665"/>
      <c r="F98" s="665"/>
      <c r="G98" s="665"/>
      <c r="H98" s="665"/>
    </row>
    <row r="99" spans="1:8" ht="15.6">
      <c r="A99" s="666" t="s">
        <v>605</v>
      </c>
      <c r="B99" s="665"/>
      <c r="C99" s="665"/>
      <c r="D99" s="665"/>
      <c r="E99" s="665"/>
      <c r="F99" s="665"/>
      <c r="G99" s="665"/>
      <c r="H99" s="665"/>
    </row>
    <row r="100" spans="1:8">
      <c r="A100" s="665"/>
      <c r="B100" s="665"/>
      <c r="C100" s="665"/>
      <c r="D100" s="665"/>
      <c r="E100" s="665"/>
      <c r="F100" s="665"/>
      <c r="G100" s="665"/>
      <c r="H100" s="665"/>
    </row>
    <row r="101" spans="1:8">
      <c r="A101" s="665" t="s">
        <v>606</v>
      </c>
      <c r="B101" s="665"/>
      <c r="C101" s="665"/>
      <c r="D101" s="665"/>
      <c r="E101" s="665"/>
      <c r="F101" s="665"/>
      <c r="G101" s="665"/>
      <c r="H101" s="665"/>
    </row>
    <row r="102" spans="1:8">
      <c r="A102" s="665" t="s">
        <v>607</v>
      </c>
      <c r="B102" s="665"/>
      <c r="C102" s="665"/>
      <c r="D102" s="665"/>
      <c r="E102" s="665"/>
      <c r="F102" s="665"/>
      <c r="G102" s="665"/>
      <c r="H102" s="665"/>
    </row>
    <row r="103" spans="1:8">
      <c r="A103" s="665" t="s">
        <v>608</v>
      </c>
      <c r="B103" s="665"/>
      <c r="C103" s="665"/>
      <c r="D103" s="665"/>
      <c r="E103" s="665"/>
      <c r="F103" s="665"/>
      <c r="G103" s="665"/>
      <c r="H103" s="665"/>
    </row>
    <row r="104" spans="1:8">
      <c r="A104" s="665" t="s">
        <v>609</v>
      </c>
      <c r="B104" s="665"/>
      <c r="C104" s="665"/>
      <c r="D104" s="665"/>
      <c r="E104" s="665"/>
      <c r="F104" s="665"/>
      <c r="G104" s="665"/>
      <c r="H104" s="665"/>
    </row>
    <row r="105" spans="1:8">
      <c r="A105" s="665" t="s">
        <v>610</v>
      </c>
      <c r="B105" s="665"/>
      <c r="C105" s="665"/>
      <c r="D105" s="665"/>
      <c r="E105" s="665"/>
      <c r="F105" s="665"/>
      <c r="G105" s="665"/>
      <c r="H105" s="665"/>
    </row>
    <row r="106" spans="1:8">
      <c r="A106" s="665" t="s">
        <v>611</v>
      </c>
      <c r="B106" s="665"/>
      <c r="C106" s="665"/>
      <c r="D106" s="665"/>
      <c r="E106" s="665"/>
      <c r="F106" s="665"/>
      <c r="G106" s="665"/>
      <c r="H106" s="665"/>
    </row>
    <row r="107" spans="1:8">
      <c r="A107" s="665" t="s">
        <v>612</v>
      </c>
      <c r="B107" s="665"/>
      <c r="C107" s="665"/>
      <c r="D107" s="665"/>
      <c r="E107" s="665"/>
      <c r="F107" s="665"/>
      <c r="G107" s="665"/>
      <c r="H107" s="665"/>
    </row>
    <row r="108" spans="1:8">
      <c r="A108" s="665" t="s">
        <v>613</v>
      </c>
      <c r="B108" s="665"/>
      <c r="C108" s="665"/>
      <c r="D108" s="665"/>
      <c r="E108" s="665"/>
      <c r="F108" s="665"/>
      <c r="G108" s="665"/>
      <c r="H108" s="665"/>
    </row>
    <row r="109" spans="1:8">
      <c r="A109" s="665" t="s">
        <v>614</v>
      </c>
      <c r="B109" s="665"/>
      <c r="C109" s="665"/>
      <c r="D109" s="665"/>
      <c r="E109" s="665"/>
      <c r="F109" s="665"/>
      <c r="G109" s="665"/>
      <c r="H109" s="665"/>
    </row>
    <row r="110" spans="1:8">
      <c r="A110" s="665"/>
      <c r="B110" s="665"/>
      <c r="C110" s="665"/>
      <c r="D110" s="665"/>
      <c r="E110" s="665"/>
      <c r="F110" s="665"/>
      <c r="G110" s="665"/>
      <c r="H110" s="665"/>
    </row>
    <row r="111" spans="1:8" ht="15.6">
      <c r="A111" s="666" t="s">
        <v>615</v>
      </c>
      <c r="B111" s="665"/>
      <c r="C111" s="665"/>
      <c r="D111" s="665"/>
      <c r="E111" s="665"/>
      <c r="F111" s="665"/>
      <c r="G111" s="665"/>
      <c r="H111" s="665"/>
    </row>
    <row r="112" spans="1:8">
      <c r="A112" s="665"/>
      <c r="B112" s="665"/>
      <c r="C112" s="665"/>
      <c r="D112" s="665"/>
      <c r="E112" s="665"/>
      <c r="F112" s="665"/>
      <c r="G112" s="665"/>
      <c r="H112" s="665"/>
    </row>
    <row r="113" spans="1:8">
      <c r="A113" s="665" t="s">
        <v>616</v>
      </c>
      <c r="B113" s="665"/>
      <c r="C113" s="665"/>
      <c r="D113" s="665"/>
      <c r="E113" s="665"/>
      <c r="F113" s="665"/>
      <c r="G113" s="665"/>
      <c r="H113" s="665"/>
    </row>
    <row r="114" spans="1:8">
      <c r="A114" s="665"/>
      <c r="B114" s="665"/>
      <c r="C114" s="665"/>
      <c r="D114" s="665"/>
      <c r="E114" s="665"/>
      <c r="F114" s="665"/>
      <c r="G114" s="665"/>
      <c r="H114" s="665"/>
    </row>
    <row r="115" spans="1:8">
      <c r="A115" s="665" t="s">
        <v>617</v>
      </c>
      <c r="B115" s="665"/>
      <c r="C115" s="665"/>
      <c r="D115" s="665"/>
      <c r="E115" s="665"/>
      <c r="F115" s="665"/>
      <c r="G115" s="665"/>
      <c r="H115" s="665"/>
    </row>
    <row r="116" spans="1:8">
      <c r="A116" s="665" t="s">
        <v>618</v>
      </c>
      <c r="B116" s="665"/>
      <c r="C116" s="665"/>
      <c r="D116" s="665"/>
      <c r="E116" s="665"/>
      <c r="F116" s="665"/>
      <c r="G116" s="665"/>
      <c r="H116" s="665"/>
    </row>
    <row r="117" spans="1:8">
      <c r="A117" s="665"/>
      <c r="B117" s="665"/>
      <c r="C117" s="665"/>
      <c r="D117" s="665"/>
      <c r="E117" s="665"/>
      <c r="F117" s="665"/>
      <c r="G117" s="665"/>
      <c r="H117" s="665"/>
    </row>
    <row r="118" spans="1:8">
      <c r="A118" s="665" t="s">
        <v>619</v>
      </c>
      <c r="B118" s="665"/>
      <c r="C118" s="665"/>
      <c r="D118" s="665"/>
      <c r="E118" s="665"/>
      <c r="F118" s="665"/>
      <c r="G118" s="665"/>
      <c r="H118" s="665"/>
    </row>
    <row r="119" spans="1:8">
      <c r="A119" s="665" t="s">
        <v>620</v>
      </c>
      <c r="B119" s="665"/>
      <c r="C119" s="665"/>
      <c r="D119" s="665"/>
      <c r="E119" s="665"/>
      <c r="F119" s="665"/>
      <c r="G119" s="665"/>
      <c r="H119" s="665"/>
    </row>
    <row r="120" spans="1:8">
      <c r="A120" s="665" t="s">
        <v>621</v>
      </c>
      <c r="B120" s="665"/>
      <c r="C120" s="665"/>
      <c r="D120" s="665"/>
      <c r="E120" s="665"/>
      <c r="F120" s="665"/>
      <c r="G120" s="665"/>
      <c r="H120" s="665"/>
    </row>
    <row r="121" spans="1:8">
      <c r="A121" s="665" t="s">
        <v>622</v>
      </c>
      <c r="B121" s="665"/>
      <c r="C121" s="665"/>
      <c r="D121" s="665"/>
      <c r="E121" s="665"/>
      <c r="F121" s="665"/>
      <c r="G121" s="665"/>
      <c r="H121" s="665"/>
    </row>
    <row r="122" spans="1:8">
      <c r="A122" s="665" t="s">
        <v>623</v>
      </c>
      <c r="B122" s="665"/>
      <c r="C122" s="665"/>
      <c r="D122" s="665"/>
      <c r="E122" s="665"/>
      <c r="F122" s="665"/>
      <c r="G122" s="665"/>
      <c r="H122" s="665"/>
    </row>
    <row r="123" spans="1:8">
      <c r="A123" s="665" t="s">
        <v>624</v>
      </c>
      <c r="B123" s="665"/>
      <c r="C123" s="665"/>
      <c r="D123" s="665"/>
      <c r="E123" s="665"/>
      <c r="F123" s="665"/>
      <c r="G123" s="665"/>
      <c r="H123" s="665"/>
    </row>
    <row r="124" spans="1:8">
      <c r="A124" s="665" t="s">
        <v>625</v>
      </c>
      <c r="B124" s="665"/>
      <c r="C124" s="665"/>
      <c r="D124" s="665"/>
      <c r="E124" s="665"/>
      <c r="F124" s="665"/>
      <c r="G124" s="665"/>
      <c r="H124" s="665"/>
    </row>
    <row r="125" spans="1:8">
      <c r="A125" s="665"/>
      <c r="B125" s="665"/>
      <c r="C125" s="665"/>
      <c r="D125" s="665"/>
      <c r="E125" s="665"/>
      <c r="F125" s="665"/>
      <c r="G125" s="665"/>
      <c r="H125" s="665"/>
    </row>
    <row r="126" spans="1:8">
      <c r="A126" s="667"/>
      <c r="B126" s="668" t="s">
        <v>626</v>
      </c>
      <c r="C126" s="668"/>
      <c r="D126" s="668" t="s">
        <v>627</v>
      </c>
      <c r="E126" s="668"/>
      <c r="F126" s="668"/>
      <c r="G126" s="668" t="s">
        <v>628</v>
      </c>
      <c r="H126" s="668"/>
    </row>
    <row r="127" spans="1:8">
      <c r="A127" s="667" t="s">
        <v>629</v>
      </c>
      <c r="B127" s="667" t="s">
        <v>630</v>
      </c>
      <c r="C127" s="667" t="s">
        <v>631</v>
      </c>
      <c r="D127" s="667" t="s">
        <v>630</v>
      </c>
      <c r="E127" s="667" t="s">
        <v>632</v>
      </c>
      <c r="F127" s="667" t="s">
        <v>633</v>
      </c>
      <c r="G127" s="667" t="s">
        <v>630</v>
      </c>
      <c r="H127" s="667" t="s">
        <v>634</v>
      </c>
    </row>
    <row r="128" spans="1:8">
      <c r="A128" s="667" t="s">
        <v>635</v>
      </c>
      <c r="B128" s="667">
        <v>1520</v>
      </c>
      <c r="C128" s="667">
        <v>0.41</v>
      </c>
      <c r="D128" s="667">
        <v>425</v>
      </c>
      <c r="E128" s="667">
        <v>0.48</v>
      </c>
      <c r="F128" s="667">
        <v>0.28000000000000003</v>
      </c>
      <c r="G128" s="667">
        <v>685</v>
      </c>
      <c r="H128" s="667">
        <v>0.42</v>
      </c>
    </row>
    <row r="129" spans="1:8">
      <c r="A129" s="667" t="s">
        <v>636</v>
      </c>
      <c r="B129" s="667">
        <v>1579</v>
      </c>
      <c r="C129" s="667">
        <v>0.43</v>
      </c>
      <c r="D129" s="667">
        <v>375</v>
      </c>
      <c r="E129" s="667">
        <v>0.42</v>
      </c>
      <c r="F129" s="667">
        <v>0.24</v>
      </c>
      <c r="G129" s="667">
        <v>713</v>
      </c>
      <c r="H129" s="667">
        <v>0.44</v>
      </c>
    </row>
    <row r="130" spans="1:8">
      <c r="A130" s="667" t="s">
        <v>637</v>
      </c>
      <c r="B130" s="667">
        <v>4</v>
      </c>
      <c r="C130" s="667">
        <v>0</v>
      </c>
      <c r="D130" s="667">
        <v>1</v>
      </c>
      <c r="E130" s="667">
        <v>0</v>
      </c>
      <c r="F130" s="667">
        <v>0.25</v>
      </c>
      <c r="G130" s="667">
        <v>1</v>
      </c>
      <c r="H130" s="667">
        <v>0</v>
      </c>
    </row>
    <row r="131" spans="1:8">
      <c r="A131" s="667" t="s">
        <v>638</v>
      </c>
      <c r="B131" s="667">
        <v>592</v>
      </c>
      <c r="C131" s="667">
        <v>0.16</v>
      </c>
      <c r="D131" s="667">
        <v>89</v>
      </c>
      <c r="E131" s="667">
        <v>0.1</v>
      </c>
      <c r="F131" s="667">
        <v>0.15</v>
      </c>
      <c r="G131" s="667">
        <v>232</v>
      </c>
      <c r="H131" s="667">
        <v>0.14000000000000001</v>
      </c>
    </row>
    <row r="132" spans="1:8">
      <c r="A132" s="667" t="s">
        <v>117</v>
      </c>
      <c r="B132" s="667">
        <v>3695</v>
      </c>
      <c r="C132" s="667"/>
      <c r="D132" s="667">
        <v>890</v>
      </c>
      <c r="E132" s="667"/>
      <c r="F132" s="667"/>
      <c r="G132" s="667">
        <v>1631</v>
      </c>
      <c r="H132" s="667"/>
    </row>
    <row r="133" spans="1:8">
      <c r="A133" s="665"/>
      <c r="B133" s="665"/>
      <c r="C133" s="665"/>
      <c r="D133" s="665"/>
      <c r="E133" s="665"/>
      <c r="F133" s="665"/>
      <c r="G133" s="665"/>
      <c r="H133" s="665"/>
    </row>
    <row r="134" spans="1:8">
      <c r="A134" s="665" t="s">
        <v>639</v>
      </c>
      <c r="B134" s="665"/>
      <c r="C134" s="665"/>
      <c r="D134" s="665"/>
      <c r="E134" s="665"/>
      <c r="F134" s="665"/>
      <c r="G134" s="665"/>
      <c r="H134" s="665"/>
    </row>
    <row r="135" spans="1:8">
      <c r="A135" s="665" t="s">
        <v>640</v>
      </c>
      <c r="B135" s="665"/>
      <c r="C135" s="665"/>
      <c r="D135" s="665"/>
      <c r="E135" s="665"/>
      <c r="F135" s="665"/>
      <c r="G135" s="665"/>
      <c r="H135" s="665"/>
    </row>
    <row r="136" spans="1:8">
      <c r="A136" s="665" t="s">
        <v>641</v>
      </c>
      <c r="B136" s="665"/>
      <c r="C136" s="665"/>
      <c r="D136" s="665"/>
      <c r="E136" s="665"/>
      <c r="F136" s="665"/>
      <c r="G136" s="665"/>
      <c r="H136" s="665"/>
    </row>
    <row r="137" spans="1:8">
      <c r="A137" s="665" t="s">
        <v>642</v>
      </c>
      <c r="B137" s="665"/>
      <c r="C137" s="665"/>
      <c r="D137" s="665"/>
      <c r="E137" s="665"/>
      <c r="F137" s="665"/>
      <c r="G137" s="665"/>
      <c r="H137" s="665"/>
    </row>
    <row r="138" spans="1:8">
      <c r="A138" s="665"/>
      <c r="B138" s="665"/>
      <c r="C138" s="665"/>
      <c r="D138" s="665"/>
      <c r="E138" s="665"/>
      <c r="F138" s="665"/>
      <c r="G138" s="665"/>
      <c r="H138" s="665"/>
    </row>
    <row r="139" spans="1:8" ht="15.6">
      <c r="A139" s="666" t="s">
        <v>643</v>
      </c>
      <c r="B139" s="665"/>
      <c r="C139" s="665"/>
      <c r="D139" s="665"/>
      <c r="E139" s="665"/>
      <c r="F139" s="665"/>
      <c r="G139" s="665"/>
      <c r="H139" s="665"/>
    </row>
    <row r="140" spans="1:8">
      <c r="A140" s="665"/>
      <c r="B140" s="665"/>
      <c r="C140" s="665"/>
      <c r="D140" s="665"/>
      <c r="E140" s="665"/>
      <c r="F140" s="665"/>
      <c r="G140" s="665"/>
      <c r="H140" s="665"/>
    </row>
    <row r="141" spans="1:8">
      <c r="A141" s="665" t="s">
        <v>644</v>
      </c>
      <c r="B141" s="665"/>
      <c r="C141" s="665"/>
      <c r="D141" s="665"/>
      <c r="E141" s="665"/>
      <c r="F141" s="665"/>
      <c r="G141" s="665"/>
      <c r="H141" s="665"/>
    </row>
    <row r="142" spans="1:8">
      <c r="A142" s="665" t="s">
        <v>645</v>
      </c>
      <c r="B142" s="665"/>
      <c r="C142" s="665"/>
      <c r="D142" s="665"/>
      <c r="E142" s="665"/>
      <c r="F142" s="665"/>
      <c r="G142" s="665"/>
      <c r="H142" s="665"/>
    </row>
    <row r="143" spans="1:8">
      <c r="A143" s="665"/>
      <c r="B143" s="665"/>
      <c r="C143" s="665"/>
      <c r="D143" s="665"/>
      <c r="E143" s="665"/>
      <c r="F143" s="665"/>
      <c r="G143" s="665"/>
      <c r="H143" s="665"/>
    </row>
    <row r="144" spans="1:8">
      <c r="A144" s="665" t="s">
        <v>646</v>
      </c>
      <c r="B144" s="665"/>
      <c r="C144" s="665"/>
      <c r="D144" s="665"/>
      <c r="E144" s="665"/>
      <c r="F144" s="665"/>
      <c r="G144" s="665"/>
      <c r="H144" s="665"/>
    </row>
    <row r="145" spans="1:8">
      <c r="A145" s="665" t="s">
        <v>647</v>
      </c>
      <c r="B145" s="665"/>
      <c r="C145" s="665"/>
      <c r="D145" s="665"/>
      <c r="E145" s="665"/>
      <c r="F145" s="665"/>
      <c r="G145" s="665"/>
      <c r="H145" s="665"/>
    </row>
    <row r="146" spans="1:8">
      <c r="A146" s="665" t="s">
        <v>648</v>
      </c>
      <c r="B146" s="665"/>
      <c r="C146" s="665"/>
      <c r="D146" s="665"/>
      <c r="E146" s="665"/>
      <c r="F146" s="665"/>
      <c r="G146" s="665"/>
      <c r="H146" s="665"/>
    </row>
    <row r="147" spans="1:8">
      <c r="A147" s="665"/>
      <c r="B147" s="665"/>
      <c r="C147" s="665"/>
      <c r="D147" s="665"/>
      <c r="E147" s="665"/>
      <c r="F147" s="665"/>
      <c r="G147" s="665"/>
      <c r="H147" s="665"/>
    </row>
    <row r="148" spans="1:8">
      <c r="A148" s="665" t="s">
        <v>649</v>
      </c>
      <c r="B148" s="665"/>
      <c r="C148" s="665"/>
      <c r="D148" s="665"/>
      <c r="E148" s="665"/>
      <c r="F148" s="665"/>
      <c r="G148" s="665"/>
      <c r="H148" s="665"/>
    </row>
    <row r="149" spans="1:8">
      <c r="A149" s="665" t="s">
        <v>650</v>
      </c>
      <c r="B149" s="665"/>
      <c r="C149" s="665"/>
      <c r="D149" s="665"/>
      <c r="E149" s="665"/>
      <c r="F149" s="665"/>
      <c r="G149" s="665"/>
      <c r="H149" s="665"/>
    </row>
    <row r="150" spans="1:8">
      <c r="A150" s="665" t="s">
        <v>651</v>
      </c>
      <c r="B150" s="665"/>
      <c r="C150" s="665"/>
      <c r="D150" s="665"/>
      <c r="E150" s="665"/>
      <c r="F150" s="665"/>
      <c r="G150" s="665"/>
      <c r="H150" s="665"/>
    </row>
    <row r="151" spans="1:8">
      <c r="A151" s="665"/>
      <c r="B151" s="665"/>
      <c r="C151" s="665"/>
      <c r="D151" s="665"/>
      <c r="E151" s="665"/>
      <c r="F151" s="665"/>
      <c r="G151" s="665"/>
      <c r="H151" s="665"/>
    </row>
    <row r="152" spans="1:8">
      <c r="A152" s="665" t="s">
        <v>652</v>
      </c>
      <c r="B152" s="665"/>
      <c r="C152" s="665"/>
      <c r="D152" s="665"/>
      <c r="E152" s="665"/>
      <c r="F152" s="665"/>
      <c r="G152" s="665"/>
      <c r="H152" s="665"/>
    </row>
    <row r="153" spans="1:8">
      <c r="A153" s="665" t="s">
        <v>653</v>
      </c>
      <c r="B153" s="665"/>
      <c r="C153" s="665"/>
      <c r="D153" s="665"/>
      <c r="E153" s="665"/>
      <c r="F153" s="665"/>
      <c r="G153" s="665"/>
      <c r="H153" s="665"/>
    </row>
    <row r="154" spans="1:8">
      <c r="A154" s="665" t="s">
        <v>654</v>
      </c>
      <c r="B154" s="665"/>
      <c r="C154" s="665"/>
      <c r="D154" s="665"/>
      <c r="E154" s="665"/>
      <c r="F154" s="665"/>
      <c r="G154" s="665"/>
      <c r="H154" s="665"/>
    </row>
    <row r="155" spans="1:8">
      <c r="A155" s="665"/>
      <c r="B155" s="665"/>
      <c r="C155" s="665"/>
      <c r="D155" s="665"/>
      <c r="E155" s="665"/>
      <c r="F155" s="665"/>
      <c r="G155" s="665"/>
      <c r="H155" s="665"/>
    </row>
    <row r="156" spans="1:8">
      <c r="A156" s="665" t="s">
        <v>655</v>
      </c>
      <c r="B156" s="665"/>
      <c r="C156" s="665"/>
      <c r="D156" s="665"/>
      <c r="E156" s="665"/>
      <c r="F156" s="665"/>
      <c r="G156" s="665"/>
      <c r="H156" s="665"/>
    </row>
    <row r="157" spans="1:8">
      <c r="A157" s="665" t="s">
        <v>656</v>
      </c>
      <c r="B157" s="665"/>
      <c r="C157" s="665"/>
      <c r="D157" s="665"/>
      <c r="E157" s="665"/>
      <c r="F157" s="665"/>
      <c r="G157" s="665"/>
      <c r="H157" s="665"/>
    </row>
    <row r="158" spans="1:8">
      <c r="A158" s="665"/>
      <c r="B158" s="665"/>
      <c r="C158" s="665"/>
      <c r="D158" s="665"/>
      <c r="E158" s="665"/>
      <c r="F158" s="665"/>
      <c r="G158" s="665"/>
      <c r="H158" s="665"/>
    </row>
    <row r="159" spans="1:8" ht="15.6">
      <c r="A159" s="666" t="s">
        <v>657</v>
      </c>
      <c r="B159" s="665"/>
      <c r="C159" s="665"/>
      <c r="D159" s="665"/>
      <c r="E159" s="665"/>
      <c r="F159" s="665"/>
      <c r="G159" s="665"/>
      <c r="H159" s="665"/>
    </row>
    <row r="160" spans="1:8">
      <c r="A160" s="665"/>
      <c r="B160" s="665"/>
      <c r="C160" s="665"/>
      <c r="D160" s="665"/>
      <c r="E160" s="665"/>
      <c r="F160" s="665"/>
      <c r="G160" s="665"/>
      <c r="H160" s="665"/>
    </row>
    <row r="161" spans="1:8">
      <c r="A161" s="665" t="s">
        <v>658</v>
      </c>
      <c r="B161" s="665"/>
      <c r="C161" s="665"/>
      <c r="D161" s="665"/>
      <c r="E161" s="665"/>
      <c r="F161" s="665"/>
      <c r="G161" s="665"/>
      <c r="H161" s="665"/>
    </row>
    <row r="162" spans="1:8">
      <c r="A162" s="665" t="s">
        <v>659</v>
      </c>
      <c r="B162" s="665"/>
      <c r="C162" s="665"/>
      <c r="D162" s="665"/>
      <c r="E162" s="665"/>
      <c r="F162" s="665"/>
      <c r="G162" s="665"/>
      <c r="H162" s="665"/>
    </row>
    <row r="163" spans="1:8">
      <c r="A163" s="665"/>
      <c r="B163" s="665"/>
      <c r="C163" s="665"/>
      <c r="D163" s="665"/>
      <c r="E163" s="665"/>
      <c r="F163" s="665"/>
      <c r="G163" s="665"/>
      <c r="H163" s="665"/>
    </row>
    <row r="164" spans="1:8">
      <c r="A164" s="665" t="s">
        <v>660</v>
      </c>
      <c r="B164" s="665"/>
      <c r="C164" s="665"/>
      <c r="D164" s="665"/>
      <c r="E164" s="665"/>
      <c r="F164" s="665"/>
      <c r="G164" s="665"/>
      <c r="H164" s="665"/>
    </row>
    <row r="165" spans="1:8">
      <c r="A165" s="665" t="s">
        <v>661</v>
      </c>
      <c r="B165" s="665"/>
      <c r="C165" s="665"/>
      <c r="D165" s="665"/>
      <c r="E165" s="665"/>
      <c r="F165" s="665"/>
      <c r="G165" s="665"/>
      <c r="H165" s="665"/>
    </row>
    <row r="166" spans="1:8">
      <c r="A166" s="665"/>
      <c r="B166" s="665"/>
      <c r="C166" s="665"/>
      <c r="D166" s="665"/>
      <c r="E166" s="665"/>
      <c r="F166" s="665"/>
      <c r="G166" s="665"/>
      <c r="H166" s="665"/>
    </row>
    <row r="167" spans="1:8">
      <c r="A167" s="665" t="s">
        <v>662</v>
      </c>
      <c r="B167" s="665"/>
      <c r="C167" s="665"/>
      <c r="D167" s="665"/>
      <c r="E167" s="665"/>
      <c r="F167" s="665"/>
      <c r="G167" s="665"/>
      <c r="H167" s="665"/>
    </row>
    <row r="168" spans="1:8">
      <c r="A168" s="665" t="s">
        <v>663</v>
      </c>
      <c r="B168" s="665"/>
      <c r="C168" s="665"/>
      <c r="D168" s="665"/>
      <c r="E168" s="665"/>
      <c r="F168" s="665"/>
      <c r="G168" s="665"/>
      <c r="H168" s="665"/>
    </row>
    <row r="169" spans="1:8">
      <c r="A169" s="665"/>
      <c r="B169" s="665"/>
      <c r="C169" s="665"/>
      <c r="D169" s="665"/>
      <c r="E169" s="665"/>
      <c r="F169" s="665"/>
      <c r="G169" s="665"/>
      <c r="H169" s="665"/>
    </row>
    <row r="170" spans="1:8">
      <c r="A170" s="665" t="s">
        <v>664</v>
      </c>
      <c r="B170" s="665"/>
      <c r="C170" s="665"/>
      <c r="D170" s="665"/>
      <c r="E170" s="665"/>
      <c r="F170" s="665"/>
      <c r="G170" s="665"/>
      <c r="H170" s="665"/>
    </row>
    <row r="171" spans="1:8">
      <c r="A171" s="665" t="s">
        <v>665</v>
      </c>
      <c r="B171" s="665"/>
      <c r="C171" s="665"/>
      <c r="D171" s="665"/>
      <c r="E171" s="665"/>
      <c r="F171" s="665"/>
      <c r="G171" s="665"/>
      <c r="H171" s="665"/>
    </row>
    <row r="172" spans="1:8">
      <c r="A172" s="665" t="s">
        <v>666</v>
      </c>
      <c r="B172" s="665"/>
      <c r="C172" s="665"/>
      <c r="D172" s="665"/>
      <c r="E172" s="665"/>
      <c r="F172" s="665"/>
      <c r="G172" s="665"/>
      <c r="H172" s="665"/>
    </row>
    <row r="173" spans="1:8">
      <c r="A173" s="665"/>
      <c r="B173" s="665"/>
      <c r="C173" s="665"/>
      <c r="D173" s="665"/>
      <c r="E173" s="665"/>
      <c r="F173" s="665"/>
      <c r="G173" s="665"/>
      <c r="H173" s="665"/>
    </row>
    <row r="174" spans="1:8">
      <c r="A174" s="665" t="s">
        <v>584</v>
      </c>
      <c r="B174" s="665"/>
      <c r="C174" s="665"/>
      <c r="D174" s="665"/>
      <c r="E174" s="665"/>
      <c r="F174" s="665"/>
      <c r="G174" s="665"/>
      <c r="H174" s="665"/>
    </row>
    <row r="175" spans="1:8">
      <c r="A175" s="665"/>
      <c r="B175" s="665"/>
      <c r="C175" s="665"/>
      <c r="D175" s="665"/>
      <c r="E175" s="665"/>
      <c r="F175" s="665"/>
      <c r="G175" s="665"/>
      <c r="H175" s="665"/>
    </row>
    <row r="176" spans="1:8" ht="15.6">
      <c r="A176" s="666" t="s">
        <v>667</v>
      </c>
      <c r="B176" s="665"/>
      <c r="C176" s="665"/>
      <c r="D176" s="665"/>
      <c r="E176" s="665"/>
      <c r="F176" s="665"/>
      <c r="G176" s="665"/>
      <c r="H176" s="665"/>
    </row>
    <row r="177" spans="1:8">
      <c r="A177" s="665"/>
      <c r="B177" s="665"/>
      <c r="C177" s="665"/>
      <c r="D177" s="665"/>
      <c r="E177" s="665"/>
      <c r="F177" s="665"/>
      <c r="G177" s="665"/>
      <c r="H177" s="665"/>
    </row>
    <row r="178" spans="1:8">
      <c r="A178" s="665"/>
      <c r="B178" s="665"/>
      <c r="C178" s="665"/>
      <c r="D178" s="665"/>
      <c r="E178" s="665"/>
      <c r="F178" s="665"/>
      <c r="G178" s="665"/>
      <c r="H178" s="665"/>
    </row>
    <row r="179" spans="1:8">
      <c r="A179" s="665"/>
      <c r="B179" s="665"/>
      <c r="C179" s="665"/>
      <c r="D179" s="665"/>
      <c r="E179" s="665"/>
      <c r="F179" s="665"/>
      <c r="G179" s="665"/>
      <c r="H179" s="665"/>
    </row>
    <row r="180" spans="1:8">
      <c r="A180" s="665"/>
      <c r="B180" s="665"/>
      <c r="C180" s="665"/>
      <c r="D180" s="665"/>
      <c r="E180" s="665"/>
      <c r="F180" s="665"/>
      <c r="G180" s="665"/>
      <c r="H180" s="665"/>
    </row>
    <row r="181" spans="1:8">
      <c r="A181" s="665"/>
      <c r="B181" s="665"/>
      <c r="C181" s="665"/>
      <c r="D181" s="665"/>
      <c r="E181" s="665"/>
      <c r="F181" s="665"/>
      <c r="G181" s="665"/>
      <c r="H181" s="665"/>
    </row>
    <row r="182" spans="1:8">
      <c r="A182" s="665"/>
      <c r="B182" s="665"/>
      <c r="C182" s="665"/>
      <c r="D182" s="665"/>
      <c r="E182" s="665"/>
      <c r="F182" s="665"/>
      <c r="G182" s="665"/>
      <c r="H182" s="665"/>
    </row>
    <row r="183" spans="1:8">
      <c r="A183" s="665"/>
      <c r="B183" s="665"/>
      <c r="C183" s="665"/>
      <c r="D183" s="665"/>
      <c r="E183" s="665"/>
      <c r="F183" s="665"/>
      <c r="G183" s="665"/>
      <c r="H183" s="665"/>
    </row>
    <row r="184" spans="1:8">
      <c r="A184" s="665"/>
      <c r="B184" s="665"/>
      <c r="C184" s="665"/>
      <c r="D184" s="665"/>
      <c r="E184" s="665"/>
      <c r="F184" s="665"/>
      <c r="G184" s="665"/>
      <c r="H184" s="665"/>
    </row>
    <row r="185" spans="1:8">
      <c r="A185" s="665"/>
      <c r="B185" s="665"/>
      <c r="C185" s="665"/>
      <c r="D185" s="665"/>
      <c r="E185" s="665"/>
      <c r="F185" s="665"/>
      <c r="G185" s="665"/>
      <c r="H185" s="665"/>
    </row>
    <row r="186" spans="1:8">
      <c r="A186" s="665"/>
      <c r="B186" s="665"/>
      <c r="C186" s="665"/>
      <c r="D186" s="665"/>
      <c r="E186" s="665"/>
      <c r="F186" s="665"/>
      <c r="G186" s="665"/>
      <c r="H186" s="665"/>
    </row>
    <row r="187" spans="1:8">
      <c r="A187" s="665"/>
      <c r="B187" s="665"/>
      <c r="C187" s="665"/>
      <c r="D187" s="665"/>
      <c r="E187" s="665"/>
      <c r="F187" s="665"/>
      <c r="G187" s="665"/>
      <c r="H187" s="665"/>
    </row>
    <row r="188" spans="1:8">
      <c r="A188" s="665"/>
      <c r="B188" s="665"/>
      <c r="C188" s="665"/>
      <c r="D188" s="665"/>
      <c r="E188" s="665"/>
      <c r="F188" s="665"/>
      <c r="G188" s="665"/>
      <c r="H188" s="665"/>
    </row>
    <row r="189" spans="1:8">
      <c r="A189" s="665"/>
      <c r="B189" s="665"/>
      <c r="C189" s="665"/>
      <c r="D189" s="665"/>
      <c r="E189" s="665"/>
      <c r="F189" s="665"/>
      <c r="G189" s="665"/>
      <c r="H189" s="665"/>
    </row>
    <row r="190" spans="1:8">
      <c r="A190" s="665"/>
      <c r="B190" s="665"/>
      <c r="C190" s="665"/>
      <c r="D190" s="665"/>
      <c r="E190" s="665"/>
      <c r="F190" s="665"/>
      <c r="G190" s="665"/>
      <c r="H190" s="665"/>
    </row>
    <row r="191" spans="1:8">
      <c r="A191" s="665"/>
      <c r="B191" s="665"/>
      <c r="C191" s="665"/>
      <c r="D191" s="665"/>
      <c r="E191" s="665"/>
      <c r="F191" s="665"/>
      <c r="G191" s="665"/>
      <c r="H191" s="665"/>
    </row>
    <row r="192" spans="1:8">
      <c r="A192" s="665"/>
      <c r="B192" s="665"/>
      <c r="C192" s="665"/>
      <c r="D192" s="665"/>
      <c r="E192" s="665"/>
      <c r="F192" s="665"/>
      <c r="G192" s="665"/>
      <c r="H192" s="665"/>
    </row>
    <row r="193" spans="1:8">
      <c r="A193" s="665"/>
      <c r="B193" s="665"/>
      <c r="C193" s="665"/>
      <c r="D193" s="665"/>
      <c r="E193" s="665"/>
      <c r="F193" s="665"/>
      <c r="G193" s="665"/>
      <c r="H193" s="665"/>
    </row>
    <row r="194" spans="1:8">
      <c r="A194" s="665"/>
      <c r="B194" s="665"/>
      <c r="C194" s="665"/>
      <c r="D194" s="665"/>
      <c r="E194" s="665"/>
      <c r="F194" s="665"/>
      <c r="G194" s="665"/>
      <c r="H194" s="665"/>
    </row>
    <row r="195" spans="1:8">
      <c r="A195" s="665"/>
      <c r="B195" s="665"/>
      <c r="C195" s="665"/>
      <c r="D195" s="665"/>
      <c r="E195" s="665"/>
      <c r="F195" s="665"/>
      <c r="G195" s="665"/>
      <c r="H195" s="665"/>
    </row>
    <row r="196" spans="1:8">
      <c r="A196" s="665"/>
      <c r="B196" s="665"/>
      <c r="C196" s="665"/>
      <c r="D196" s="665"/>
      <c r="E196" s="665"/>
      <c r="F196" s="665"/>
      <c r="G196" s="665"/>
      <c r="H196" s="665"/>
    </row>
    <row r="197" spans="1:8">
      <c r="A197" s="665"/>
      <c r="B197" s="665"/>
      <c r="C197" s="665"/>
      <c r="D197" s="665"/>
      <c r="E197" s="665"/>
      <c r="F197" s="665"/>
      <c r="G197" s="665"/>
      <c r="H197" s="665"/>
    </row>
    <row r="198" spans="1:8">
      <c r="A198" s="665"/>
      <c r="B198" s="665"/>
      <c r="C198" s="665"/>
      <c r="D198" s="665"/>
      <c r="E198" s="665"/>
      <c r="F198" s="665"/>
      <c r="G198" s="665"/>
      <c r="H198" s="665"/>
    </row>
    <row r="199" spans="1:8">
      <c r="A199" s="665"/>
      <c r="B199" s="665"/>
      <c r="C199" s="665"/>
      <c r="D199" s="665"/>
      <c r="E199" s="665"/>
      <c r="F199" s="665"/>
      <c r="G199" s="665"/>
      <c r="H199" s="665"/>
    </row>
    <row r="200" spans="1:8">
      <c r="A200" s="665"/>
      <c r="B200" s="665"/>
      <c r="C200" s="665"/>
      <c r="D200" s="665"/>
      <c r="E200" s="665"/>
      <c r="F200" s="665"/>
      <c r="G200" s="665"/>
      <c r="H200" s="665"/>
    </row>
    <row r="201" spans="1:8">
      <c r="A201" s="665"/>
      <c r="B201" s="665"/>
      <c r="C201" s="665"/>
      <c r="D201" s="665"/>
      <c r="E201" s="665"/>
      <c r="F201" s="665"/>
      <c r="G201" s="665"/>
      <c r="H201" s="665"/>
    </row>
    <row r="202" spans="1:8" ht="15.6">
      <c r="A202" s="666" t="s">
        <v>668</v>
      </c>
      <c r="B202" s="665"/>
      <c r="C202" s="665"/>
      <c r="D202" s="665"/>
      <c r="E202" s="665"/>
      <c r="F202" s="665"/>
      <c r="G202" s="665"/>
      <c r="H202" s="665"/>
    </row>
    <row r="203" spans="1:8">
      <c r="A203" s="665"/>
      <c r="B203" s="665"/>
      <c r="C203" s="665"/>
      <c r="D203" s="665"/>
      <c r="E203" s="665"/>
      <c r="F203" s="665"/>
      <c r="G203" s="665"/>
      <c r="H203" s="665"/>
    </row>
    <row r="204" spans="1:8">
      <c r="A204" s="665" t="s">
        <v>669</v>
      </c>
      <c r="B204" s="665"/>
      <c r="C204" s="665"/>
      <c r="D204" s="665"/>
      <c r="E204" s="665"/>
      <c r="F204" s="665"/>
      <c r="G204" s="665"/>
      <c r="H204" s="665"/>
    </row>
    <row r="205" spans="1:8">
      <c r="A205" s="665" t="s">
        <v>670</v>
      </c>
      <c r="B205" s="665"/>
      <c r="C205" s="665"/>
      <c r="D205" s="665"/>
      <c r="E205" s="665"/>
      <c r="F205" s="665"/>
      <c r="G205" s="665"/>
      <c r="H205" s="665"/>
    </row>
    <row r="206" spans="1:8">
      <c r="A206" s="665" t="s">
        <v>671</v>
      </c>
      <c r="B206" s="665"/>
      <c r="C206" s="665"/>
      <c r="D206" s="665"/>
      <c r="E206" s="665"/>
      <c r="F206" s="665"/>
      <c r="G206" s="665"/>
      <c r="H206" s="665"/>
    </row>
    <row r="207" spans="1:8">
      <c r="A207" s="665" t="s">
        <v>672</v>
      </c>
      <c r="B207" s="665"/>
      <c r="C207" s="665"/>
      <c r="D207" s="665"/>
      <c r="E207" s="665"/>
      <c r="F207" s="665"/>
      <c r="G207" s="665"/>
      <c r="H207" s="665"/>
    </row>
    <row r="208" spans="1:8">
      <c r="A208" s="665" t="s">
        <v>673</v>
      </c>
      <c r="B208" s="665"/>
      <c r="C208" s="665"/>
      <c r="D208" s="665"/>
      <c r="E208" s="665"/>
      <c r="F208" s="665"/>
      <c r="G208" s="665"/>
      <c r="H208" s="665"/>
    </row>
    <row r="209" spans="1:8">
      <c r="A209" s="665"/>
      <c r="B209" s="665"/>
      <c r="C209" s="665"/>
      <c r="D209" s="665"/>
      <c r="E209" s="665"/>
      <c r="F209" s="665"/>
      <c r="G209" s="665"/>
      <c r="H209" s="665"/>
    </row>
    <row r="210" spans="1:8">
      <c r="A210" s="665" t="s">
        <v>674</v>
      </c>
      <c r="B210" s="665"/>
      <c r="C210" s="665"/>
      <c r="D210" s="665"/>
      <c r="E210" s="665"/>
      <c r="F210" s="665"/>
      <c r="G210" s="665"/>
      <c r="H210" s="665"/>
    </row>
    <row r="211" spans="1:8">
      <c r="A211" s="665" t="s">
        <v>675</v>
      </c>
      <c r="B211" s="665"/>
      <c r="C211" s="665"/>
      <c r="D211" s="665"/>
      <c r="E211" s="665"/>
      <c r="F211" s="665"/>
      <c r="G211" s="665"/>
      <c r="H211" s="665"/>
    </row>
    <row r="212" spans="1:8">
      <c r="A212" s="665" t="s">
        <v>676</v>
      </c>
      <c r="B212" s="665"/>
      <c r="C212" s="665"/>
      <c r="D212" s="665"/>
      <c r="E212" s="665"/>
      <c r="F212" s="665"/>
      <c r="G212" s="665"/>
      <c r="H212" s="665"/>
    </row>
    <row r="213" spans="1:8">
      <c r="A213" s="665"/>
      <c r="B213" s="665"/>
      <c r="C213" s="665"/>
      <c r="D213" s="665"/>
      <c r="E213" s="665"/>
      <c r="F213" s="665"/>
      <c r="G213" s="665"/>
      <c r="H213" s="665"/>
    </row>
    <row r="214" spans="1:8" ht="15.6">
      <c r="A214" s="666" t="s">
        <v>677</v>
      </c>
      <c r="B214" s="665"/>
      <c r="C214" s="665"/>
      <c r="D214" s="665"/>
      <c r="E214" s="665"/>
      <c r="F214" s="665"/>
      <c r="G214" s="665"/>
      <c r="H214" s="665"/>
    </row>
    <row r="215" spans="1:8">
      <c r="A215" s="665"/>
      <c r="B215" s="665"/>
      <c r="C215" s="665"/>
      <c r="D215" s="665"/>
      <c r="E215" s="665"/>
      <c r="F215" s="665"/>
      <c r="G215" s="665"/>
      <c r="H215" s="665"/>
    </row>
    <row r="216" spans="1:8">
      <c r="A216" s="665" t="s">
        <v>678</v>
      </c>
      <c r="B216" s="665"/>
      <c r="C216" s="665"/>
      <c r="D216" s="665"/>
      <c r="E216" s="665"/>
      <c r="F216" s="665"/>
      <c r="G216" s="665"/>
      <c r="H216" s="665"/>
    </row>
    <row r="217" spans="1:8">
      <c r="A217" s="665" t="s">
        <v>679</v>
      </c>
      <c r="B217" s="665"/>
      <c r="C217" s="665"/>
      <c r="D217" s="665"/>
      <c r="E217" s="665"/>
      <c r="F217" s="665"/>
      <c r="G217" s="665"/>
      <c r="H217" s="665"/>
    </row>
    <row r="218" spans="1:8">
      <c r="A218" s="665" t="s">
        <v>680</v>
      </c>
      <c r="B218" s="665"/>
      <c r="C218" s="665"/>
      <c r="D218" s="665"/>
      <c r="E218" s="665"/>
      <c r="F218" s="665"/>
      <c r="G218" s="665"/>
      <c r="H218" s="665"/>
    </row>
    <row r="219" spans="1:8">
      <c r="A219" s="665" t="s">
        <v>681</v>
      </c>
      <c r="B219" s="665"/>
      <c r="C219" s="665"/>
      <c r="D219" s="665"/>
      <c r="E219" s="665"/>
      <c r="F219" s="665"/>
      <c r="G219" s="665"/>
      <c r="H219" s="665"/>
    </row>
    <row r="220" spans="1:8">
      <c r="A220" s="665" t="s">
        <v>682</v>
      </c>
      <c r="B220" s="665"/>
      <c r="C220" s="665"/>
      <c r="D220" s="665"/>
      <c r="E220" s="665"/>
      <c r="F220" s="665"/>
      <c r="G220" s="665"/>
      <c r="H220" s="665"/>
    </row>
    <row r="221" spans="1:8">
      <c r="A221" s="665" t="s">
        <v>683</v>
      </c>
      <c r="B221" s="665"/>
      <c r="C221" s="665"/>
      <c r="D221" s="665"/>
      <c r="E221" s="665"/>
      <c r="F221" s="665"/>
      <c r="G221" s="665"/>
      <c r="H221" s="665"/>
    </row>
    <row r="222" spans="1:8">
      <c r="A222" s="665" t="s">
        <v>684</v>
      </c>
      <c r="B222" s="665"/>
      <c r="C222" s="665"/>
      <c r="D222" s="665"/>
      <c r="E222" s="665"/>
      <c r="F222" s="665"/>
      <c r="G222" s="665"/>
      <c r="H222" s="665"/>
    </row>
    <row r="223" spans="1:8">
      <c r="A223" s="665"/>
      <c r="B223" s="665"/>
      <c r="C223" s="665"/>
      <c r="D223" s="665"/>
      <c r="E223" s="665"/>
      <c r="F223" s="665"/>
      <c r="G223" s="665"/>
      <c r="H223" s="665"/>
    </row>
    <row r="224" spans="1:8">
      <c r="A224" s="665" t="s">
        <v>685</v>
      </c>
      <c r="B224" s="665"/>
      <c r="C224" s="665"/>
      <c r="D224" s="665"/>
      <c r="E224" s="665"/>
      <c r="F224" s="665"/>
      <c r="G224" s="665"/>
      <c r="H224" s="665"/>
    </row>
    <row r="225" spans="1:8">
      <c r="A225" s="665" t="s">
        <v>686</v>
      </c>
      <c r="B225" s="665"/>
      <c r="C225" s="665"/>
      <c r="D225" s="665"/>
      <c r="E225" s="665"/>
      <c r="F225" s="665"/>
      <c r="G225" s="665"/>
      <c r="H225" s="665"/>
    </row>
    <row r="226" spans="1:8">
      <c r="A226" s="665" t="s">
        <v>687</v>
      </c>
      <c r="B226" s="665"/>
      <c r="C226" s="665"/>
      <c r="D226" s="665"/>
      <c r="E226" s="665"/>
      <c r="F226" s="665"/>
      <c r="G226" s="665"/>
      <c r="H226" s="665"/>
    </row>
    <row r="227" spans="1:8">
      <c r="A227" s="665"/>
      <c r="B227" s="665"/>
      <c r="C227" s="665"/>
      <c r="D227" s="665"/>
      <c r="E227" s="665"/>
      <c r="F227" s="665"/>
      <c r="G227" s="665"/>
      <c r="H227" s="665"/>
    </row>
    <row r="228" spans="1:8">
      <c r="A228" s="665" t="s">
        <v>688</v>
      </c>
      <c r="B228" s="665"/>
      <c r="C228" s="665"/>
      <c r="D228" s="665"/>
      <c r="E228" s="665"/>
      <c r="F228" s="665"/>
      <c r="G228" s="665"/>
      <c r="H228" s="665"/>
    </row>
    <row r="229" spans="1:8">
      <c r="A229" s="665" t="s">
        <v>689</v>
      </c>
      <c r="B229" s="665"/>
      <c r="C229" s="665"/>
      <c r="D229" s="665"/>
      <c r="E229" s="665"/>
      <c r="F229" s="665"/>
      <c r="G229" s="665"/>
      <c r="H229" s="665"/>
    </row>
    <row r="230" spans="1:8">
      <c r="A230" s="665" t="s">
        <v>690</v>
      </c>
      <c r="B230" s="665"/>
      <c r="C230" s="665"/>
      <c r="D230" s="665"/>
      <c r="E230" s="665"/>
      <c r="F230" s="665"/>
      <c r="G230" s="665"/>
      <c r="H230" s="665"/>
    </row>
    <row r="231" spans="1:8">
      <c r="A231" s="665" t="s">
        <v>691</v>
      </c>
      <c r="B231" s="665"/>
      <c r="C231" s="665"/>
      <c r="D231" s="665"/>
      <c r="E231" s="665"/>
      <c r="F231" s="665"/>
      <c r="G231" s="665"/>
      <c r="H231" s="665"/>
    </row>
    <row r="232" spans="1:8">
      <c r="A232" s="665" t="s">
        <v>692</v>
      </c>
      <c r="B232" s="665"/>
      <c r="C232" s="665"/>
      <c r="D232" s="665"/>
      <c r="E232" s="665"/>
      <c r="F232" s="665"/>
      <c r="G232" s="665"/>
      <c r="H232" s="665"/>
    </row>
    <row r="233" spans="1:8">
      <c r="A233" s="665"/>
      <c r="B233" s="665"/>
      <c r="C233" s="665"/>
      <c r="D233" s="665"/>
      <c r="E233" s="665"/>
      <c r="F233" s="665"/>
      <c r="G233" s="665"/>
      <c r="H233" s="665"/>
    </row>
    <row r="234" spans="1:8">
      <c r="A234" s="665" t="s">
        <v>693</v>
      </c>
      <c r="B234" s="665"/>
      <c r="C234" s="665"/>
      <c r="D234" s="665"/>
      <c r="E234" s="665"/>
      <c r="F234" s="665"/>
      <c r="G234" s="665"/>
      <c r="H234" s="665"/>
    </row>
    <row r="235" spans="1:8">
      <c r="A235" s="665" t="s">
        <v>694</v>
      </c>
      <c r="B235" s="665"/>
      <c r="C235" s="665"/>
      <c r="D235" s="665"/>
      <c r="E235" s="665"/>
      <c r="F235" s="665"/>
      <c r="G235" s="665"/>
      <c r="H235" s="665"/>
    </row>
    <row r="236" spans="1:8">
      <c r="A236" s="665" t="s">
        <v>695</v>
      </c>
      <c r="B236" s="665"/>
      <c r="C236" s="665"/>
      <c r="D236" s="665"/>
      <c r="E236" s="665"/>
      <c r="F236" s="665"/>
      <c r="G236" s="665"/>
      <c r="H236" s="665"/>
    </row>
    <row r="237" spans="1:8">
      <c r="A237" s="665" t="s">
        <v>696</v>
      </c>
      <c r="B237" s="665"/>
      <c r="C237" s="665"/>
      <c r="D237" s="665"/>
      <c r="E237" s="665"/>
      <c r="F237" s="665"/>
      <c r="G237" s="665"/>
      <c r="H237" s="665"/>
    </row>
    <row r="238" spans="1:8">
      <c r="A238" s="665" t="s">
        <v>697</v>
      </c>
      <c r="B238" s="665"/>
      <c r="C238" s="665"/>
      <c r="D238" s="665"/>
      <c r="E238" s="665"/>
      <c r="F238" s="665"/>
      <c r="G238" s="665"/>
      <c r="H238" s="665"/>
    </row>
    <row r="239" spans="1:8">
      <c r="A239" s="665" t="s">
        <v>698</v>
      </c>
      <c r="B239" s="665"/>
      <c r="C239" s="665"/>
      <c r="D239" s="665"/>
      <c r="E239" s="665"/>
      <c r="F239" s="665"/>
      <c r="G239" s="665"/>
      <c r="H239" s="665"/>
    </row>
    <row r="240" spans="1:8">
      <c r="A240" s="665"/>
      <c r="B240" s="665"/>
      <c r="C240" s="665"/>
      <c r="D240" s="665"/>
      <c r="E240" s="665"/>
      <c r="F240" s="665"/>
      <c r="G240" s="665"/>
      <c r="H240" s="665"/>
    </row>
    <row r="241" spans="1:8">
      <c r="A241" s="665" t="s">
        <v>699</v>
      </c>
      <c r="B241" s="665"/>
      <c r="C241" s="665"/>
      <c r="D241" s="665"/>
      <c r="E241" s="665"/>
      <c r="F241" s="665"/>
      <c r="G241" s="665"/>
      <c r="H241" s="665"/>
    </row>
    <row r="242" spans="1:8">
      <c r="A242" s="665" t="s">
        <v>700</v>
      </c>
      <c r="B242" s="665"/>
      <c r="C242" s="665"/>
      <c r="D242" s="665"/>
      <c r="E242" s="665"/>
      <c r="F242" s="665"/>
      <c r="G242" s="665"/>
      <c r="H242" s="665"/>
    </row>
    <row r="243" spans="1:8">
      <c r="A243" s="665" t="s">
        <v>701</v>
      </c>
      <c r="B243" s="665"/>
      <c r="C243" s="665"/>
      <c r="D243" s="665"/>
      <c r="E243" s="665"/>
      <c r="F243" s="665"/>
      <c r="G243" s="665"/>
      <c r="H243" s="665"/>
    </row>
    <row r="244" spans="1:8">
      <c r="A244" s="665" t="s">
        <v>702</v>
      </c>
      <c r="B244" s="665"/>
      <c r="C244" s="665"/>
      <c r="D244" s="665"/>
      <c r="E244" s="665"/>
      <c r="F244" s="665"/>
      <c r="G244" s="665"/>
      <c r="H244" s="665"/>
    </row>
    <row r="245" spans="1:8">
      <c r="A245" s="665" t="s">
        <v>703</v>
      </c>
      <c r="B245" s="665"/>
      <c r="C245" s="665"/>
      <c r="D245" s="665"/>
      <c r="E245" s="665"/>
      <c r="F245" s="665"/>
      <c r="G245" s="665"/>
      <c r="H245" s="665"/>
    </row>
    <row r="246" spans="1:8">
      <c r="A246" s="665" t="s">
        <v>704</v>
      </c>
      <c r="B246" s="665"/>
      <c r="C246" s="665"/>
      <c r="D246" s="665"/>
      <c r="E246" s="665"/>
      <c r="F246" s="665"/>
      <c r="G246" s="665"/>
      <c r="H246" s="665"/>
    </row>
    <row r="247" spans="1:8">
      <c r="A247" s="665" t="s">
        <v>705</v>
      </c>
      <c r="B247" s="665"/>
      <c r="C247" s="665"/>
      <c r="D247" s="665"/>
      <c r="E247" s="665"/>
      <c r="F247" s="665"/>
      <c r="G247" s="665"/>
      <c r="H247" s="665"/>
    </row>
    <row r="248" spans="1:8">
      <c r="A248" s="665" t="s">
        <v>706</v>
      </c>
      <c r="B248" s="665"/>
      <c r="C248" s="665"/>
      <c r="D248" s="665"/>
      <c r="E248" s="665"/>
      <c r="F248" s="665"/>
      <c r="G248" s="665"/>
      <c r="H248" s="665"/>
    </row>
    <row r="249" spans="1:8">
      <c r="A249" s="665" t="s">
        <v>707</v>
      </c>
      <c r="B249" s="665"/>
      <c r="C249" s="665"/>
      <c r="D249" s="665"/>
      <c r="E249" s="665"/>
      <c r="F249" s="665"/>
      <c r="G249" s="665"/>
      <c r="H249" s="665"/>
    </row>
    <row r="250" spans="1:8">
      <c r="A250" s="665" t="s">
        <v>708</v>
      </c>
      <c r="B250" s="665"/>
      <c r="C250" s="665"/>
      <c r="D250" s="665"/>
      <c r="E250" s="665"/>
      <c r="F250" s="665"/>
      <c r="G250" s="665"/>
      <c r="H250" s="665"/>
    </row>
    <row r="251" spans="1:8">
      <c r="A251" s="665" t="s">
        <v>709</v>
      </c>
      <c r="B251" s="665"/>
      <c r="C251" s="665"/>
      <c r="D251" s="665"/>
      <c r="E251" s="665"/>
      <c r="F251" s="665"/>
      <c r="G251" s="665"/>
      <c r="H251" s="665"/>
    </row>
    <row r="252" spans="1:8">
      <c r="A252" s="665" t="s">
        <v>710</v>
      </c>
      <c r="B252" s="665"/>
      <c r="C252" s="665"/>
      <c r="D252" s="665"/>
      <c r="E252" s="665"/>
      <c r="F252" s="665"/>
      <c r="G252" s="665"/>
      <c r="H252" s="665"/>
    </row>
    <row r="253" spans="1:8">
      <c r="A253" s="665" t="s">
        <v>711</v>
      </c>
      <c r="B253" s="665"/>
      <c r="C253" s="665"/>
      <c r="D253" s="665"/>
      <c r="E253" s="665"/>
      <c r="F253" s="665"/>
      <c r="G253" s="665"/>
      <c r="H253" s="665"/>
    </row>
    <row r="254" spans="1:8">
      <c r="A254" s="665" t="s">
        <v>712</v>
      </c>
      <c r="B254" s="665"/>
      <c r="C254" s="665"/>
      <c r="D254" s="665"/>
      <c r="E254" s="665"/>
      <c r="F254" s="665"/>
      <c r="G254" s="665"/>
      <c r="H254" s="665"/>
    </row>
    <row r="255" spans="1:8">
      <c r="A255" s="665"/>
      <c r="B255" s="665"/>
      <c r="C255" s="665"/>
      <c r="D255" s="665"/>
      <c r="E255" s="665"/>
      <c r="F255" s="665"/>
      <c r="G255" s="665"/>
      <c r="H255" s="665"/>
    </row>
    <row r="256" spans="1:8">
      <c r="A256" s="665" t="s">
        <v>713</v>
      </c>
      <c r="B256" s="665"/>
      <c r="C256" s="665"/>
      <c r="D256" s="665"/>
      <c r="E256" s="665"/>
      <c r="F256" s="665"/>
      <c r="G256" s="665"/>
      <c r="H256" s="665"/>
    </row>
    <row r="257" spans="1:8">
      <c r="A257" s="665" t="s">
        <v>714</v>
      </c>
      <c r="B257" s="665"/>
      <c r="C257" s="665"/>
      <c r="D257" s="665"/>
      <c r="E257" s="665"/>
      <c r="F257" s="665"/>
      <c r="G257" s="665"/>
      <c r="H257" s="665"/>
    </row>
    <row r="258" spans="1:8">
      <c r="A258" s="665"/>
      <c r="B258" s="665"/>
      <c r="C258" s="665"/>
      <c r="D258" s="665"/>
      <c r="E258" s="665"/>
      <c r="F258" s="665"/>
      <c r="G258" s="665"/>
      <c r="H258" s="665"/>
    </row>
    <row r="259" spans="1:8">
      <c r="A259" s="665" t="s">
        <v>715</v>
      </c>
      <c r="B259" s="665"/>
      <c r="C259" s="665"/>
      <c r="D259" s="665"/>
      <c r="E259" s="665"/>
      <c r="F259" s="665"/>
      <c r="G259" s="665"/>
      <c r="H259" s="665"/>
    </row>
    <row r="260" spans="1:8">
      <c r="A260" s="665" t="s">
        <v>716</v>
      </c>
      <c r="B260" s="665"/>
      <c r="C260" s="665"/>
      <c r="D260" s="665"/>
      <c r="E260" s="665"/>
      <c r="F260" s="665"/>
      <c r="G260" s="665"/>
      <c r="H260" s="665"/>
    </row>
    <row r="261" spans="1:8">
      <c r="A261" s="665" t="s">
        <v>717</v>
      </c>
      <c r="B261" s="665"/>
      <c r="C261" s="665"/>
      <c r="D261" s="665"/>
      <c r="E261" s="665"/>
      <c r="F261" s="665"/>
      <c r="G261" s="665"/>
      <c r="H261" s="665"/>
    </row>
    <row r="262" spans="1:8">
      <c r="A262" s="665" t="s">
        <v>718</v>
      </c>
      <c r="B262" s="665"/>
      <c r="C262" s="665"/>
      <c r="D262" s="665"/>
      <c r="E262" s="665"/>
      <c r="F262" s="665"/>
      <c r="G262" s="665"/>
      <c r="H262" s="665"/>
    </row>
    <row r="263" spans="1:8">
      <c r="A263" s="665" t="s">
        <v>719</v>
      </c>
      <c r="B263" s="665"/>
      <c r="C263" s="665"/>
      <c r="D263" s="665"/>
      <c r="E263" s="665"/>
      <c r="F263" s="665"/>
      <c r="G263" s="665"/>
      <c r="H263" s="665"/>
    </row>
    <row r="264" spans="1:8">
      <c r="A264" s="665" t="s">
        <v>720</v>
      </c>
      <c r="B264" s="665"/>
      <c r="C264" s="665"/>
      <c r="D264" s="665"/>
      <c r="E264" s="665"/>
      <c r="F264" s="665"/>
      <c r="G264" s="665"/>
      <c r="H264" s="665"/>
    </row>
    <row r="265" spans="1:8">
      <c r="A265" s="665" t="s">
        <v>721</v>
      </c>
      <c r="B265" s="665"/>
      <c r="C265" s="665"/>
      <c r="D265" s="665"/>
      <c r="E265" s="665"/>
      <c r="F265" s="665"/>
      <c r="G265" s="665"/>
      <c r="H265" s="665"/>
    </row>
    <row r="266" spans="1:8">
      <c r="A266" s="665" t="s">
        <v>722</v>
      </c>
      <c r="B266" s="665"/>
      <c r="C266" s="665"/>
      <c r="D266" s="665"/>
      <c r="E266" s="665"/>
      <c r="F266" s="665"/>
      <c r="G266" s="665"/>
      <c r="H266" s="665"/>
    </row>
    <row r="267" spans="1:8">
      <c r="A267" s="665" t="s">
        <v>723</v>
      </c>
      <c r="B267" s="665"/>
      <c r="C267" s="665"/>
      <c r="D267" s="665"/>
      <c r="E267" s="665"/>
      <c r="F267" s="665"/>
      <c r="G267" s="665"/>
      <c r="H267" s="665"/>
    </row>
    <row r="268" spans="1:8">
      <c r="A268" s="665" t="s">
        <v>724</v>
      </c>
      <c r="B268" s="665"/>
      <c r="C268" s="665"/>
      <c r="D268" s="665"/>
      <c r="E268" s="665"/>
      <c r="F268" s="665"/>
      <c r="G268" s="665"/>
      <c r="H268" s="665"/>
    </row>
    <row r="269" spans="1:8">
      <c r="A269" s="665" t="s">
        <v>725</v>
      </c>
      <c r="B269" s="665"/>
      <c r="C269" s="665"/>
      <c r="D269" s="665"/>
      <c r="E269" s="665"/>
      <c r="F269" s="665"/>
      <c r="G269" s="665"/>
      <c r="H269" s="665"/>
    </row>
    <row r="270" spans="1:8">
      <c r="A270" s="665" t="s">
        <v>726</v>
      </c>
      <c r="B270" s="665"/>
      <c r="C270" s="665"/>
      <c r="D270" s="665"/>
      <c r="E270" s="665"/>
      <c r="F270" s="665"/>
      <c r="G270" s="665"/>
      <c r="H270" s="665"/>
    </row>
    <row r="271" spans="1:8">
      <c r="A271" s="665" t="s">
        <v>727</v>
      </c>
      <c r="B271" s="665"/>
      <c r="C271" s="665"/>
      <c r="D271" s="665"/>
      <c r="E271" s="665"/>
      <c r="F271" s="665"/>
      <c r="G271" s="665"/>
      <c r="H271" s="665"/>
    </row>
    <row r="272" spans="1:8">
      <c r="A272" s="665" t="s">
        <v>728</v>
      </c>
      <c r="B272" s="665"/>
      <c r="C272" s="665"/>
      <c r="D272" s="665"/>
      <c r="E272" s="665"/>
      <c r="F272" s="665"/>
      <c r="G272" s="665"/>
      <c r="H272" s="665"/>
    </row>
    <row r="273" spans="1:8">
      <c r="A273" s="665" t="s">
        <v>729</v>
      </c>
      <c r="B273" s="665"/>
      <c r="C273" s="665"/>
      <c r="D273" s="665"/>
      <c r="E273" s="665"/>
      <c r="F273" s="665"/>
      <c r="G273" s="665"/>
      <c r="H273" s="665"/>
    </row>
    <row r="274" spans="1:8">
      <c r="A274" s="665" t="s">
        <v>730</v>
      </c>
      <c r="B274" s="665"/>
      <c r="C274" s="665"/>
      <c r="D274" s="665"/>
      <c r="E274" s="665"/>
      <c r="F274" s="665"/>
      <c r="G274" s="665"/>
      <c r="H274" s="665"/>
    </row>
    <row r="275" spans="1:8">
      <c r="A275" s="665"/>
      <c r="B275" s="665"/>
      <c r="C275" s="665"/>
      <c r="D275" s="665"/>
      <c r="E275" s="665"/>
      <c r="F275" s="665"/>
      <c r="G275" s="665"/>
      <c r="H275" s="665"/>
    </row>
    <row r="276" spans="1:8">
      <c r="A276" s="665" t="s">
        <v>731</v>
      </c>
      <c r="B276" s="665"/>
      <c r="C276" s="665"/>
      <c r="D276" s="665"/>
      <c r="E276" s="665"/>
      <c r="F276" s="665"/>
      <c r="G276" s="665"/>
      <c r="H276" s="665"/>
    </row>
    <row r="277" spans="1:8">
      <c r="A277" s="665" t="s">
        <v>732</v>
      </c>
      <c r="B277" s="665"/>
      <c r="C277" s="665"/>
      <c r="D277" s="665"/>
      <c r="E277" s="665"/>
      <c r="F277" s="665"/>
      <c r="G277" s="665"/>
      <c r="H277" s="665"/>
    </row>
    <row r="278" spans="1:8">
      <c r="A278" s="665" t="s">
        <v>733</v>
      </c>
      <c r="B278" s="665"/>
      <c r="C278" s="665"/>
      <c r="D278" s="665"/>
      <c r="E278" s="665"/>
      <c r="F278" s="665"/>
      <c r="G278" s="665"/>
      <c r="H278" s="665"/>
    </row>
    <row r="279" spans="1:8">
      <c r="A279" s="665" t="s">
        <v>734</v>
      </c>
      <c r="B279" s="665"/>
      <c r="C279" s="665"/>
      <c r="D279" s="665"/>
      <c r="E279" s="665"/>
      <c r="F279" s="665"/>
      <c r="G279" s="665"/>
      <c r="H279" s="665"/>
    </row>
    <row r="280" spans="1:8">
      <c r="A280" s="665" t="s">
        <v>735</v>
      </c>
      <c r="B280" s="665"/>
      <c r="C280" s="665"/>
      <c r="D280" s="665"/>
      <c r="E280" s="665"/>
      <c r="F280" s="665"/>
      <c r="G280" s="665"/>
      <c r="H280" s="665"/>
    </row>
    <row r="281" spans="1:8">
      <c r="A281" s="665" t="s">
        <v>736</v>
      </c>
      <c r="B281" s="665"/>
      <c r="C281" s="665"/>
      <c r="D281" s="665"/>
      <c r="E281" s="665"/>
      <c r="F281" s="665"/>
      <c r="G281" s="665"/>
      <c r="H281" s="665"/>
    </row>
    <row r="282" spans="1:8">
      <c r="A282" s="665" t="s">
        <v>595</v>
      </c>
      <c r="B282" s="665"/>
      <c r="C282" s="665"/>
      <c r="D282" s="665"/>
      <c r="E282" s="665"/>
      <c r="F282" s="665"/>
      <c r="G282" s="665"/>
      <c r="H282" s="665"/>
    </row>
    <row r="283" spans="1:8">
      <c r="A283" s="665"/>
      <c r="B283" s="665"/>
      <c r="C283" s="665"/>
      <c r="D283" s="665"/>
      <c r="E283" s="665"/>
      <c r="F283" s="665"/>
      <c r="G283" s="665"/>
      <c r="H283" s="665"/>
    </row>
    <row r="284" spans="1:8">
      <c r="A284" s="665" t="s">
        <v>737</v>
      </c>
      <c r="B284" s="665"/>
      <c r="C284" s="665"/>
      <c r="D284" s="665"/>
      <c r="E284" s="665"/>
      <c r="F284" s="665"/>
      <c r="G284" s="665"/>
      <c r="H284" s="665"/>
    </row>
    <row r="285" spans="1:8">
      <c r="A285" s="665" t="s">
        <v>738</v>
      </c>
      <c r="B285" s="665"/>
      <c r="C285" s="665"/>
      <c r="D285" s="665"/>
      <c r="E285" s="665"/>
      <c r="F285" s="665"/>
      <c r="G285" s="665"/>
      <c r="H285" s="665"/>
    </row>
    <row r="286" spans="1:8">
      <c r="A286" s="665" t="s">
        <v>739</v>
      </c>
      <c r="B286" s="665"/>
      <c r="C286" s="665"/>
      <c r="D286" s="665"/>
      <c r="E286" s="665"/>
      <c r="F286" s="665"/>
      <c r="G286" s="665"/>
      <c r="H286" s="665"/>
    </row>
    <row r="287" spans="1:8">
      <c r="A287" s="665" t="s">
        <v>740</v>
      </c>
      <c r="B287" s="665"/>
      <c r="C287" s="665"/>
      <c r="D287" s="665"/>
      <c r="E287" s="665"/>
      <c r="F287" s="665"/>
      <c r="G287" s="665"/>
      <c r="H287" s="665"/>
    </row>
    <row r="288" spans="1:8">
      <c r="A288" s="665" t="s">
        <v>741</v>
      </c>
      <c r="B288" s="665"/>
      <c r="C288" s="665"/>
      <c r="D288" s="665"/>
      <c r="E288" s="665"/>
      <c r="F288" s="665"/>
      <c r="G288" s="665"/>
      <c r="H288" s="665"/>
    </row>
    <row r="289" spans="1:8">
      <c r="A289" s="665" t="s">
        <v>742</v>
      </c>
      <c r="B289" s="665"/>
      <c r="C289" s="665"/>
      <c r="D289" s="665"/>
      <c r="E289" s="665"/>
      <c r="F289" s="665"/>
      <c r="G289" s="665"/>
      <c r="H289" s="665"/>
    </row>
    <row r="290" spans="1:8">
      <c r="A290" s="665" t="s">
        <v>743</v>
      </c>
      <c r="B290" s="665"/>
      <c r="C290" s="665"/>
      <c r="D290" s="665"/>
      <c r="E290" s="665"/>
      <c r="F290" s="665"/>
      <c r="G290" s="665"/>
      <c r="H290" s="665"/>
    </row>
    <row r="291" spans="1:8">
      <c r="A291" s="665" t="s">
        <v>744</v>
      </c>
      <c r="B291" s="665"/>
      <c r="C291" s="665"/>
      <c r="D291" s="665"/>
      <c r="E291" s="665"/>
      <c r="F291" s="665"/>
      <c r="G291" s="665"/>
      <c r="H291" s="665"/>
    </row>
    <row r="292" spans="1:8">
      <c r="A292" s="665" t="s">
        <v>745</v>
      </c>
      <c r="B292" s="665"/>
      <c r="C292" s="665"/>
      <c r="D292" s="665"/>
      <c r="E292" s="665"/>
      <c r="F292" s="665"/>
      <c r="G292" s="665"/>
      <c r="H292" s="665"/>
    </row>
    <row r="293" spans="1:8">
      <c r="A293" s="665"/>
      <c r="B293" s="665"/>
      <c r="C293" s="665"/>
      <c r="D293" s="665"/>
      <c r="E293" s="665"/>
      <c r="F293" s="665"/>
      <c r="G293" s="665"/>
      <c r="H293" s="665"/>
    </row>
    <row r="294" spans="1:8">
      <c r="A294" s="665" t="s">
        <v>746</v>
      </c>
      <c r="B294" s="665"/>
      <c r="C294" s="665"/>
      <c r="D294" s="665"/>
      <c r="E294" s="665"/>
      <c r="F294" s="665"/>
      <c r="G294" s="665"/>
      <c r="H294" s="665"/>
    </row>
    <row r="295" spans="1:8">
      <c r="A295" s="665" t="s">
        <v>747</v>
      </c>
      <c r="B295" s="665"/>
      <c r="C295" s="665"/>
      <c r="D295" s="665"/>
      <c r="E295" s="665"/>
      <c r="F295" s="665"/>
      <c r="G295" s="665"/>
      <c r="H295" s="665"/>
    </row>
    <row r="296" spans="1:8">
      <c r="A296" s="665" t="s">
        <v>748</v>
      </c>
      <c r="B296" s="665"/>
      <c r="C296" s="665"/>
      <c r="D296" s="665"/>
      <c r="E296" s="665"/>
      <c r="F296" s="665"/>
      <c r="G296" s="665"/>
      <c r="H296" s="665"/>
    </row>
    <row r="297" spans="1:8">
      <c r="A297" s="665" t="s">
        <v>749</v>
      </c>
      <c r="B297" s="665"/>
      <c r="C297" s="665"/>
      <c r="D297" s="665"/>
      <c r="E297" s="665"/>
      <c r="F297" s="665"/>
      <c r="G297" s="665"/>
      <c r="H297" s="665"/>
    </row>
    <row r="298" spans="1:8">
      <c r="A298" s="665" t="s">
        <v>750</v>
      </c>
      <c r="B298" s="665"/>
      <c r="C298" s="665"/>
      <c r="D298" s="665"/>
      <c r="E298" s="665"/>
      <c r="F298" s="665"/>
      <c r="G298" s="665"/>
      <c r="H298" s="665"/>
    </row>
    <row r="299" spans="1:8">
      <c r="A299" s="665" t="s">
        <v>751</v>
      </c>
      <c r="B299" s="665"/>
      <c r="C299" s="665"/>
      <c r="D299" s="665"/>
      <c r="E299" s="665"/>
      <c r="F299" s="665"/>
      <c r="G299" s="665"/>
      <c r="H299" s="665"/>
    </row>
    <row r="300" spans="1:8">
      <c r="A300" s="665" t="s">
        <v>752</v>
      </c>
      <c r="B300" s="665"/>
      <c r="C300" s="665"/>
      <c r="D300" s="665"/>
      <c r="E300" s="665"/>
      <c r="F300" s="665"/>
      <c r="G300" s="665"/>
      <c r="H300" s="665"/>
    </row>
    <row r="301" spans="1:8">
      <c r="A301" s="665"/>
      <c r="B301" s="665"/>
      <c r="C301" s="665"/>
      <c r="D301" s="665"/>
      <c r="E301" s="665"/>
      <c r="F301" s="665"/>
      <c r="G301" s="665"/>
      <c r="H301" s="665"/>
    </row>
    <row r="302" spans="1:8">
      <c r="A302" s="665" t="s">
        <v>753</v>
      </c>
      <c r="B302" s="665"/>
      <c r="C302" s="665"/>
      <c r="D302" s="665"/>
      <c r="E302" s="665"/>
      <c r="F302" s="665"/>
      <c r="G302" s="665"/>
      <c r="H302" s="665"/>
    </row>
    <row r="303" spans="1:8">
      <c r="A303" s="665" t="s">
        <v>754</v>
      </c>
      <c r="B303" s="665"/>
      <c r="C303" s="665"/>
      <c r="D303" s="665"/>
      <c r="E303" s="665"/>
      <c r="F303" s="665"/>
      <c r="G303" s="665"/>
      <c r="H303" s="665"/>
    </row>
    <row r="304" spans="1:8">
      <c r="A304" s="665" t="s">
        <v>755</v>
      </c>
      <c r="B304" s="665"/>
      <c r="C304" s="665"/>
      <c r="D304" s="665"/>
      <c r="E304" s="665"/>
      <c r="F304" s="665"/>
      <c r="G304" s="665"/>
      <c r="H304" s="665"/>
    </row>
    <row r="305" spans="1:8">
      <c r="A305" s="665"/>
      <c r="B305" s="665"/>
      <c r="C305" s="665"/>
      <c r="D305" s="665"/>
      <c r="E305" s="665"/>
      <c r="F305" s="665"/>
      <c r="G305" s="665"/>
      <c r="H305" s="665"/>
    </row>
    <row r="306" spans="1:8">
      <c r="A306" s="665" t="s">
        <v>756</v>
      </c>
      <c r="B306" s="665"/>
      <c r="C306" s="665"/>
      <c r="D306" s="665"/>
      <c r="E306" s="665"/>
      <c r="F306" s="665"/>
      <c r="G306" s="665"/>
      <c r="H306" s="665"/>
    </row>
    <row r="307" spans="1:8">
      <c r="A307" s="665" t="s">
        <v>757</v>
      </c>
      <c r="B307" s="665"/>
      <c r="C307" s="665"/>
      <c r="D307" s="665"/>
      <c r="E307" s="665"/>
      <c r="F307" s="665"/>
      <c r="G307" s="665"/>
      <c r="H307" s="665"/>
    </row>
    <row r="308" spans="1:8">
      <c r="A308" s="665"/>
      <c r="B308" s="665"/>
      <c r="C308" s="665"/>
      <c r="D308" s="665"/>
      <c r="E308" s="665"/>
      <c r="F308" s="665"/>
      <c r="G308" s="665"/>
      <c r="H308" s="665"/>
    </row>
    <row r="309" spans="1:8">
      <c r="A309" s="665" t="s">
        <v>758</v>
      </c>
      <c r="B309" s="665"/>
      <c r="C309" s="665"/>
      <c r="D309" s="665"/>
      <c r="E309" s="665"/>
      <c r="F309" s="665"/>
      <c r="G309" s="665"/>
      <c r="H309" s="665"/>
    </row>
    <row r="310" spans="1:8">
      <c r="A310" s="665" t="s">
        <v>759</v>
      </c>
      <c r="B310" s="665"/>
      <c r="C310" s="665"/>
      <c r="D310" s="665"/>
      <c r="E310" s="665"/>
      <c r="F310" s="665"/>
      <c r="G310" s="665"/>
      <c r="H310" s="665"/>
    </row>
    <row r="311" spans="1:8">
      <c r="A311" s="665" t="s">
        <v>760</v>
      </c>
      <c r="B311" s="665"/>
      <c r="C311" s="665"/>
      <c r="D311" s="665"/>
      <c r="E311" s="665"/>
      <c r="F311" s="665"/>
      <c r="G311" s="665"/>
      <c r="H311" s="665"/>
    </row>
    <row r="312" spans="1:8">
      <c r="A312" s="665" t="s">
        <v>761</v>
      </c>
      <c r="B312" s="665"/>
      <c r="C312" s="665"/>
      <c r="D312" s="665"/>
      <c r="E312" s="665"/>
      <c r="F312" s="665"/>
      <c r="G312" s="665"/>
      <c r="H312" s="665"/>
    </row>
    <row r="313" spans="1:8">
      <c r="A313" s="665" t="s">
        <v>762</v>
      </c>
      <c r="B313" s="665"/>
      <c r="C313" s="665"/>
      <c r="D313" s="665"/>
      <c r="E313" s="665"/>
      <c r="F313" s="665"/>
      <c r="G313" s="665"/>
      <c r="H313" s="665"/>
    </row>
    <row r="314" spans="1:8">
      <c r="A314" s="665" t="s">
        <v>763</v>
      </c>
      <c r="B314" s="665"/>
      <c r="C314" s="665"/>
      <c r="D314" s="665"/>
      <c r="E314" s="665"/>
      <c r="F314" s="665"/>
      <c r="G314" s="665"/>
      <c r="H314" s="665"/>
    </row>
    <row r="315" spans="1:8">
      <c r="A315" s="665" t="s">
        <v>764</v>
      </c>
      <c r="B315" s="665"/>
      <c r="C315" s="665"/>
      <c r="D315" s="665"/>
      <c r="E315" s="665"/>
      <c r="F315" s="665"/>
      <c r="G315" s="665"/>
      <c r="H315" s="665"/>
    </row>
    <row r="316" spans="1:8">
      <c r="A316" s="665" t="s">
        <v>765</v>
      </c>
      <c r="B316" s="665"/>
      <c r="C316" s="665"/>
      <c r="D316" s="665"/>
      <c r="E316" s="665"/>
      <c r="F316" s="665"/>
      <c r="G316" s="665"/>
      <c r="H316" s="665"/>
    </row>
    <row r="317" spans="1:8">
      <c r="A317" s="665" t="s">
        <v>766</v>
      </c>
      <c r="B317" s="665"/>
      <c r="C317" s="665"/>
      <c r="D317" s="665"/>
      <c r="E317" s="665"/>
      <c r="F317" s="665"/>
      <c r="G317" s="665"/>
      <c r="H317" s="665"/>
    </row>
    <row r="318" spans="1:8">
      <c r="A318" s="665" t="s">
        <v>767</v>
      </c>
      <c r="B318" s="665"/>
      <c r="C318" s="665"/>
      <c r="D318" s="665"/>
      <c r="E318" s="665"/>
      <c r="F318" s="665"/>
      <c r="G318" s="665"/>
      <c r="H318" s="665"/>
    </row>
    <row r="319" spans="1:8">
      <c r="A319" s="665" t="s">
        <v>768</v>
      </c>
      <c r="B319" s="665"/>
      <c r="C319" s="665"/>
      <c r="D319" s="665"/>
      <c r="E319" s="665"/>
      <c r="F319" s="665"/>
      <c r="G319" s="665"/>
      <c r="H319" s="665"/>
    </row>
    <row r="320" spans="1:8">
      <c r="A320" s="665" t="s">
        <v>769</v>
      </c>
      <c r="B320" s="665"/>
      <c r="C320" s="665"/>
      <c r="D320" s="665"/>
      <c r="E320" s="665"/>
      <c r="F320" s="665"/>
      <c r="G320" s="665"/>
      <c r="H320" s="665"/>
    </row>
    <row r="321" spans="1:8">
      <c r="A321" s="665" t="s">
        <v>770</v>
      </c>
      <c r="B321" s="665"/>
      <c r="C321" s="665"/>
      <c r="D321" s="665"/>
      <c r="E321" s="665"/>
      <c r="F321" s="665"/>
      <c r="G321" s="665"/>
      <c r="H321" s="665"/>
    </row>
    <row r="322" spans="1:8">
      <c r="A322" s="665"/>
      <c r="B322" s="665"/>
      <c r="C322" s="665"/>
      <c r="D322" s="665"/>
      <c r="E322" s="665"/>
      <c r="F322" s="665"/>
      <c r="G322" s="665"/>
      <c r="H322" s="665"/>
    </row>
    <row r="323" spans="1:8">
      <c r="A323" s="665" t="s">
        <v>771</v>
      </c>
      <c r="B323" s="665"/>
      <c r="C323" s="665"/>
      <c r="D323" s="665"/>
      <c r="E323" s="665"/>
      <c r="F323" s="665"/>
      <c r="G323" s="665"/>
      <c r="H323" s="665"/>
    </row>
    <row r="324" spans="1:8">
      <c r="A324" s="665" t="s">
        <v>772</v>
      </c>
      <c r="B324" s="665"/>
      <c r="C324" s="665"/>
      <c r="D324" s="665"/>
      <c r="E324" s="665"/>
      <c r="F324" s="665"/>
      <c r="G324" s="665"/>
      <c r="H324" s="665"/>
    </row>
    <row r="325" spans="1:8">
      <c r="A325" s="665"/>
      <c r="B325" s="665"/>
      <c r="C325" s="665"/>
      <c r="D325" s="665"/>
      <c r="E325" s="665"/>
      <c r="F325" s="665"/>
      <c r="G325" s="665"/>
      <c r="H325" s="665"/>
    </row>
    <row r="326" spans="1:8">
      <c r="A326" s="665" t="s">
        <v>773</v>
      </c>
      <c r="B326" s="665"/>
      <c r="C326" s="665"/>
      <c r="D326" s="665"/>
      <c r="E326" s="665"/>
      <c r="F326" s="665"/>
      <c r="G326" s="665"/>
      <c r="H326" s="665"/>
    </row>
    <row r="327" spans="1:8">
      <c r="A327" s="665" t="s">
        <v>774</v>
      </c>
      <c r="B327" s="665"/>
      <c r="C327" s="665"/>
      <c r="D327" s="665"/>
      <c r="E327" s="665"/>
      <c r="F327" s="665"/>
      <c r="G327" s="665"/>
      <c r="H327" s="665"/>
    </row>
    <row r="328" spans="1:8">
      <c r="A328" s="665" t="s">
        <v>775</v>
      </c>
      <c r="B328" s="665"/>
      <c r="C328" s="665"/>
      <c r="D328" s="665"/>
      <c r="E328" s="665"/>
      <c r="F328" s="665"/>
      <c r="G328" s="665"/>
      <c r="H328" s="665"/>
    </row>
    <row r="329" spans="1:8">
      <c r="A329" s="665" t="s">
        <v>776</v>
      </c>
      <c r="B329" s="665"/>
      <c r="C329" s="665"/>
      <c r="D329" s="665"/>
      <c r="E329" s="665"/>
      <c r="F329" s="665"/>
      <c r="G329" s="665"/>
      <c r="H329" s="665"/>
    </row>
    <row r="330" spans="1:8">
      <c r="A330" s="665" t="s">
        <v>777</v>
      </c>
      <c r="B330" s="665"/>
      <c r="C330" s="665"/>
      <c r="D330" s="665"/>
      <c r="E330" s="665"/>
      <c r="F330" s="665"/>
      <c r="G330" s="665"/>
      <c r="H330" s="665"/>
    </row>
    <row r="331" spans="1:8">
      <c r="A331" s="665" t="s">
        <v>778</v>
      </c>
      <c r="B331" s="665"/>
      <c r="C331" s="665"/>
      <c r="D331" s="665"/>
      <c r="E331" s="665"/>
      <c r="F331" s="665"/>
      <c r="G331" s="665"/>
      <c r="H331" s="665"/>
    </row>
    <row r="332" spans="1:8">
      <c r="A332" s="665" t="s">
        <v>779</v>
      </c>
      <c r="B332" s="665"/>
      <c r="C332" s="665"/>
      <c r="D332" s="665"/>
      <c r="E332" s="665"/>
      <c r="F332" s="665"/>
      <c r="G332" s="665"/>
      <c r="H332" s="665"/>
    </row>
    <row r="333" spans="1:8">
      <c r="A333" s="665" t="s">
        <v>780</v>
      </c>
      <c r="B333" s="665"/>
      <c r="C333" s="665"/>
      <c r="D333" s="665"/>
      <c r="E333" s="665"/>
      <c r="F333" s="665"/>
      <c r="G333" s="665"/>
      <c r="H333" s="665"/>
    </row>
    <row r="334" spans="1:8">
      <c r="A334" s="665"/>
      <c r="B334" s="665"/>
      <c r="C334" s="665"/>
      <c r="D334" s="665"/>
      <c r="E334" s="665"/>
      <c r="F334" s="665"/>
      <c r="G334" s="665"/>
      <c r="H334" s="665"/>
    </row>
    <row r="335" spans="1:8">
      <c r="A335" s="665" t="s">
        <v>781</v>
      </c>
      <c r="B335" s="665"/>
      <c r="C335" s="665"/>
      <c r="D335" s="665"/>
      <c r="E335" s="665"/>
      <c r="F335" s="665"/>
      <c r="G335" s="665"/>
      <c r="H335" s="665"/>
    </row>
    <row r="336" spans="1:8">
      <c r="A336" s="665" t="s">
        <v>782</v>
      </c>
      <c r="B336" s="665"/>
      <c r="C336" s="665"/>
      <c r="D336" s="665"/>
      <c r="E336" s="665"/>
      <c r="F336" s="665"/>
      <c r="G336" s="665"/>
      <c r="H336" s="665"/>
    </row>
    <row r="337" spans="1:8">
      <c r="A337" s="665" t="s">
        <v>783</v>
      </c>
      <c r="B337" s="665"/>
      <c r="C337" s="665"/>
      <c r="D337" s="665"/>
      <c r="E337" s="665"/>
      <c r="F337" s="665"/>
      <c r="G337" s="665"/>
      <c r="H337" s="665"/>
    </row>
    <row r="338" spans="1:8">
      <c r="A338" s="665" t="s">
        <v>784</v>
      </c>
      <c r="B338" s="665"/>
      <c r="C338" s="665"/>
      <c r="D338" s="665"/>
      <c r="E338" s="665"/>
      <c r="F338" s="665"/>
      <c r="G338" s="665"/>
      <c r="H338" s="665"/>
    </row>
    <row r="339" spans="1:8">
      <c r="A339" s="665" t="s">
        <v>785</v>
      </c>
      <c r="B339" s="665"/>
      <c r="C339" s="665"/>
      <c r="D339" s="665"/>
      <c r="E339" s="665"/>
      <c r="F339" s="665"/>
      <c r="G339" s="665"/>
      <c r="H339" s="665"/>
    </row>
    <row r="340" spans="1:8">
      <c r="A340" s="665" t="s">
        <v>786</v>
      </c>
      <c r="B340" s="665"/>
      <c r="C340" s="665"/>
      <c r="D340" s="665"/>
      <c r="E340" s="665"/>
      <c r="F340" s="665"/>
      <c r="G340" s="665"/>
      <c r="H340" s="665"/>
    </row>
    <row r="341" spans="1:8">
      <c r="A341" s="665" t="s">
        <v>787</v>
      </c>
      <c r="B341" s="665"/>
      <c r="C341" s="665"/>
      <c r="D341" s="665"/>
      <c r="E341" s="665"/>
      <c r="F341" s="665"/>
      <c r="G341" s="665"/>
      <c r="H341" s="665"/>
    </row>
    <row r="342" spans="1:8">
      <c r="A342" s="665" t="s">
        <v>788</v>
      </c>
      <c r="B342" s="665"/>
      <c r="C342" s="665"/>
      <c r="D342" s="665"/>
      <c r="E342" s="665"/>
      <c r="F342" s="665"/>
      <c r="G342" s="665"/>
      <c r="H342" s="665"/>
    </row>
    <row r="343" spans="1:8">
      <c r="A343" s="665" t="s">
        <v>789</v>
      </c>
      <c r="B343" s="665"/>
      <c r="C343" s="665"/>
      <c r="D343" s="665"/>
      <c r="E343" s="665"/>
      <c r="F343" s="665"/>
      <c r="G343" s="665"/>
      <c r="H343" s="665"/>
    </row>
    <row r="344" spans="1:8">
      <c r="A344" s="665" t="s">
        <v>790</v>
      </c>
      <c r="B344" s="665"/>
      <c r="C344" s="665"/>
      <c r="D344" s="665"/>
      <c r="E344" s="665"/>
      <c r="F344" s="665"/>
      <c r="G344" s="665"/>
      <c r="H344" s="665"/>
    </row>
    <row r="345" spans="1:8">
      <c r="A345" s="665" t="s">
        <v>791</v>
      </c>
      <c r="B345" s="665"/>
      <c r="C345" s="665"/>
      <c r="D345" s="665"/>
      <c r="E345" s="665"/>
      <c r="F345" s="665"/>
      <c r="G345" s="665"/>
      <c r="H345" s="665"/>
    </row>
    <row r="346" spans="1:8">
      <c r="A346" s="665" t="s">
        <v>792</v>
      </c>
      <c r="B346" s="665"/>
      <c r="C346" s="665"/>
      <c r="D346" s="665"/>
      <c r="E346" s="665"/>
      <c r="F346" s="665"/>
      <c r="G346" s="665"/>
      <c r="H346" s="665"/>
    </row>
    <row r="347" spans="1:8">
      <c r="A347" s="665" t="s">
        <v>793</v>
      </c>
      <c r="B347" s="665"/>
      <c r="C347" s="665"/>
      <c r="D347" s="665"/>
      <c r="E347" s="665"/>
      <c r="F347" s="665"/>
      <c r="G347" s="665"/>
      <c r="H347" s="665"/>
    </row>
    <row r="348" spans="1:8">
      <c r="A348" s="665" t="s">
        <v>794</v>
      </c>
      <c r="B348" s="665"/>
      <c r="C348" s="665"/>
      <c r="D348" s="665"/>
      <c r="E348" s="665"/>
      <c r="F348" s="665"/>
      <c r="G348" s="665"/>
      <c r="H348" s="665"/>
    </row>
    <row r="349" spans="1:8">
      <c r="A349" s="665" t="s">
        <v>795</v>
      </c>
      <c r="B349" s="665"/>
      <c r="C349" s="665"/>
      <c r="D349" s="665"/>
      <c r="E349" s="665"/>
      <c r="F349" s="665"/>
      <c r="G349" s="665"/>
      <c r="H349" s="665"/>
    </row>
    <row r="350" spans="1:8">
      <c r="A350" s="665" t="s">
        <v>796</v>
      </c>
      <c r="B350" s="665"/>
      <c r="C350" s="665"/>
      <c r="D350" s="665"/>
      <c r="E350" s="665"/>
      <c r="F350" s="665"/>
      <c r="G350" s="665"/>
      <c r="H350" s="665"/>
    </row>
    <row r="351" spans="1:8">
      <c r="A351" s="665" t="s">
        <v>797</v>
      </c>
      <c r="B351" s="665"/>
      <c r="C351" s="665"/>
      <c r="D351" s="665"/>
      <c r="E351" s="665"/>
      <c r="F351" s="665"/>
      <c r="G351" s="665"/>
      <c r="H351" s="665"/>
    </row>
    <row r="352" spans="1:8">
      <c r="A352" s="665" t="s">
        <v>798</v>
      </c>
      <c r="B352" s="665"/>
      <c r="C352" s="665"/>
      <c r="D352" s="665"/>
      <c r="E352" s="665"/>
      <c r="F352" s="665"/>
      <c r="G352" s="665"/>
      <c r="H352" s="665"/>
    </row>
    <row r="353" spans="1:8">
      <c r="A353" s="665" t="s">
        <v>799</v>
      </c>
      <c r="B353" s="665"/>
      <c r="C353" s="665"/>
      <c r="D353" s="665"/>
      <c r="E353" s="665"/>
      <c r="F353" s="665"/>
      <c r="G353" s="665"/>
      <c r="H353" s="665"/>
    </row>
    <row r="354" spans="1:8">
      <c r="A354" s="665" t="s">
        <v>800</v>
      </c>
      <c r="B354" s="665"/>
      <c r="C354" s="665"/>
      <c r="D354" s="665"/>
      <c r="E354" s="665"/>
      <c r="F354" s="665"/>
      <c r="G354" s="665"/>
      <c r="H354" s="665"/>
    </row>
    <row r="355" spans="1:8">
      <c r="A355" s="665" t="s">
        <v>801</v>
      </c>
      <c r="B355" s="665"/>
      <c r="C355" s="665"/>
      <c r="D355" s="665"/>
      <c r="E355" s="665"/>
      <c r="F355" s="665"/>
      <c r="G355" s="665"/>
      <c r="H355" s="665"/>
    </row>
    <row r="356" spans="1:8">
      <c r="A356" s="665" t="s">
        <v>802</v>
      </c>
      <c r="B356" s="665"/>
      <c r="C356" s="665"/>
      <c r="D356" s="665"/>
      <c r="E356" s="665"/>
      <c r="F356" s="665"/>
      <c r="G356" s="665"/>
      <c r="H356" s="665"/>
    </row>
    <row r="357" spans="1:8">
      <c r="A357" s="665" t="s">
        <v>803</v>
      </c>
      <c r="B357" s="665"/>
      <c r="C357" s="665"/>
      <c r="D357" s="665"/>
      <c r="E357" s="665"/>
      <c r="F357" s="665"/>
      <c r="G357" s="665"/>
      <c r="H357" s="665"/>
    </row>
    <row r="358" spans="1:8">
      <c r="A358" s="665" t="s">
        <v>804</v>
      </c>
      <c r="B358" s="665"/>
      <c r="C358" s="665"/>
      <c r="D358" s="665"/>
      <c r="E358" s="665"/>
      <c r="F358" s="665"/>
      <c r="G358" s="665"/>
      <c r="H358" s="665"/>
    </row>
    <row r="359" spans="1:8">
      <c r="A359" s="665" t="s">
        <v>805</v>
      </c>
      <c r="B359" s="665"/>
      <c r="C359" s="665"/>
      <c r="D359" s="665"/>
      <c r="E359" s="665"/>
      <c r="F359" s="665"/>
      <c r="G359" s="665"/>
      <c r="H359" s="665"/>
    </row>
    <row r="360" spans="1:8">
      <c r="A360" s="665" t="s">
        <v>806</v>
      </c>
      <c r="B360" s="665"/>
      <c r="C360" s="665"/>
      <c r="D360" s="665"/>
      <c r="E360" s="665"/>
      <c r="F360" s="665"/>
      <c r="G360" s="665"/>
      <c r="H360" s="665"/>
    </row>
    <row r="361" spans="1:8">
      <c r="A361" s="665" t="s">
        <v>807</v>
      </c>
      <c r="B361" s="665"/>
      <c r="C361" s="665"/>
      <c r="D361" s="665"/>
      <c r="E361" s="665"/>
      <c r="F361" s="665"/>
      <c r="G361" s="665"/>
      <c r="H361" s="665"/>
    </row>
    <row r="362" spans="1:8">
      <c r="A362" s="665" t="s">
        <v>808</v>
      </c>
      <c r="B362" s="665"/>
      <c r="C362" s="665"/>
      <c r="D362" s="665"/>
      <c r="E362" s="665"/>
      <c r="F362" s="665"/>
      <c r="G362" s="665"/>
      <c r="H362" s="665"/>
    </row>
    <row r="363" spans="1:8">
      <c r="A363" s="665" t="s">
        <v>809</v>
      </c>
      <c r="B363" s="665"/>
      <c r="C363" s="665"/>
      <c r="D363" s="665"/>
      <c r="E363" s="665"/>
      <c r="F363" s="665"/>
      <c r="G363" s="665"/>
      <c r="H363" s="665"/>
    </row>
    <row r="364" spans="1:8">
      <c r="A364" s="665" t="s">
        <v>810</v>
      </c>
      <c r="B364" s="665"/>
      <c r="C364" s="665"/>
      <c r="D364" s="665"/>
      <c r="E364" s="665"/>
      <c r="F364" s="665"/>
      <c r="G364" s="665"/>
      <c r="H364" s="665"/>
    </row>
    <row r="365" spans="1:8">
      <c r="A365" s="665" t="s">
        <v>811</v>
      </c>
      <c r="B365" s="665"/>
      <c r="C365" s="665"/>
      <c r="D365" s="665"/>
      <c r="E365" s="665"/>
      <c r="F365" s="665"/>
      <c r="G365" s="665"/>
      <c r="H365" s="665"/>
    </row>
    <row r="366" spans="1:8">
      <c r="A366" s="665" t="s">
        <v>812</v>
      </c>
      <c r="B366" s="665"/>
      <c r="C366" s="665"/>
      <c r="D366" s="665"/>
      <c r="E366" s="665"/>
      <c r="F366" s="665"/>
      <c r="G366" s="665"/>
      <c r="H366" s="665"/>
    </row>
    <row r="367" spans="1:8">
      <c r="A367" s="665" t="s">
        <v>813</v>
      </c>
      <c r="B367" s="665"/>
      <c r="C367" s="665"/>
      <c r="D367" s="665"/>
      <c r="E367" s="665"/>
      <c r="F367" s="665"/>
      <c r="G367" s="665"/>
      <c r="H367" s="665"/>
    </row>
    <row r="368" spans="1:8">
      <c r="A368" s="665" t="s">
        <v>814</v>
      </c>
      <c r="B368" s="665"/>
      <c r="C368" s="665"/>
      <c r="D368" s="665"/>
      <c r="E368" s="665"/>
      <c r="F368" s="665"/>
      <c r="G368" s="665"/>
      <c r="H368" s="665"/>
    </row>
    <row r="369" spans="1:8">
      <c r="A369" s="665" t="s">
        <v>815</v>
      </c>
      <c r="B369" s="665"/>
      <c r="C369" s="665"/>
      <c r="D369" s="665"/>
      <c r="E369" s="665"/>
      <c r="F369" s="665"/>
      <c r="G369" s="665"/>
      <c r="H369" s="665"/>
    </row>
    <row r="370" spans="1:8">
      <c r="A370" s="665" t="s">
        <v>816</v>
      </c>
      <c r="B370" s="665"/>
      <c r="C370" s="665"/>
      <c r="D370" s="665"/>
      <c r="E370" s="665"/>
      <c r="F370" s="665"/>
      <c r="G370" s="665"/>
      <c r="H370" s="665"/>
    </row>
    <row r="371" spans="1:8">
      <c r="A371" s="665" t="s">
        <v>817</v>
      </c>
      <c r="B371" s="665"/>
      <c r="C371" s="665"/>
      <c r="D371" s="665"/>
      <c r="E371" s="665"/>
      <c r="F371" s="665"/>
      <c r="G371" s="665"/>
      <c r="H371" s="665"/>
    </row>
    <row r="372" spans="1:8">
      <c r="A372" s="665" t="s">
        <v>818</v>
      </c>
      <c r="B372" s="665"/>
      <c r="C372" s="665"/>
      <c r="D372" s="665"/>
      <c r="E372" s="665"/>
      <c r="F372" s="665"/>
      <c r="G372" s="665"/>
      <c r="H372" s="665"/>
    </row>
    <row r="373" spans="1:8">
      <c r="A373" s="665" t="s">
        <v>819</v>
      </c>
      <c r="B373" s="665"/>
      <c r="C373" s="665"/>
      <c r="D373" s="665"/>
      <c r="E373" s="665"/>
      <c r="F373" s="665"/>
      <c r="G373" s="665"/>
      <c r="H373" s="665"/>
    </row>
    <row r="374" spans="1:8">
      <c r="A374" s="665" t="s">
        <v>820</v>
      </c>
      <c r="B374" s="665"/>
      <c r="C374" s="665"/>
      <c r="D374" s="665"/>
      <c r="E374" s="665"/>
      <c r="F374" s="665"/>
      <c r="G374" s="665"/>
      <c r="H374" s="665"/>
    </row>
    <row r="375" spans="1:8">
      <c r="A375" s="665" t="s">
        <v>821</v>
      </c>
      <c r="B375" s="665"/>
      <c r="C375" s="665"/>
      <c r="D375" s="665"/>
      <c r="E375" s="665"/>
      <c r="F375" s="665"/>
      <c r="G375" s="665"/>
      <c r="H375" s="665"/>
    </row>
    <row r="376" spans="1:8">
      <c r="A376" s="665" t="s">
        <v>822</v>
      </c>
      <c r="B376" s="665"/>
      <c r="C376" s="665"/>
      <c r="D376" s="665"/>
      <c r="E376" s="665"/>
      <c r="F376" s="665"/>
      <c r="G376" s="665"/>
      <c r="H376" s="665"/>
    </row>
    <row r="377" spans="1:8">
      <c r="A377" s="665" t="s">
        <v>823</v>
      </c>
      <c r="B377" s="665"/>
      <c r="C377" s="665"/>
      <c r="D377" s="665"/>
      <c r="E377" s="665"/>
      <c r="F377" s="665"/>
      <c r="G377" s="665"/>
      <c r="H377" s="665"/>
    </row>
    <row r="378" spans="1:8">
      <c r="A378" s="665" t="s">
        <v>824</v>
      </c>
      <c r="B378" s="665"/>
      <c r="C378" s="665"/>
      <c r="D378" s="665"/>
      <c r="E378" s="665"/>
      <c r="F378" s="665"/>
      <c r="G378" s="665"/>
      <c r="H378" s="665"/>
    </row>
    <row r="379" spans="1:8">
      <c r="A379" s="665" t="s">
        <v>825</v>
      </c>
      <c r="B379" s="665"/>
      <c r="C379" s="665"/>
      <c r="D379" s="665"/>
      <c r="E379" s="665"/>
      <c r="F379" s="665"/>
      <c r="G379" s="665"/>
      <c r="H379" s="665"/>
    </row>
    <row r="380" spans="1:8">
      <c r="A380" s="665" t="s">
        <v>826</v>
      </c>
      <c r="B380" s="665"/>
      <c r="C380" s="665"/>
      <c r="D380" s="665"/>
      <c r="E380" s="665"/>
      <c r="F380" s="665"/>
      <c r="G380" s="665"/>
      <c r="H380" s="665"/>
    </row>
    <row r="381" spans="1:8">
      <c r="A381" s="665"/>
      <c r="B381" s="665"/>
      <c r="C381" s="665"/>
      <c r="D381" s="665"/>
      <c r="E381" s="665"/>
      <c r="F381" s="665"/>
      <c r="G381" s="665"/>
      <c r="H381" s="665"/>
    </row>
    <row r="382" spans="1:8">
      <c r="A382" s="665" t="s">
        <v>827</v>
      </c>
      <c r="B382" s="665"/>
      <c r="C382" s="665"/>
      <c r="D382" s="665"/>
      <c r="E382" s="665"/>
      <c r="F382" s="665"/>
      <c r="G382" s="665"/>
      <c r="H382" s="665"/>
    </row>
    <row r="383" spans="1:8">
      <c r="A383" s="665" t="s">
        <v>828</v>
      </c>
      <c r="B383" s="665"/>
      <c r="C383" s="665"/>
      <c r="D383" s="665"/>
      <c r="E383" s="665"/>
      <c r="F383" s="665"/>
      <c r="G383" s="665"/>
      <c r="H383" s="665"/>
    </row>
    <row r="384" spans="1:8">
      <c r="A384" s="665" t="s">
        <v>829</v>
      </c>
      <c r="B384" s="665"/>
      <c r="C384" s="665"/>
      <c r="D384" s="665"/>
      <c r="E384" s="665"/>
      <c r="F384" s="665"/>
      <c r="G384" s="665"/>
      <c r="H384" s="665"/>
    </row>
    <row r="385" spans="1:8">
      <c r="A385" s="665" t="s">
        <v>830</v>
      </c>
      <c r="B385" s="665"/>
      <c r="C385" s="665"/>
      <c r="D385" s="665"/>
      <c r="E385" s="665"/>
      <c r="F385" s="665"/>
      <c r="G385" s="665"/>
      <c r="H385" s="665"/>
    </row>
    <row r="386" spans="1:8">
      <c r="A386" s="665" t="s">
        <v>831</v>
      </c>
      <c r="B386" s="665"/>
      <c r="C386" s="665"/>
      <c r="D386" s="665"/>
      <c r="E386" s="665"/>
      <c r="F386" s="665"/>
      <c r="G386" s="665"/>
      <c r="H386" s="665"/>
    </row>
    <row r="387" spans="1:8">
      <c r="A387" s="665" t="s">
        <v>832</v>
      </c>
      <c r="B387" s="665"/>
      <c r="C387" s="665"/>
      <c r="D387" s="665"/>
      <c r="E387" s="665"/>
      <c r="F387" s="665"/>
      <c r="G387" s="665"/>
      <c r="H387" s="665"/>
    </row>
    <row r="388" spans="1:8">
      <c r="A388" s="665" t="s">
        <v>833</v>
      </c>
      <c r="B388" s="665"/>
      <c r="C388" s="665"/>
      <c r="D388" s="665"/>
      <c r="E388" s="665"/>
      <c r="F388" s="665"/>
      <c r="G388" s="665"/>
      <c r="H388" s="665"/>
    </row>
    <row r="389" spans="1:8">
      <c r="A389" s="665" t="s">
        <v>834</v>
      </c>
      <c r="B389" s="665"/>
      <c r="C389" s="665"/>
      <c r="D389" s="665"/>
      <c r="E389" s="665"/>
      <c r="F389" s="665"/>
      <c r="G389" s="665"/>
      <c r="H389" s="665"/>
    </row>
    <row r="390" spans="1:8">
      <c r="A390" s="665"/>
      <c r="B390" s="665"/>
      <c r="C390" s="665"/>
      <c r="D390" s="665"/>
      <c r="E390" s="665"/>
      <c r="F390" s="665"/>
      <c r="G390" s="665"/>
      <c r="H390" s="665"/>
    </row>
    <row r="391" spans="1:8">
      <c r="A391" s="665" t="s">
        <v>827</v>
      </c>
      <c r="B391" s="665"/>
      <c r="C391" s="665"/>
      <c r="D391" s="665"/>
      <c r="E391" s="665"/>
      <c r="F391" s="665"/>
      <c r="G391" s="665"/>
      <c r="H391" s="665"/>
    </row>
    <row r="392" spans="1:8">
      <c r="A392" s="665" t="s">
        <v>835</v>
      </c>
      <c r="B392" s="665"/>
      <c r="C392" s="665"/>
      <c r="D392" s="665"/>
      <c r="E392" s="665"/>
      <c r="F392" s="665"/>
      <c r="G392" s="665"/>
      <c r="H392" s="665"/>
    </row>
    <row r="393" spans="1:8">
      <c r="A393" s="665" t="s">
        <v>836</v>
      </c>
      <c r="B393" s="665"/>
      <c r="C393" s="665"/>
      <c r="D393" s="665"/>
      <c r="E393" s="665"/>
      <c r="F393" s="665"/>
      <c r="G393" s="665"/>
      <c r="H393" s="665"/>
    </row>
    <row r="394" spans="1:8">
      <c r="A394" s="665" t="s">
        <v>837</v>
      </c>
      <c r="B394" s="665"/>
      <c r="C394" s="665"/>
      <c r="D394" s="665"/>
      <c r="E394" s="665"/>
      <c r="F394" s="665"/>
      <c r="G394" s="665"/>
      <c r="H394" s="665"/>
    </row>
    <row r="395" spans="1:8">
      <c r="A395" s="665"/>
      <c r="B395" s="665"/>
      <c r="C395" s="665"/>
      <c r="D395" s="665"/>
      <c r="E395" s="665"/>
      <c r="F395" s="665"/>
      <c r="G395" s="665"/>
      <c r="H395" s="665"/>
    </row>
    <row r="396" spans="1:8">
      <c r="A396" s="665" t="s">
        <v>838</v>
      </c>
      <c r="B396" s="665"/>
      <c r="C396" s="665"/>
      <c r="D396" s="665"/>
      <c r="E396" s="665"/>
      <c r="F396" s="665"/>
      <c r="G396" s="665"/>
      <c r="H396" s="665"/>
    </row>
    <row r="397" spans="1:8">
      <c r="A397" s="665" t="s">
        <v>839</v>
      </c>
      <c r="B397" s="665"/>
      <c r="C397" s="665"/>
      <c r="D397" s="665"/>
      <c r="E397" s="665"/>
      <c r="F397" s="665"/>
      <c r="G397" s="665"/>
      <c r="H397" s="665"/>
    </row>
    <row r="398" spans="1:8">
      <c r="A398" s="665" t="s">
        <v>840</v>
      </c>
      <c r="B398" s="665"/>
      <c r="C398" s="665"/>
      <c r="D398" s="665"/>
      <c r="E398" s="665"/>
      <c r="F398" s="665"/>
      <c r="G398" s="665"/>
      <c r="H398" s="665"/>
    </row>
    <row r="399" spans="1:8">
      <c r="A399" s="665" t="s">
        <v>841</v>
      </c>
      <c r="B399" s="665"/>
      <c r="C399" s="665"/>
      <c r="D399" s="665"/>
      <c r="E399" s="665"/>
      <c r="F399" s="665"/>
      <c r="G399" s="665"/>
      <c r="H399" s="665"/>
    </row>
    <row r="400" spans="1:8">
      <c r="A400" s="665" t="s">
        <v>842</v>
      </c>
      <c r="B400" s="665"/>
      <c r="C400" s="665"/>
      <c r="D400" s="665"/>
      <c r="E400" s="665"/>
      <c r="F400" s="665"/>
      <c r="G400" s="665"/>
      <c r="H400" s="665"/>
    </row>
    <row r="401" spans="1:8">
      <c r="A401" s="665" t="s">
        <v>843</v>
      </c>
      <c r="B401" s="665"/>
      <c r="C401" s="665"/>
      <c r="D401" s="665"/>
      <c r="E401" s="665"/>
      <c r="F401" s="665"/>
      <c r="G401" s="665"/>
      <c r="H401" s="665"/>
    </row>
    <row r="402" spans="1:8">
      <c r="A402" s="665"/>
      <c r="B402" s="665"/>
      <c r="C402" s="665"/>
      <c r="D402" s="665"/>
      <c r="E402" s="665"/>
      <c r="F402" s="665"/>
      <c r="G402" s="665"/>
      <c r="H402" s="665"/>
    </row>
    <row r="403" spans="1:8">
      <c r="A403" s="665" t="s">
        <v>844</v>
      </c>
      <c r="B403" s="665"/>
      <c r="C403" s="665"/>
      <c r="D403" s="665"/>
      <c r="E403" s="665"/>
      <c r="F403" s="665"/>
      <c r="G403" s="665"/>
      <c r="H403" s="665"/>
    </row>
    <row r="404" spans="1:8">
      <c r="A404" s="665" t="s">
        <v>845</v>
      </c>
      <c r="B404" s="665"/>
      <c r="C404" s="665"/>
      <c r="D404" s="665"/>
      <c r="E404" s="665"/>
      <c r="F404" s="665"/>
      <c r="G404" s="665"/>
      <c r="H404" s="665"/>
    </row>
    <row r="405" spans="1:8">
      <c r="A405" s="665" t="s">
        <v>846</v>
      </c>
      <c r="B405" s="665"/>
      <c r="C405" s="665"/>
      <c r="D405" s="665"/>
      <c r="E405" s="665"/>
      <c r="F405" s="665"/>
      <c r="G405" s="665"/>
      <c r="H405" s="665"/>
    </row>
    <row r="406" spans="1:8">
      <c r="A406" s="665" t="s">
        <v>847</v>
      </c>
      <c r="B406" s="665"/>
      <c r="C406" s="665"/>
      <c r="D406" s="665"/>
      <c r="E406" s="665"/>
      <c r="F406" s="665"/>
      <c r="G406" s="665"/>
      <c r="H406" s="665"/>
    </row>
    <row r="407" spans="1:8">
      <c r="A407" s="665" t="s">
        <v>848</v>
      </c>
      <c r="B407" s="665"/>
      <c r="C407" s="665"/>
      <c r="D407" s="665"/>
      <c r="E407" s="665"/>
      <c r="F407" s="665"/>
      <c r="G407" s="665"/>
      <c r="H407" s="665"/>
    </row>
    <row r="408" spans="1:8">
      <c r="A408" s="665"/>
      <c r="B408" s="665"/>
      <c r="C408" s="665"/>
      <c r="D408" s="665"/>
      <c r="E408" s="665"/>
      <c r="F408" s="665"/>
      <c r="G408" s="665"/>
      <c r="H408" s="665"/>
    </row>
    <row r="409" spans="1:8">
      <c r="A409" s="665" t="s">
        <v>849</v>
      </c>
      <c r="B409" s="665"/>
      <c r="C409" s="665"/>
      <c r="D409" s="665"/>
      <c r="E409" s="665"/>
      <c r="F409" s="665"/>
      <c r="G409" s="665"/>
      <c r="H409" s="665"/>
    </row>
    <row r="410" spans="1:8">
      <c r="A410" s="665" t="s">
        <v>850</v>
      </c>
      <c r="B410" s="665"/>
      <c r="C410" s="665"/>
      <c r="D410" s="665"/>
      <c r="E410" s="665"/>
      <c r="F410" s="665"/>
      <c r="G410" s="665"/>
      <c r="H410" s="665"/>
    </row>
    <row r="411" spans="1:8">
      <c r="A411" s="665"/>
      <c r="B411" s="665"/>
      <c r="C411" s="665"/>
      <c r="D411" s="665"/>
      <c r="E411" s="665"/>
      <c r="F411" s="665"/>
      <c r="G411" s="665"/>
      <c r="H411" s="665"/>
    </row>
    <row r="412" spans="1:8">
      <c r="A412" s="665" t="s">
        <v>851</v>
      </c>
      <c r="B412" s="665"/>
      <c r="C412" s="665"/>
      <c r="D412" s="665"/>
      <c r="E412" s="665"/>
      <c r="F412" s="665"/>
      <c r="G412" s="665"/>
      <c r="H412" s="665"/>
    </row>
    <row r="413" spans="1:8">
      <c r="A413" s="665" t="s">
        <v>852</v>
      </c>
      <c r="B413" s="665"/>
      <c r="C413" s="665"/>
      <c r="D413" s="665"/>
      <c r="E413" s="665"/>
      <c r="F413" s="665"/>
      <c r="G413" s="665"/>
      <c r="H413" s="665"/>
    </row>
    <row r="414" spans="1:8">
      <c r="A414" s="665"/>
      <c r="B414" s="665"/>
      <c r="C414" s="665"/>
      <c r="D414" s="665"/>
      <c r="E414" s="665"/>
      <c r="F414" s="665"/>
      <c r="G414" s="665"/>
      <c r="H414" s="665"/>
    </row>
    <row r="415" spans="1:8">
      <c r="A415" s="665" t="s">
        <v>853</v>
      </c>
      <c r="B415" s="665"/>
      <c r="C415" s="665"/>
      <c r="D415" s="665"/>
      <c r="E415" s="665"/>
      <c r="F415" s="665"/>
      <c r="G415" s="665"/>
      <c r="H415" s="665"/>
    </row>
    <row r="416" spans="1:8">
      <c r="A416" s="665" t="s">
        <v>854</v>
      </c>
      <c r="B416" s="665"/>
      <c r="C416" s="665"/>
      <c r="D416" s="665"/>
      <c r="E416" s="665"/>
      <c r="F416" s="665"/>
      <c r="G416" s="665"/>
      <c r="H416" s="665"/>
    </row>
    <row r="417" spans="1:8">
      <c r="A417" s="665" t="s">
        <v>855</v>
      </c>
      <c r="B417" s="665"/>
      <c r="C417" s="665"/>
      <c r="D417" s="665"/>
      <c r="E417" s="665"/>
      <c r="F417" s="665"/>
      <c r="G417" s="665"/>
      <c r="H417" s="665"/>
    </row>
    <row r="418" spans="1:8">
      <c r="A418" s="665" t="s">
        <v>856</v>
      </c>
      <c r="B418" s="665"/>
      <c r="C418" s="665"/>
      <c r="D418" s="665"/>
      <c r="E418" s="665"/>
      <c r="F418" s="665"/>
      <c r="G418" s="665"/>
      <c r="H418" s="665"/>
    </row>
    <row r="419" spans="1:8">
      <c r="A419" s="665"/>
      <c r="B419" s="665"/>
      <c r="C419" s="665"/>
      <c r="D419" s="665"/>
      <c r="E419" s="665"/>
      <c r="F419" s="665"/>
      <c r="G419" s="665"/>
      <c r="H419" s="665"/>
    </row>
    <row r="420" spans="1:8">
      <c r="A420" s="665" t="s">
        <v>857</v>
      </c>
      <c r="B420" s="665"/>
      <c r="C420" s="665"/>
      <c r="D420" s="665"/>
      <c r="E420" s="665"/>
      <c r="F420" s="665"/>
      <c r="G420" s="665"/>
      <c r="H420" s="665"/>
    </row>
    <row r="421" spans="1:8">
      <c r="A421" s="665" t="s">
        <v>858</v>
      </c>
      <c r="B421" s="665"/>
      <c r="C421" s="665"/>
      <c r="D421" s="665"/>
      <c r="E421" s="665"/>
      <c r="F421" s="665"/>
      <c r="G421" s="665"/>
      <c r="H421" s="665"/>
    </row>
    <row r="422" spans="1:8">
      <c r="A422" s="665"/>
      <c r="B422" s="665"/>
      <c r="C422" s="665"/>
      <c r="D422" s="665"/>
      <c r="E422" s="665"/>
      <c r="F422" s="665"/>
      <c r="G422" s="665"/>
      <c r="H422" s="665"/>
    </row>
    <row r="423" spans="1:8">
      <c r="A423" s="665" t="s">
        <v>859</v>
      </c>
      <c r="B423" s="665"/>
      <c r="C423" s="665"/>
      <c r="D423" s="665"/>
      <c r="E423" s="665"/>
      <c r="F423" s="665"/>
      <c r="G423" s="665"/>
      <c r="H423" s="665"/>
    </row>
    <row r="424" spans="1:8">
      <c r="A424" s="665" t="s">
        <v>860</v>
      </c>
      <c r="B424" s="665"/>
      <c r="C424" s="665"/>
      <c r="D424" s="665"/>
      <c r="E424" s="665"/>
      <c r="F424" s="665"/>
      <c r="G424" s="665"/>
      <c r="H424" s="665"/>
    </row>
    <row r="425" spans="1:8">
      <c r="A425" s="665" t="s">
        <v>861</v>
      </c>
      <c r="B425" s="665"/>
      <c r="C425" s="665"/>
      <c r="D425" s="665"/>
      <c r="E425" s="665"/>
      <c r="F425" s="665"/>
      <c r="G425" s="665"/>
      <c r="H425" s="665"/>
    </row>
    <row r="426" spans="1:8">
      <c r="A426" s="665" t="s">
        <v>862</v>
      </c>
      <c r="B426" s="665"/>
      <c r="C426" s="665"/>
      <c r="D426" s="665"/>
      <c r="E426" s="665"/>
      <c r="F426" s="665"/>
      <c r="G426" s="665"/>
      <c r="H426" s="665"/>
    </row>
    <row r="428" spans="1:8">
      <c r="A428" s="1" t="s">
        <v>863</v>
      </c>
    </row>
  </sheetData>
  <mergeCells count="3">
    <mergeCell ref="B126:C126"/>
    <mergeCell ref="D126:F126"/>
    <mergeCell ref="G126:H1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CC"/>
    <pageSetUpPr fitToPage="1"/>
  </sheetPr>
  <dimension ref="A3:AM210"/>
  <sheetViews>
    <sheetView zoomScaleNormal="100" zoomScaleSheetLayoutView="100" workbookViewId="0">
      <selection activeCell="Z18" sqref="Z18"/>
    </sheetView>
  </sheetViews>
  <sheetFormatPr defaultColWidth="9.109375" defaultRowHeight="10.199999999999999"/>
  <cols>
    <col min="1" max="1" width="2.44140625" style="8" customWidth="1"/>
    <col min="2" max="2" width="23.44140625" style="197" customWidth="1"/>
    <col min="3" max="3" width="9.88671875" style="197" hidden="1" customWidth="1"/>
    <col min="4" max="4" width="4.5546875" style="197" hidden="1" customWidth="1"/>
    <col min="5" max="8" width="8.6640625" style="197" hidden="1" customWidth="1"/>
    <col min="9" max="13" width="9.5546875" style="197" customWidth="1"/>
    <col min="14" max="14" width="4.33203125" style="8" customWidth="1"/>
    <col min="15" max="15" width="26.33203125" style="197" customWidth="1"/>
    <col min="16" max="16" width="11.109375" style="197" hidden="1" customWidth="1"/>
    <col min="17" max="17" width="9.33203125" style="197" hidden="1" customWidth="1"/>
    <col min="18" max="21" width="7.88671875" style="197" hidden="1" customWidth="1"/>
    <col min="22" max="23" width="7.88671875" style="197" customWidth="1"/>
    <col min="24" max="25" width="6.5546875" style="8" customWidth="1"/>
    <col min="26" max="26" width="7.5546875" style="8" customWidth="1"/>
    <col min="27" max="27" width="5.33203125" style="8" customWidth="1"/>
    <col min="28" max="28" width="11.33203125" style="8" customWidth="1"/>
    <col min="29" max="29" width="9.5546875" style="8" customWidth="1"/>
    <col min="30" max="34" width="9.109375" style="7"/>
    <col min="35" max="35" width="14.5546875" style="7" customWidth="1"/>
    <col min="36" max="16384" width="9.109375" style="7"/>
  </cols>
  <sheetData>
    <row r="3" spans="2:39">
      <c r="G3" s="198"/>
    </row>
    <row r="4" spans="2:39">
      <c r="C4" s="199"/>
      <c r="D4" s="8"/>
      <c r="E4" s="8"/>
      <c r="F4" s="8"/>
      <c r="G4" s="8"/>
    </row>
    <row r="5" spans="2:39">
      <c r="B5" s="199" t="str">
        <f ca="1">+"Reliance Worldwide Corp - Financial Summary" &amp; "  (" &amp; TEXT("PT",3) &amp; ":" &amp; TEXT(AC9,"$0.00") &amp; ")"</f>
        <v>Reliance Worldwide Corp - Financial Summary  (PT:$3.80)</v>
      </c>
      <c r="C5" s="5"/>
      <c r="D5" s="2"/>
      <c r="E5" s="2"/>
      <c r="F5" s="2"/>
      <c r="G5" s="2"/>
      <c r="H5" s="2"/>
      <c r="I5" s="2"/>
      <c r="J5" s="2"/>
      <c r="K5" s="2"/>
      <c r="L5" s="2"/>
      <c r="M5" s="2"/>
      <c r="T5" s="8"/>
      <c r="U5" s="200"/>
      <c r="V5" s="200"/>
      <c r="W5" s="200"/>
      <c r="X5" s="200"/>
      <c r="Y5" s="200"/>
      <c r="Z5" s="200"/>
      <c r="AA5" s="200"/>
      <c r="AB5" s="200"/>
    </row>
    <row r="6" spans="2:39">
      <c r="B6" s="201" t="s">
        <v>494</v>
      </c>
      <c r="C6" s="202" t="s">
        <v>437</v>
      </c>
      <c r="D6" s="202" t="s">
        <v>436</v>
      </c>
      <c r="E6" s="202" t="s">
        <v>463</v>
      </c>
      <c r="F6" s="202" t="s">
        <v>469</v>
      </c>
      <c r="G6" s="202" t="s">
        <v>514</v>
      </c>
      <c r="H6" s="202" t="s">
        <v>516</v>
      </c>
      <c r="I6" s="202" t="s">
        <v>521</v>
      </c>
      <c r="J6" s="202" t="s">
        <v>523</v>
      </c>
      <c r="K6" s="202" t="s">
        <v>515</v>
      </c>
      <c r="L6" s="202" t="s">
        <v>520</v>
      </c>
      <c r="M6" s="202" t="s">
        <v>522</v>
      </c>
      <c r="O6" s="201" t="s">
        <v>325</v>
      </c>
      <c r="P6" s="201"/>
      <c r="Q6" s="202"/>
      <c r="R6" s="202"/>
      <c r="S6" s="202"/>
      <c r="T6" s="202"/>
      <c r="U6" s="202"/>
      <c r="V6" s="202"/>
      <c r="W6" s="202"/>
      <c r="X6" s="202"/>
      <c r="Y6" s="202"/>
      <c r="Z6" s="202" t="s">
        <v>281</v>
      </c>
      <c r="AA6" s="203"/>
      <c r="AB6" s="204" t="s">
        <v>282</v>
      </c>
      <c r="AC6" s="205">
        <f ca="1">TODAY()</f>
        <v>46071</v>
      </c>
    </row>
    <row r="7" spans="2:39">
      <c r="B7" s="206" t="s">
        <v>182</v>
      </c>
      <c r="C7" s="207">
        <f>+'BS, CF and P&amp;L'!O14</f>
        <v>0</v>
      </c>
      <c r="D7" s="207">
        <f>+'BS, CF and P&amp;L'!R14</f>
        <v>0</v>
      </c>
      <c r="E7" s="207">
        <f>+'BS, CF and P&amp;L'!X14</f>
        <v>1308.172</v>
      </c>
      <c r="F7" s="207">
        <f>+'BS, CF and P&amp;L'!AA14</f>
        <v>1129.0099999999998</v>
      </c>
      <c r="G7" s="207">
        <f>+'BS, CF and P&amp;L'!AD14</f>
        <v>1295.5929999999998</v>
      </c>
      <c r="H7" s="207">
        <f>+'BS, CF and P&amp;L'!AG14</f>
        <v>1352.5710000000001</v>
      </c>
      <c r="I7" s="207">
        <f>+'BS, CF and P&amp;L'!AJ14</f>
        <v>1357.2569999999998</v>
      </c>
      <c r="J7" s="207">
        <f>+'BS, CF and P&amp;L'!AM14</f>
        <v>1390.8079999999998</v>
      </c>
      <c r="K7" s="207">
        <f>+'BS, CF and P&amp;L'!AP14</f>
        <v>1400.3425763569396</v>
      </c>
      <c r="L7" s="207">
        <f>+'BS, CF and P&amp;L'!AS14</f>
        <v>1499.0579527337259</v>
      </c>
      <c r="M7" s="207">
        <f>+'BS, CF and P&amp;L'!AV14</f>
        <v>1584.1253443814135</v>
      </c>
      <c r="O7" s="267">
        <f ca="1">+AC6</f>
        <v>46071</v>
      </c>
      <c r="P7" s="8"/>
      <c r="X7" s="197"/>
      <c r="Z7" s="208">
        <f>AC7</f>
        <v>3.66</v>
      </c>
      <c r="AA7" s="208"/>
      <c r="AB7" s="204" t="s">
        <v>284</v>
      </c>
      <c r="AC7" s="270">
        <v>3.66</v>
      </c>
    </row>
    <row r="8" spans="2:39">
      <c r="B8" s="206" t="s">
        <v>261</v>
      </c>
      <c r="C8" s="207">
        <f>+'BS, CF and P&amp;L'!O18</f>
        <v>0</v>
      </c>
      <c r="D8" s="207">
        <f>+'BS, CF and P&amp;L'!R18</f>
        <v>0</v>
      </c>
      <c r="E8" s="207">
        <f>+'BS, CF and P&amp;L'!X18</f>
        <v>1162.4110000000001</v>
      </c>
      <c r="F8" s="207">
        <f>+'BS, CF and P&amp;L'!AA18</f>
        <v>1001.5559999999998</v>
      </c>
      <c r="G8" s="207">
        <f>+'BS, CF and P&amp;L'!AD18</f>
        <v>1172.1599999999999</v>
      </c>
      <c r="H8" s="207">
        <f>+'BS, CF and P&amp;L'!AG18</f>
        <v>1243.8020000000001</v>
      </c>
      <c r="I8" s="207">
        <f>+'BS, CF and P&amp;L'!AJ18</f>
        <v>1245.7539999999999</v>
      </c>
      <c r="J8" s="207">
        <f>+'BS, CF and P&amp;L'!AM18</f>
        <v>1314.6839999999997</v>
      </c>
      <c r="K8" s="207">
        <f>+'BS, CF and P&amp;L'!AP18</f>
        <v>1321.6042830890387</v>
      </c>
      <c r="L8" s="207">
        <f>+'BS, CF and P&amp;L'!AS18</f>
        <v>1417.2337952260391</v>
      </c>
      <c r="M8" s="207">
        <f>+'BS, CF and P&amp;L'!AV18</f>
        <v>1498.2402386799242</v>
      </c>
      <c r="O8" s="197" t="s">
        <v>285</v>
      </c>
      <c r="X8" s="197"/>
      <c r="Z8" s="208">
        <f ca="1">AC9</f>
        <v>3.8</v>
      </c>
      <c r="AA8" s="208"/>
      <c r="AB8" s="204"/>
      <c r="AC8" s="58"/>
    </row>
    <row r="9" spans="2:39">
      <c r="B9" s="197" t="s">
        <v>183</v>
      </c>
      <c r="C9" s="209">
        <f>+'BS, CF and P&amp;L'!O38</f>
        <v>0</v>
      </c>
      <c r="D9" s="209">
        <f>+'BS, CF and P&amp;L'!R38</f>
        <v>0</v>
      </c>
      <c r="E9" s="209">
        <f>+'BS, CF and P&amp;L'!X38</f>
        <v>219.404</v>
      </c>
      <c r="F9" s="209">
        <f>+'BS, CF and P&amp;L'!AA38</f>
        <v>260.72499999999997</v>
      </c>
      <c r="G9" s="209">
        <f>+'BS, CF and P&amp;L'!AD38</f>
        <v>268.60199999999998</v>
      </c>
      <c r="H9" s="209">
        <f>+'BS, CF and P&amp;L'!AG38</f>
        <v>274.59100000000001</v>
      </c>
      <c r="I9" s="209">
        <f>+'BS, CF and P&amp;L'!AJ38</f>
        <v>274.62900000000002</v>
      </c>
      <c r="J9" s="209">
        <f>+'BS, CF and P&amp;L'!AM38</f>
        <v>277.70000000000005</v>
      </c>
      <c r="K9" s="209">
        <f>+'BS, CF and P&amp;L'!AP38</f>
        <v>245.73644909575947</v>
      </c>
      <c r="L9" s="209">
        <f>+'BS, CF and P&amp;L'!AS38</f>
        <v>294.17227617172705</v>
      </c>
      <c r="M9" s="209">
        <f>+'BS, CF and P&amp;L'!AV38</f>
        <v>319.04461775572361</v>
      </c>
      <c r="O9" s="206" t="s">
        <v>287</v>
      </c>
      <c r="P9" s="206"/>
      <c r="X9" s="197"/>
      <c r="Z9" s="210">
        <f ca="1">+Z8/Z7-1</f>
        <v>3.82513661202184E-2</v>
      </c>
      <c r="AA9" s="521"/>
      <c r="AB9" s="211" t="s">
        <v>286</v>
      </c>
      <c r="AC9" s="58">
        <f ca="1">Valuation!D12</f>
        <v>3.8</v>
      </c>
    </row>
    <row r="10" spans="2:39">
      <c r="B10" s="197" t="s">
        <v>86</v>
      </c>
      <c r="C10" s="209">
        <f>+'BS, CF and P&amp;L'!O31</f>
        <v>0</v>
      </c>
      <c r="D10" s="209">
        <f>+'BS, CF and P&amp;L'!R31</f>
        <v>0</v>
      </c>
      <c r="E10" s="209">
        <f>+'BS, CF and P&amp;L'!X31</f>
        <v>61.514000000000003</v>
      </c>
      <c r="F10" s="209">
        <f>+'BS, CF and P&amp;L'!AA31</f>
        <v>42.045999999999999</v>
      </c>
      <c r="G10" s="209">
        <f>+'BS, CF and P&amp;L'!AD31</f>
        <v>47.207999999999998</v>
      </c>
      <c r="H10" s="209">
        <f>+'BS, CF and P&amp;L'!AG31</f>
        <v>52.641000000000005</v>
      </c>
      <c r="I10" s="209">
        <f>+'BS, CF and P&amp;L'!AJ31</f>
        <v>60.048999999999999</v>
      </c>
      <c r="J10" s="209">
        <f>+'BS, CF and P&amp;L'!AM31</f>
        <v>68.777000000000029</v>
      </c>
      <c r="K10" s="209">
        <f>+'BS, CF and P&amp;L'!AP31</f>
        <v>70.218000000000018</v>
      </c>
      <c r="L10" s="209">
        <f>+'BS, CF and P&amp;L'!AS31</f>
        <v>71.588120000000018</v>
      </c>
      <c r="M10" s="209">
        <f>+'BS, CF and P&amp;L'!AV31</f>
        <v>73.076157200000026</v>
      </c>
      <c r="O10" s="8" t="s">
        <v>288</v>
      </c>
      <c r="P10" s="8"/>
      <c r="Q10" s="8"/>
      <c r="R10" s="8"/>
      <c r="S10" s="8"/>
      <c r="T10" s="8"/>
      <c r="X10" s="197"/>
      <c r="Z10" s="212">
        <f ca="1">Z9+W35</f>
        <v>5.8050209867743549E-2</v>
      </c>
      <c r="AA10" s="212"/>
      <c r="AB10" s="8" t="s">
        <v>500</v>
      </c>
      <c r="AC10" s="458">
        <f>+Valuation!O12</f>
        <v>0.69</v>
      </c>
    </row>
    <row r="11" spans="2:39">
      <c r="B11" s="26" t="s">
        <v>184</v>
      </c>
      <c r="C11" s="213">
        <f>+'BS, CF and P&amp;L'!O46</f>
        <v>0</v>
      </c>
      <c r="D11" s="213">
        <f>+'BS, CF and P&amp;L'!R46</f>
        <v>0</v>
      </c>
      <c r="E11" s="213">
        <f>+'BS, CF and P&amp;L'!X46</f>
        <v>157.89000000000001</v>
      </c>
      <c r="F11" s="213">
        <f>+'BS, CF and P&amp;L'!AA46</f>
        <v>218.67899999999997</v>
      </c>
      <c r="G11" s="213">
        <f>+'BS, CF and P&amp;L'!AD46</f>
        <v>221.39399999999998</v>
      </c>
      <c r="H11" s="213">
        <f>+'BS, CF and P&amp;L'!AG46</f>
        <v>221.95</v>
      </c>
      <c r="I11" s="213">
        <f>+'BS, CF and P&amp;L'!AJ46</f>
        <v>214.58</v>
      </c>
      <c r="J11" s="213">
        <f>+'BS, CF and P&amp;L'!AM46</f>
        <v>208.92299999999994</v>
      </c>
      <c r="K11" s="213">
        <f>+'BS, CF and P&amp;L'!AP46</f>
        <v>175.51844909575942</v>
      </c>
      <c r="L11" s="213">
        <f>+'BS, CF and P&amp;L'!AS46</f>
        <v>222.58415617172699</v>
      </c>
      <c r="M11" s="213">
        <f>+'BS, CF and P&amp;L'!AV46</f>
        <v>245.9684605557236</v>
      </c>
      <c r="O11" s="8"/>
      <c r="P11" s="8"/>
      <c r="Q11" s="8"/>
      <c r="R11" s="8"/>
      <c r="S11" s="8"/>
      <c r="T11" s="8"/>
      <c r="X11" s="197"/>
      <c r="Z11" s="212"/>
      <c r="AA11" s="212"/>
      <c r="AB11" s="648" t="s">
        <v>289</v>
      </c>
      <c r="AC11" s="648"/>
    </row>
    <row r="12" spans="2:39">
      <c r="B12" s="197" t="s">
        <v>148</v>
      </c>
      <c r="C12" s="214">
        <f>+'BS, CF and P&amp;L'!O59</f>
        <v>0</v>
      </c>
      <c r="D12" s="214">
        <f>+'BS, CF and P&amp;L'!R59</f>
        <v>0</v>
      </c>
      <c r="E12" s="214">
        <f>+'BS, CF and P&amp;L'!X59</f>
        <v>-20.03</v>
      </c>
      <c r="F12" s="214">
        <f>+'BS, CF and P&amp;L'!AA59</f>
        <v>-8.9779999999999998</v>
      </c>
      <c r="G12" s="214">
        <f>+'BS, CF and P&amp;L'!AD59</f>
        <v>-15.800999999999998</v>
      </c>
      <c r="H12" s="214">
        <f>+'BS, CF and P&amp;L'!AG59</f>
        <v>-33.034000000000006</v>
      </c>
      <c r="I12" s="214">
        <f>+'BS, CF and P&amp;L'!AJ59</f>
        <v>-30.942</v>
      </c>
      <c r="J12" s="214">
        <f>+'BS, CF and P&amp;L'!AM59</f>
        <v>-26.118000000000002</v>
      </c>
      <c r="K12" s="214">
        <f>+'BS, CF and P&amp;L'!AP59</f>
        <v>-23.96309816801357</v>
      </c>
      <c r="L12" s="214">
        <f>+'BS, CF and P&amp;L'!AS59</f>
        <v>-22.140890884378884</v>
      </c>
      <c r="M12" s="214">
        <f>+'BS, CF and P&amp;L'!AV59</f>
        <v>-22.541939581717394</v>
      </c>
      <c r="O12" s="197" t="s">
        <v>290</v>
      </c>
      <c r="X12" s="197"/>
      <c r="Z12" s="268">
        <f>Valuation!C48</f>
        <v>780.61699799999997</v>
      </c>
      <c r="AA12" s="522"/>
      <c r="AB12" s="649" t="str">
        <f>'BS, CF and P&amp;L'!C1</f>
        <v>&lt;-- Run cash balancer</v>
      </c>
      <c r="AC12" s="650"/>
    </row>
    <row r="13" spans="2:39" ht="12.75" customHeight="1">
      <c r="B13" s="197" t="s">
        <v>224</v>
      </c>
      <c r="C13" s="209">
        <f>+'BS, CF and P&amp;L'!O61</f>
        <v>0</v>
      </c>
      <c r="D13" s="209">
        <f>+'BS, CF and P&amp;L'!R61</f>
        <v>0</v>
      </c>
      <c r="E13" s="209">
        <f>+'BS, CF and P&amp;L'!X61</f>
        <v>137.85999999999999</v>
      </c>
      <c r="F13" s="209">
        <f>+'BS, CF and P&amp;L'!AA61</f>
        <v>209.70099999999996</v>
      </c>
      <c r="G13" s="209">
        <f>+'BS, CF and P&amp;L'!AD61</f>
        <v>205.59299999999999</v>
      </c>
      <c r="H13" s="209">
        <f>+'BS, CF and P&amp;L'!AG61</f>
        <v>188.91599999999997</v>
      </c>
      <c r="I13" s="209">
        <f>+'BS, CF and P&amp;L'!AJ61</f>
        <v>183.63800000000003</v>
      </c>
      <c r="J13" s="209">
        <f>+'BS, CF and P&amp;L'!AM61</f>
        <v>182.80499999999998</v>
      </c>
      <c r="K13" s="209">
        <f>+'BS, CF and P&amp;L'!AP61</f>
        <v>151.55535092774585</v>
      </c>
      <c r="L13" s="209">
        <f>+'BS, CF and P&amp;L'!AS61</f>
        <v>200.44326528734814</v>
      </c>
      <c r="M13" s="209">
        <f>+'BS, CF and P&amp;L'!AV61</f>
        <v>223.42652097400622</v>
      </c>
      <c r="O13" s="197" t="s">
        <v>405</v>
      </c>
      <c r="X13" s="197"/>
      <c r="Z13" s="268">
        <f>Z12*Z7</f>
        <v>2857.05821268</v>
      </c>
      <c r="AA13" s="522"/>
      <c r="AB13" s="649" t="str">
        <f>'BS, CF and P&amp;L'!C2</f>
        <v>Balancing error</v>
      </c>
      <c r="AC13" s="650"/>
    </row>
    <row r="14" spans="2:39">
      <c r="B14" s="197" t="s">
        <v>291</v>
      </c>
      <c r="C14" s="214">
        <f>+'BS, CF and P&amp;L'!O62</f>
        <v>0</v>
      </c>
      <c r="D14" s="214">
        <f>+'BS, CF and P&amp;L'!R62</f>
        <v>0</v>
      </c>
      <c r="E14" s="214">
        <f>+'BS, CF and P&amp;L'!X62</f>
        <v>-72.830499999999986</v>
      </c>
      <c r="F14" s="214">
        <f>+'BS, CF and P&amp;L'!AA62</f>
        <v>-51.029599999999967</v>
      </c>
      <c r="G14" s="214">
        <f>+'BS, CF and P&amp;L'!AD62</f>
        <v>-44.192999999999969</v>
      </c>
      <c r="H14" s="214">
        <f>+'BS, CF and P&amp;L'!AG62</f>
        <v>-33.215999999999994</v>
      </c>
      <c r="I14" s="214">
        <f>+'BS, CF and P&amp;L'!AJ62</f>
        <v>-36.738000000000035</v>
      </c>
      <c r="J14" s="214">
        <f>+'BS, CF and P&amp;L'!AM62</f>
        <v>-35.105000000000011</v>
      </c>
      <c r="K14" s="214">
        <f>+'BS, CF and P&amp;L'!AP62</f>
        <v>-29.964633694826645</v>
      </c>
      <c r="L14" s="214">
        <f>+'BS, CF and P&amp;L'!AS62</f>
        <v>-44.097518363216587</v>
      </c>
      <c r="M14" s="214">
        <f>+'BS, CF and P&amp;L'!AV62</f>
        <v>-51.388099824021438</v>
      </c>
      <c r="X14" s="197"/>
      <c r="Z14" s="197"/>
    </row>
    <row r="15" spans="2:39">
      <c r="B15" s="197" t="s">
        <v>134</v>
      </c>
      <c r="C15" s="214">
        <f>+'BS, CF and P&amp;L'!O63</f>
        <v>0</v>
      </c>
      <c r="D15" s="214">
        <f>+'BS, CF and P&amp;L'!R63</f>
        <v>0</v>
      </c>
      <c r="E15" s="214">
        <f>+'BS, CF and P&amp;L'!X63</f>
        <v>0</v>
      </c>
      <c r="F15" s="214">
        <f>+'BS, CF and P&amp;L'!AA63</f>
        <v>0</v>
      </c>
      <c r="G15" s="214">
        <f>+'BS, CF and P&amp;L'!AD63</f>
        <v>0</v>
      </c>
      <c r="H15" s="214">
        <f>+'BS, CF and P&amp;L'!AG63</f>
        <v>0</v>
      </c>
      <c r="I15" s="214">
        <f>+'BS, CF and P&amp;L'!AJ63</f>
        <v>0</v>
      </c>
      <c r="J15" s="214">
        <f>+'BS, CF and P&amp;L'!AM63</f>
        <v>0</v>
      </c>
      <c r="K15" s="214">
        <f>+'BS, CF and P&amp;L'!AP63</f>
        <v>0</v>
      </c>
      <c r="L15" s="214">
        <f>+'BS, CF and P&amp;L'!AS63</f>
        <v>0</v>
      </c>
      <c r="M15" s="214">
        <f>+'BS, CF and P&amp;L'!AV63</f>
        <v>0</v>
      </c>
      <c r="O15" s="201" t="s">
        <v>326</v>
      </c>
      <c r="P15" s="201"/>
      <c r="Q15" s="202"/>
      <c r="R15" s="202"/>
      <c r="S15" s="202"/>
      <c r="T15" s="202"/>
      <c r="U15" s="202"/>
      <c r="V15" s="202"/>
      <c r="W15" s="202"/>
      <c r="X15" s="202"/>
      <c r="Y15" s="202"/>
      <c r="Z15" s="202" t="s">
        <v>334</v>
      </c>
      <c r="AA15" s="203"/>
      <c r="AB15" s="203"/>
    </row>
    <row r="16" spans="2:39">
      <c r="B16" s="26" t="s">
        <v>292</v>
      </c>
      <c r="C16" s="207">
        <f>+'BS, CF and P&amp;L'!O70</f>
        <v>0</v>
      </c>
      <c r="D16" s="207">
        <f>+'BS, CF and P&amp;L'!R70</f>
        <v>0</v>
      </c>
      <c r="E16" s="207">
        <f>+'BS, CF and P&amp;L'!X70</f>
        <v>65.029499999999999</v>
      </c>
      <c r="F16" s="207">
        <f>+'BS, CF and P&amp;L'!AA70</f>
        <v>158.67140000000001</v>
      </c>
      <c r="G16" s="207">
        <f>+'BS, CF and P&amp;L'!AD70</f>
        <v>161.4</v>
      </c>
      <c r="H16" s="207">
        <f>+'BS, CF and P&amp;L'!AG70</f>
        <v>155.69999999999999</v>
      </c>
      <c r="I16" s="207">
        <f>+'BS, CF and P&amp;L'!AJ70</f>
        <v>146.9</v>
      </c>
      <c r="J16" s="207">
        <f>+'BS, CF and P&amp;L'!AM70</f>
        <v>147.69999999999999</v>
      </c>
      <c r="K16" s="207">
        <f>+'BS, CF and P&amp;L'!AP70</f>
        <v>121.59071723291922</v>
      </c>
      <c r="L16" s="207">
        <f>+'BS, CF and P&amp;L'!AS70</f>
        <v>156.34574692413153</v>
      </c>
      <c r="M16" s="207">
        <f>+'BS, CF and P&amp;L'!AV70</f>
        <v>172.0384211499848</v>
      </c>
      <c r="O16" s="197" t="s">
        <v>58</v>
      </c>
      <c r="X16" s="197"/>
      <c r="Z16" s="217">
        <f ca="1">Valuation!D8</f>
        <v>4.2205956176644852</v>
      </c>
      <c r="AA16" s="51"/>
      <c r="AB16" s="218"/>
      <c r="AJ16" s="4"/>
      <c r="AK16" s="4"/>
      <c r="AL16" s="4"/>
      <c r="AM16" s="4"/>
    </row>
    <row r="17" spans="2:39">
      <c r="B17" s="26" t="s">
        <v>293</v>
      </c>
      <c r="C17" s="209">
        <f>+'BS, CF and P&amp;L'!O281</f>
        <v>0</v>
      </c>
      <c r="D17" s="209">
        <f>+'BS, CF and P&amp;L'!R281</f>
        <v>0</v>
      </c>
      <c r="E17" s="209">
        <f>+'BS, CF and P&amp;L'!X281</f>
        <v>8.2658130611258187</v>
      </c>
      <c r="F17" s="209">
        <f>+'BS, CF and P&amp;L'!AA281</f>
        <v>20.143704941259529</v>
      </c>
      <c r="G17" s="209">
        <f>+'BS, CF and P&amp;L'!AD281</f>
        <v>20.488773373393361</v>
      </c>
      <c r="H17" s="209">
        <f>+'BS, CF and P&amp;L'!AG281</f>
        <v>19.733856636512527</v>
      </c>
      <c r="I17" s="209">
        <f>+'BS, CF and P&amp;L'!AJ281</f>
        <v>18.627458128637876</v>
      </c>
      <c r="J17" s="209">
        <f>+'BS, CF and P&amp;L'!AM281</f>
        <v>18.920930543200903</v>
      </c>
      <c r="K17" s="209">
        <f>+'BS, CF and P&amp;L'!AP281</f>
        <v>15.284651980160154</v>
      </c>
      <c r="L17" s="209">
        <f>+'BS, CF and P&amp;L'!AS281</f>
        <v>19.801491008604724</v>
      </c>
      <c r="M17" s="209">
        <f>+'BS, CF and P&amp;L'!AV281</f>
        <v>22.050249565792729</v>
      </c>
      <c r="O17" s="197" t="s">
        <v>296</v>
      </c>
      <c r="X17" s="197"/>
      <c r="Z17" s="217">
        <f>Valuation!D7</f>
        <v>3.4005569118848098</v>
      </c>
      <c r="AA17" s="51"/>
      <c r="AB17" s="218"/>
      <c r="AJ17" s="91"/>
      <c r="AK17" s="91"/>
      <c r="AL17" s="91"/>
      <c r="AM17" s="91"/>
    </row>
    <row r="18" spans="2:39">
      <c r="B18" s="197" t="s">
        <v>294</v>
      </c>
      <c r="C18" s="214">
        <f>'BS, CF and P&amp;L'!O72+'BS, CF and P&amp;L'!O73</f>
        <v>0</v>
      </c>
      <c r="D18" s="214">
        <f>'BS, CF and P&amp;L'!R72+'BS, CF and P&amp;L'!R73</f>
        <v>0</v>
      </c>
      <c r="E18" s="214">
        <f>'BS, CF and P&amp;L'!X72+'BS, CF and P&amp;L'!X73</f>
        <v>-5.0325000000000051</v>
      </c>
      <c r="F18" s="214">
        <f>'BS, CF and P&amp;L'!AA72+'BS, CF and P&amp;L'!AA73</f>
        <v>-17.788399999999996</v>
      </c>
      <c r="G18" s="214">
        <f>'BS, CF and P&amp;L'!AD72+'BS, CF and P&amp;L'!AD73</f>
        <v>-23.956999999999994</v>
      </c>
      <c r="H18" s="214">
        <f>'BS, CF and P&amp;L'!AG72+'BS, CF and P&amp;L'!AG73</f>
        <v>-16.049999999999983</v>
      </c>
      <c r="I18" s="214">
        <f>'BS, CF and P&amp;L'!AJ72+'BS, CF and P&amp;L'!AJ73</f>
        <v>-36.75500000000001</v>
      </c>
      <c r="J18" s="214">
        <f>'BS, CF and P&amp;L'!AM72+'BS, CF and P&amp;L'!AM73</f>
        <v>-22.703999999999994</v>
      </c>
      <c r="K18" s="214">
        <f>'BS, CF and P&amp;L'!AP72+'BS, CF and P&amp;L'!AP73</f>
        <v>-8.5</v>
      </c>
      <c r="L18" s="214">
        <f>'BS, CF and P&amp;L'!AS72+'BS, CF and P&amp;L'!AS73</f>
        <v>0</v>
      </c>
      <c r="M18" s="214">
        <f>'BS, CF and P&amp;L'!AV72+'BS, CF and P&amp;L'!AV73</f>
        <v>0</v>
      </c>
      <c r="O18" s="206" t="s">
        <v>298</v>
      </c>
      <c r="P18" s="206"/>
      <c r="X18" s="197"/>
      <c r="Z18" s="219">
        <f ca="1">AVERAGE(Z16:Z17)</f>
        <v>3.8105762647746477</v>
      </c>
      <c r="AA18" s="523"/>
      <c r="AB18" s="218"/>
    </row>
    <row r="19" spans="2:39">
      <c r="B19" s="206" t="s">
        <v>295</v>
      </c>
      <c r="C19" s="220">
        <f t="shared" ref="C19:J19" si="0">C16+C18</f>
        <v>0</v>
      </c>
      <c r="D19" s="220">
        <f t="shared" si="0"/>
        <v>0</v>
      </c>
      <c r="E19" s="220">
        <f t="shared" si="0"/>
        <v>59.996999999999993</v>
      </c>
      <c r="F19" s="220">
        <f t="shared" si="0"/>
        <v>140.88300000000001</v>
      </c>
      <c r="G19" s="220">
        <f t="shared" si="0"/>
        <v>137.44300000000001</v>
      </c>
      <c r="H19" s="220">
        <f t="shared" si="0"/>
        <v>139.65</v>
      </c>
      <c r="I19" s="220">
        <f t="shared" si="0"/>
        <v>110.145</v>
      </c>
      <c r="J19" s="220">
        <f t="shared" si="0"/>
        <v>124.996</v>
      </c>
      <c r="K19" s="220">
        <f t="shared" ref="K19:L19" si="1">K16+K18</f>
        <v>113.09071723291922</v>
      </c>
      <c r="L19" s="220">
        <f t="shared" si="1"/>
        <v>156.34574692413153</v>
      </c>
      <c r="M19" s="220">
        <f t="shared" ref="M19" si="2">M16+M18</f>
        <v>172.0384211499848</v>
      </c>
      <c r="N19" s="27"/>
      <c r="O19" s="221" t="s">
        <v>299</v>
      </c>
      <c r="P19" s="221"/>
      <c r="X19" s="197"/>
      <c r="Z19" s="222">
        <f>Valuation!D10</f>
        <v>0</v>
      </c>
      <c r="AA19" s="222"/>
      <c r="AB19" s="223"/>
    </row>
    <row r="20" spans="2:39">
      <c r="B20" s="206" t="s">
        <v>297</v>
      </c>
      <c r="C20" s="209">
        <f>+'BS, CF and P&amp;L'!O280</f>
        <v>0</v>
      </c>
      <c r="D20" s="209">
        <f>+'BS, CF and P&amp;L'!R280</f>
        <v>0</v>
      </c>
      <c r="E20" s="209">
        <f>+'BS, CF and P&amp;L'!X280</f>
        <v>7.6261386944135463</v>
      </c>
      <c r="F20" s="209">
        <f>+'BS, CF and P&amp;L'!AA280</f>
        <v>17.88542600140584</v>
      </c>
      <c r="G20" s="209">
        <f>+'BS, CF and P&amp;L'!AD280</f>
        <v>17.447574217839552</v>
      </c>
      <c r="H20" s="209">
        <f>+'BS, CF and P&amp;L'!AG280</f>
        <v>17.699634420609986</v>
      </c>
      <c r="I20" s="209">
        <f>+'BS, CF and P&amp;L'!AJ280</f>
        <v>13.966789486581476</v>
      </c>
      <c r="J20" s="209">
        <f>+'BS, CF and P&amp;L'!AM280</f>
        <v>16.012205770594814</v>
      </c>
      <c r="K20" s="209">
        <f>+'BS, CF and P&amp;L'!AP280</f>
        <v>14.21615312771497</v>
      </c>
      <c r="L20" s="209">
        <f>+'BS, CF and P&amp;L'!AS280</f>
        <v>19.801491008604724</v>
      </c>
      <c r="M20" s="209">
        <f>+'BS, CF and P&amp;L'!AV280</f>
        <v>22.050249565792729</v>
      </c>
      <c r="O20" s="224" t="s">
        <v>468</v>
      </c>
      <c r="P20" s="224"/>
      <c r="X20" s="197"/>
      <c r="Z20" s="308">
        <f ca="1">+Valuation!C21</f>
        <v>3.8</v>
      </c>
      <c r="AA20" s="308"/>
    </row>
    <row r="21" spans="2:39">
      <c r="B21" s="197" t="s">
        <v>181</v>
      </c>
      <c r="C21" s="209">
        <f>+'BS, CF and P&amp;L'!O288</f>
        <v>0</v>
      </c>
      <c r="D21" s="209">
        <f>+'BS, CF and P&amp;L'!R288</f>
        <v>0</v>
      </c>
      <c r="E21" s="209">
        <f>+'BS, CF and P&amp;L'!X288</f>
        <v>4.7250000000000005</v>
      </c>
      <c r="F21" s="209">
        <f>+'BS, CF and P&amp;L'!AA288</f>
        <v>9.7110000000000003</v>
      </c>
      <c r="G21" s="209">
        <f>+'BS, CF and P&amp;L'!AD288</f>
        <v>9.5</v>
      </c>
      <c r="H21" s="209">
        <f>+'BS, CF and P&amp;L'!AG288</f>
        <v>9.5</v>
      </c>
      <c r="I21" s="209">
        <f>+'BS, CF and P&amp;L'!AJ288</f>
        <v>4.75</v>
      </c>
      <c r="J21" s="209">
        <f>+'BS, CF and P&amp;L'!AM288</f>
        <v>5</v>
      </c>
      <c r="K21" s="209">
        <f>+'BS, CF and P&amp;L'!AP288</f>
        <v>4.5007060805528685</v>
      </c>
      <c r="L21" s="209">
        <f>+'BS, CF and P&amp;L'!AS288</f>
        <v>6.0339530717668204</v>
      </c>
      <c r="M21" s="209">
        <f>+'BS, CF and P&amp;L'!AV288</f>
        <v>6.9555803704711074</v>
      </c>
      <c r="O21" s="225" t="s">
        <v>283</v>
      </c>
      <c r="P21" s="225"/>
      <c r="X21" s="197"/>
      <c r="Z21" s="208">
        <f>Z7</f>
        <v>3.66</v>
      </c>
      <c r="AA21" s="208"/>
    </row>
    <row r="22" spans="2:39">
      <c r="B22" s="197" t="s">
        <v>300</v>
      </c>
      <c r="C22" s="226">
        <f>+'BS, CF and P&amp;L'!O301</f>
        <v>0</v>
      </c>
      <c r="D22" s="226">
        <f>+'BS, CF and P&amp;L'!R301</f>
        <v>0</v>
      </c>
      <c r="E22" s="226">
        <f>+'BS, CF and P&amp;L'!X301</f>
        <v>0.2</v>
      </c>
      <c r="F22" s="226">
        <f>+'BS, CF and P&amp;L'!AA301</f>
        <v>0.2</v>
      </c>
      <c r="G22" s="226">
        <f>+'BS, CF and P&amp;L'!AD301</f>
        <v>0.19999999999999998</v>
      </c>
      <c r="H22" s="226">
        <f>+'BS, CF and P&amp;L'!AG301</f>
        <v>0.19999999999999998</v>
      </c>
      <c r="I22" s="226">
        <f>+'BS, CF and P&amp;L'!AJ301</f>
        <v>0</v>
      </c>
      <c r="J22" s="226">
        <f>+'BS, CF and P&amp;L'!AM301</f>
        <v>0</v>
      </c>
      <c r="K22" s="226">
        <f>+'BS, CF and P&amp;L'!AP301</f>
        <v>0.27781264048303289</v>
      </c>
      <c r="L22" s="226">
        <f>+'BS, CF and P&amp;L'!AS301</f>
        <v>0.5</v>
      </c>
      <c r="M22" s="226">
        <f>+'BS, CF and P&amp;L'!AV301</f>
        <v>0.5</v>
      </c>
      <c r="O22" s="225" t="s">
        <v>301</v>
      </c>
      <c r="P22" s="225"/>
      <c r="X22" s="197"/>
      <c r="Z22" s="222">
        <f ca="1">Z9</f>
        <v>3.82513661202184E-2</v>
      </c>
      <c r="AA22" s="222"/>
    </row>
    <row r="23" spans="2:39">
      <c r="C23" s="2"/>
      <c r="D23" s="2"/>
      <c r="E23" s="2"/>
      <c r="F23" s="2"/>
      <c r="G23" s="2"/>
      <c r="H23" s="2"/>
      <c r="I23" s="2"/>
      <c r="J23" s="2"/>
      <c r="K23" s="2"/>
      <c r="L23" s="2"/>
      <c r="M23" s="2"/>
      <c r="O23" s="197" t="s">
        <v>302</v>
      </c>
      <c r="X23" s="197"/>
      <c r="Z23" s="227">
        <f>W35</f>
        <v>1.9798843747525146E-2</v>
      </c>
      <c r="AA23" s="227"/>
      <c r="AF23" s="165"/>
    </row>
    <row r="24" spans="2:39">
      <c r="B24" s="201" t="s">
        <v>495</v>
      </c>
      <c r="C24" s="202" t="str">
        <f t="shared" ref="C24:M24" si="3">C$6</f>
        <v>FY17A</v>
      </c>
      <c r="D24" s="202" t="str">
        <f t="shared" si="3"/>
        <v>FY19A</v>
      </c>
      <c r="E24" s="202" t="str">
        <f t="shared" si="3"/>
        <v>FY20A</v>
      </c>
      <c r="F24" s="202" t="str">
        <f t="shared" si="3"/>
        <v>FY21A</v>
      </c>
      <c r="G24" s="202" t="str">
        <f t="shared" si="3"/>
        <v>FY22A</v>
      </c>
      <c r="H24" s="202" t="str">
        <f t="shared" si="3"/>
        <v>FY23A</v>
      </c>
      <c r="I24" s="202" t="str">
        <f t="shared" si="3"/>
        <v>FY24A</v>
      </c>
      <c r="J24" s="202" t="str">
        <f t="shared" si="3"/>
        <v>FY25A</v>
      </c>
      <c r="K24" s="202" t="str">
        <f t="shared" si="3"/>
        <v>FY26E</v>
      </c>
      <c r="L24" s="202" t="str">
        <f t="shared" si="3"/>
        <v>FY27E</v>
      </c>
      <c r="M24" s="202" t="str">
        <f t="shared" si="3"/>
        <v>FY28E</v>
      </c>
      <c r="O24" s="206" t="s">
        <v>303</v>
      </c>
      <c r="P24" s="206"/>
      <c r="X24" s="197"/>
      <c r="Z24" s="227">
        <f ca="1">Z22+Z23</f>
        <v>5.8050209867743549E-2</v>
      </c>
      <c r="AA24" s="227"/>
    </row>
    <row r="25" spans="2:39">
      <c r="B25" s="8" t="s">
        <v>304</v>
      </c>
      <c r="C25" s="209">
        <f>+'BS, CF and P&amp;L'!O117</f>
        <v>0</v>
      </c>
      <c r="D25" s="209">
        <f>+'BS, CF and P&amp;L'!R117</f>
        <v>0</v>
      </c>
      <c r="E25" s="209">
        <f>+'BS, CF and P&amp;L'!X117</f>
        <v>219.40400000000002</v>
      </c>
      <c r="F25" s="209">
        <f>+'BS, CF and P&amp;L'!AA117</f>
        <v>260.72499999999997</v>
      </c>
      <c r="G25" s="209">
        <f>+'BS, CF and P&amp;L'!AD117</f>
        <v>268.60199999999998</v>
      </c>
      <c r="H25" s="209">
        <f>+'BS, CF and P&amp;L'!AG117</f>
        <v>274.59100000000001</v>
      </c>
      <c r="I25" s="209">
        <f>+'BS, CF and P&amp;L'!AJ117</f>
        <v>274.62900000000002</v>
      </c>
      <c r="J25" s="209">
        <f>+'BS, CF and P&amp;L'!AM117</f>
        <v>277.7</v>
      </c>
      <c r="K25" s="209">
        <f>+'BS, CF and P&amp;L'!AP117</f>
        <v>237.23644909575947</v>
      </c>
      <c r="L25" s="209">
        <f>+'BS, CF and P&amp;L'!AS117</f>
        <v>294.17227617172705</v>
      </c>
      <c r="M25" s="209">
        <f>+'BS, CF and P&amp;L'!AV117</f>
        <v>319.04461775572361</v>
      </c>
      <c r="X25" s="203"/>
      <c r="Y25" s="203"/>
      <c r="Z25" s="203"/>
      <c r="AA25" s="203"/>
      <c r="AB25" s="203"/>
    </row>
    <row r="26" spans="2:39">
      <c r="B26" s="197" t="s">
        <v>305</v>
      </c>
      <c r="C26" s="214">
        <f>+'BS, CF and P&amp;L'!O118</f>
        <v>0</v>
      </c>
      <c r="D26" s="214">
        <f>+'BS, CF and P&amp;L'!R118</f>
        <v>0</v>
      </c>
      <c r="E26" s="214">
        <f>+'BS, CF and P&amp;L'!X118</f>
        <v>0</v>
      </c>
      <c r="F26" s="214">
        <f>+'BS, CF and P&amp;L'!AA118</f>
        <v>0</v>
      </c>
      <c r="G26" s="214">
        <f>+'BS, CF and P&amp;L'!AD118</f>
        <v>0</v>
      </c>
      <c r="H26" s="214">
        <f>+'BS, CF and P&amp;L'!AG118</f>
        <v>0</v>
      </c>
      <c r="I26" s="214">
        <f>+'BS, CF and P&amp;L'!AJ118</f>
        <v>0</v>
      </c>
      <c r="J26" s="214">
        <f>+'BS, CF and P&amp;L'!AM118</f>
        <v>0</v>
      </c>
      <c r="K26" s="214">
        <f>+'BS, CF and P&amp;L'!AP118</f>
        <v>0</v>
      </c>
      <c r="L26" s="214">
        <f>+'BS, CF and P&amp;L'!AS118</f>
        <v>0</v>
      </c>
      <c r="M26" s="214">
        <f>+'BS, CF and P&amp;L'!AV118</f>
        <v>0</v>
      </c>
      <c r="O26" s="201" t="s">
        <v>327</v>
      </c>
      <c r="P26" s="202" t="str">
        <f t="shared" ref="P26:Z26" si="4">C$6</f>
        <v>FY17A</v>
      </c>
      <c r="Q26" s="202" t="str">
        <f t="shared" si="4"/>
        <v>FY19A</v>
      </c>
      <c r="R26" s="202" t="str">
        <f t="shared" si="4"/>
        <v>FY20A</v>
      </c>
      <c r="S26" s="202" t="str">
        <f t="shared" si="4"/>
        <v>FY21A</v>
      </c>
      <c r="T26" s="202" t="str">
        <f t="shared" si="4"/>
        <v>FY22A</v>
      </c>
      <c r="U26" s="202" t="str">
        <f t="shared" si="4"/>
        <v>FY23A</v>
      </c>
      <c r="V26" s="202" t="str">
        <f t="shared" si="4"/>
        <v>FY24A</v>
      </c>
      <c r="W26" s="202" t="str">
        <f t="shared" si="4"/>
        <v>FY25A</v>
      </c>
      <c r="X26" s="202" t="str">
        <f t="shared" si="4"/>
        <v>FY26E</v>
      </c>
      <c r="Y26" s="202" t="str">
        <f t="shared" si="4"/>
        <v>FY27E</v>
      </c>
      <c r="Z26" s="202" t="str">
        <f t="shared" si="4"/>
        <v>FY28E</v>
      </c>
      <c r="AB26" s="7"/>
      <c r="AC26" s="7"/>
    </row>
    <row r="27" spans="2:39">
      <c r="B27" s="197" t="s">
        <v>306</v>
      </c>
      <c r="C27" s="214">
        <f>+'BS, CF and P&amp;L'!O119</f>
        <v>0</v>
      </c>
      <c r="D27" s="214">
        <f>+'BS, CF and P&amp;L'!R119</f>
        <v>0</v>
      </c>
      <c r="E27" s="214">
        <f>+'BS, CF and P&amp;L'!X119</f>
        <v>-25.15</v>
      </c>
      <c r="F27" s="214">
        <f>+'BS, CF and P&amp;L'!AA119</f>
        <v>-44.262</v>
      </c>
      <c r="G27" s="214">
        <f>+'BS, CF and P&amp;L'!AD119</f>
        <v>-43.4</v>
      </c>
      <c r="H27" s="214">
        <f>+'BS, CF and P&amp;L'!AG119</f>
        <v>-42.4</v>
      </c>
      <c r="I27" s="214">
        <f>+'BS, CF and P&amp;L'!AJ119</f>
        <v>-39.802</v>
      </c>
      <c r="J27" s="214">
        <f>+'BS, CF and P&amp;L'!AM119</f>
        <v>-38.091999999999999</v>
      </c>
      <c r="K27" s="214">
        <f>+'BS, CF and P&amp;L'!AP119</f>
        <v>-28.767633694826625</v>
      </c>
      <c r="L27" s="214">
        <f>+'BS, CF and P&amp;L'!AS119</f>
        <v>-44.097518363216587</v>
      </c>
      <c r="M27" s="214">
        <f>+'BS, CF and P&amp;L'!AV119</f>
        <v>-51.388099824021438</v>
      </c>
      <c r="O27" s="197" t="s">
        <v>183</v>
      </c>
      <c r="P27" s="228" t="e">
        <f>Valuation!$C$53/'BS, CF and P&amp;L'!O37</f>
        <v>#DIV/0!</v>
      </c>
      <c r="Q27" s="228" t="e">
        <f>Valuation!$C$53/'BS, CF and P&amp;L'!R37</f>
        <v>#DIV/0!</v>
      </c>
      <c r="R27" s="228">
        <f>Valuation!$C$53/'BS, CF and P&amp;L'!X37</f>
        <v>10.48655980177754</v>
      </c>
      <c r="S27" s="228">
        <f>Valuation!$C$53/'BS, CF and P&amp;L'!AA37</f>
        <v>8.8245974369515778</v>
      </c>
      <c r="T27" s="228">
        <f>Valuation!$C$53/'BS, CF and P&amp;L'!AD37</f>
        <v>8.5658080235783807</v>
      </c>
      <c r="U27" s="228">
        <f>Valuation!$C$53/'BS, CF and P&amp;L'!AG37</f>
        <v>8.3789824384236908</v>
      </c>
      <c r="V27" s="228">
        <f>Valuation!$C$53/'BS, CF and P&amp;L'!AJ37</f>
        <v>8.3778230512771756</v>
      </c>
      <c r="W27" s="228">
        <f>Valuation!$C$53/'BS, CF and P&amp;L'!AM37</f>
        <v>8.2851752493669419</v>
      </c>
      <c r="X27" s="228">
        <f>Valuation!$C$53/'BS, CF and P&amp;L'!AP37</f>
        <v>9.3628485933424486</v>
      </c>
      <c r="Y27" s="228">
        <f>Valuation!$C$53/'BS, CF and P&amp;L'!AS37</f>
        <v>7.8212440570235131</v>
      </c>
      <c r="Z27" s="228">
        <f>Valuation!$C$53/'BS, CF and P&amp;L'!AV37</f>
        <v>7.2115091078289284</v>
      </c>
      <c r="AB27" s="7"/>
      <c r="AC27" s="7"/>
    </row>
    <row r="28" spans="2:39">
      <c r="B28" s="197" t="s">
        <v>197</v>
      </c>
      <c r="C28" s="214">
        <f>+'BS, CF and P&amp;L'!O120</f>
        <v>0</v>
      </c>
      <c r="D28" s="214">
        <f>+'BS, CF and P&amp;L'!R120</f>
        <v>0</v>
      </c>
      <c r="E28" s="214">
        <f>+'BS, CF and P&amp;L'!X120</f>
        <v>0</v>
      </c>
      <c r="F28" s="214">
        <f>+'BS, CF and P&amp;L'!AA120</f>
        <v>-22.066999999999979</v>
      </c>
      <c r="G28" s="214">
        <f>+'BS, CF and P&amp;L'!AD120</f>
        <v>-173.53100000000003</v>
      </c>
      <c r="H28" s="214">
        <f>+'BS, CF and P&amp;L'!AG120</f>
        <v>39.691000000000031</v>
      </c>
      <c r="I28" s="214">
        <f>+'BS, CF and P&amp;L'!AJ120</f>
        <v>16.408999999999992</v>
      </c>
      <c r="J28" s="214">
        <f>+'BS, CF and P&amp;L'!AM120</f>
        <v>-2.9639999999999986</v>
      </c>
      <c r="K28" s="214">
        <f>+'BS, CF and P&amp;L'!AP120</f>
        <v>-20.632662322711383</v>
      </c>
      <c r="L28" s="214">
        <f>+'BS, CF and P&amp;L'!AS120</f>
        <v>-20.517093931963871</v>
      </c>
      <c r="M28" s="214">
        <f>+'BS, CF and P&amp;L'!AV120</f>
        <v>-21.110178249451053</v>
      </c>
      <c r="O28" s="197" t="s">
        <v>184</v>
      </c>
      <c r="P28" s="228" t="e">
        <f>Valuation!$C$53/'BS, CF and P&amp;L'!O46</f>
        <v>#DIV/0!</v>
      </c>
      <c r="Q28" s="228" t="e">
        <f>Valuation!$C$53/'BS, CF and P&amp;L'!R46</f>
        <v>#DIV/0!</v>
      </c>
      <c r="R28" s="228">
        <f>Valuation!$C$53/'BS, CF and P&amp;L'!X46</f>
        <v>14.572127219894861</v>
      </c>
      <c r="S28" s="228">
        <f>Valuation!$C$53/'BS, CF and P&amp;L'!AA46</f>
        <v>10.521326541410927</v>
      </c>
      <c r="T28" s="228">
        <f>Valuation!$C$53/'BS, CF and P&amp;L'!AD46</f>
        <v>10.392301357530918</v>
      </c>
      <c r="U28" s="228">
        <f>Valuation!$C$53/'BS, CF and P&amp;L'!AG46</f>
        <v>10.366267928583914</v>
      </c>
      <c r="V28" s="228">
        <f>Valuation!$C$53/'BS, CF and P&amp;L'!AJ46</f>
        <v>10.722309473153135</v>
      </c>
      <c r="W28" s="228">
        <f>Valuation!$C$53/'BS, CF and P&amp;L'!AM46</f>
        <v>11.012637032539264</v>
      </c>
      <c r="X28" s="228">
        <f>Valuation!$C$53/'BS, CF and P&amp;L'!AP46</f>
        <v>13.108554562796598</v>
      </c>
      <c r="Y28" s="228">
        <f>Valuation!$C$53/'BS, CF and P&amp;L'!AS46</f>
        <v>10.33673378339698</v>
      </c>
      <c r="Z28" s="228">
        <f>Valuation!$C$53/'BS, CF and P&amp;L'!AV46</f>
        <v>9.35401702133254</v>
      </c>
      <c r="AB28" s="7"/>
      <c r="AC28" s="7"/>
    </row>
    <row r="29" spans="2:39">
      <c r="B29" s="197" t="s">
        <v>217</v>
      </c>
      <c r="C29" s="214">
        <f t="shared" ref="C29:J29" si="5">C30-SUM(C25:C28)</f>
        <v>0</v>
      </c>
      <c r="D29" s="214">
        <f t="shared" si="5"/>
        <v>0</v>
      </c>
      <c r="E29" s="214">
        <f t="shared" si="5"/>
        <v>-32.695000000000022</v>
      </c>
      <c r="F29" s="214">
        <f t="shared" si="5"/>
        <v>11.236000000000018</v>
      </c>
      <c r="G29" s="214">
        <f t="shared" si="5"/>
        <v>37.611000000000061</v>
      </c>
      <c r="H29" s="214">
        <f t="shared" si="5"/>
        <v>-21.622000000000071</v>
      </c>
      <c r="I29" s="214">
        <f t="shared" si="5"/>
        <v>23.170999999999964</v>
      </c>
      <c r="J29" s="214">
        <f t="shared" si="5"/>
        <v>-3.6479999999999961</v>
      </c>
      <c r="K29" s="214">
        <f t="shared" ref="K29:L29" si="6">K30-SUM(K25:K28)</f>
        <v>3.0740000000000691</v>
      </c>
      <c r="L29" s="214">
        <f t="shared" si="6"/>
        <v>0</v>
      </c>
      <c r="M29" s="214">
        <f t="shared" ref="M29" si="7">M30-SUM(M25:M28)</f>
        <v>0</v>
      </c>
      <c r="O29" s="197" t="s">
        <v>9</v>
      </c>
      <c r="P29" s="228" t="e">
        <f>($AC$7*100)/'BS, CF and P&amp;L'!O281</f>
        <v>#DIV/0!</v>
      </c>
      <c r="Q29" s="228" t="e">
        <f>($AC$7*100)/'BS, CF and P&amp;L'!R281</f>
        <v>#DIV/0!</v>
      </c>
      <c r="R29" s="228">
        <f>($AC$7*100)/'BS, CF and P&amp;L'!X281</f>
        <v>44.27876571771273</v>
      </c>
      <c r="S29" s="228">
        <f>($AC$7*100)/'BS, CF and P&amp;L'!AA281*AC10</f>
        <v>12.536919138580739</v>
      </c>
      <c r="T29" s="228">
        <f>($AC$7*100)/'BS, CF and P&amp;L'!AD281*AC10</f>
        <v>12.325774481353159</v>
      </c>
      <c r="U29" s="228">
        <f>($AC$7*100)/'BS, CF and P&amp;L'!AG281*AC10</f>
        <v>12.797295766947974</v>
      </c>
      <c r="V29" s="228">
        <f>($AC$7*100)/'BS, CF and P&amp;L'!AJ281*AC10</f>
        <v>13.557405323689585</v>
      </c>
      <c r="W29" s="228">
        <f>($AC$7*100)/'BS, CF and P&amp;L'!AM281*AC10</f>
        <v>13.347123674672986</v>
      </c>
      <c r="X29" s="228">
        <f>($AC$7*100)/'BS, CF and P&amp;L'!AP281*AC10</f>
        <v>16.522456666190564</v>
      </c>
      <c r="Y29" s="228">
        <f>($AC$7*100)/'BS, CF and P&amp;L'!AS281*AC10</f>
        <v>12.753585065400323</v>
      </c>
      <c r="Z29" s="228">
        <f>($AC$7*100)/'BS, CF and P&amp;L'!AV281*AC10</f>
        <v>11.452931598188055</v>
      </c>
      <c r="AB29" s="7"/>
      <c r="AC29" s="7"/>
    </row>
    <row r="30" spans="2:39">
      <c r="B30" s="230" t="s">
        <v>322</v>
      </c>
      <c r="C30" s="231">
        <f>+'BS, CF and P&amp;L'!O122</f>
        <v>0</v>
      </c>
      <c r="D30" s="231">
        <f>+'BS, CF and P&amp;L'!R122</f>
        <v>0</v>
      </c>
      <c r="E30" s="231">
        <f>+'BS, CF and P&amp;L'!X122</f>
        <v>161.559</v>
      </c>
      <c r="F30" s="231">
        <f>+'BS, CF and P&amp;L'!AA122</f>
        <v>205.63200000000001</v>
      </c>
      <c r="G30" s="231">
        <f>+'BS, CF and P&amp;L'!AD122</f>
        <v>89.281999999999996</v>
      </c>
      <c r="H30" s="231">
        <f>+'BS, CF and P&amp;L'!AG122</f>
        <v>250.26</v>
      </c>
      <c r="I30" s="231">
        <f>+'BS, CF and P&amp;L'!AJ122</f>
        <v>274.40699999999998</v>
      </c>
      <c r="J30" s="231">
        <f>+'BS, CF and P&amp;L'!AM122</f>
        <v>232.99600000000001</v>
      </c>
      <c r="K30" s="231">
        <f>+'BS, CF and P&amp;L'!AP122</f>
        <v>190.91015307822153</v>
      </c>
      <c r="L30" s="231">
        <f>+'BS, CF and P&amp;L'!AS122</f>
        <v>229.5576638765466</v>
      </c>
      <c r="M30" s="231">
        <f>+'BS, CF and P&amp;L'!AV122</f>
        <v>246.54633968225113</v>
      </c>
      <c r="P30" s="229"/>
      <c r="Q30" s="229"/>
      <c r="R30" s="229"/>
      <c r="S30" s="229"/>
      <c r="T30" s="229"/>
      <c r="U30" s="460"/>
      <c r="V30" s="229"/>
      <c r="W30" s="229"/>
      <c r="X30" s="229"/>
      <c r="Y30" s="229"/>
      <c r="Z30" s="229"/>
      <c r="AB30" s="7"/>
      <c r="AC30" s="7"/>
    </row>
    <row r="31" spans="2:39">
      <c r="B31" s="197" t="s">
        <v>29</v>
      </c>
      <c r="C31" s="214">
        <f>+'BS, CF and P&amp;L'!O124</f>
        <v>0</v>
      </c>
      <c r="D31" s="214">
        <f>+'BS, CF and P&amp;L'!R124</f>
        <v>0</v>
      </c>
      <c r="E31" s="214">
        <f>+'BS, CF and P&amp;L'!X124</f>
        <v>-18.815000000000001</v>
      </c>
      <c r="F31" s="214">
        <f>+'BS, CF and P&amp;L'!AA124</f>
        <v>-15.914249999999999</v>
      </c>
      <c r="G31" s="214">
        <f>+'BS, CF and P&amp;L'!AD124</f>
        <v>-26.602199999999996</v>
      </c>
      <c r="H31" s="214">
        <f>+'BS, CF and P&amp;L'!AG124</f>
        <v>-25.652000000000001</v>
      </c>
      <c r="I31" s="214">
        <f>+'BS, CF and P&amp;L'!AJ124</f>
        <v>-13.228000000000002</v>
      </c>
      <c r="J31" s="214">
        <f>+'BS, CF and P&amp;L'!AM124</f>
        <v>-16.984999999999999</v>
      </c>
      <c r="K31" s="214">
        <f>+'BS, CF and P&amp;L'!AP124</f>
        <v>-18.738287026471941</v>
      </c>
      <c r="L31" s="214">
        <f>+'BS, CF and P&amp;L'!AS124</f>
        <v>-42.952872000000013</v>
      </c>
      <c r="M31" s="214">
        <f>+'BS, CF and P&amp;L'!AV124</f>
        <v>-47.499502180000007</v>
      </c>
      <c r="O31" s="201" t="s">
        <v>307</v>
      </c>
      <c r="P31" s="202" t="str">
        <f t="shared" ref="P31:Z31" si="8">C$6</f>
        <v>FY17A</v>
      </c>
      <c r="Q31" s="202" t="str">
        <f t="shared" si="8"/>
        <v>FY19A</v>
      </c>
      <c r="R31" s="202" t="str">
        <f t="shared" si="8"/>
        <v>FY20A</v>
      </c>
      <c r="S31" s="202" t="str">
        <f t="shared" si="8"/>
        <v>FY21A</v>
      </c>
      <c r="T31" s="202" t="str">
        <f t="shared" si="8"/>
        <v>FY22A</v>
      </c>
      <c r="U31" s="202" t="str">
        <f t="shared" si="8"/>
        <v>FY23A</v>
      </c>
      <c r="V31" s="202" t="str">
        <f t="shared" si="8"/>
        <v>FY24A</v>
      </c>
      <c r="W31" s="202" t="str">
        <f t="shared" si="8"/>
        <v>FY25A</v>
      </c>
      <c r="X31" s="202" t="str">
        <f t="shared" si="8"/>
        <v>FY26E</v>
      </c>
      <c r="Y31" s="202" t="str">
        <f t="shared" si="8"/>
        <v>FY27E</v>
      </c>
      <c r="Z31" s="202" t="str">
        <f t="shared" si="8"/>
        <v>FY28E</v>
      </c>
      <c r="AB31" s="7"/>
      <c r="AC31" s="7"/>
    </row>
    <row r="32" spans="2:39">
      <c r="B32" s="197" t="s">
        <v>433</v>
      </c>
      <c r="C32" s="214">
        <f>+'BS, CF and P&amp;L'!O125</f>
        <v>0</v>
      </c>
      <c r="D32" s="214">
        <f>+'BS, CF and P&amp;L'!R125</f>
        <v>0</v>
      </c>
      <c r="E32" s="214">
        <f>+'BS, CF and P&amp;L'!X125</f>
        <v>0</v>
      </c>
      <c r="F32" s="214">
        <f>+'BS, CF and P&amp;L'!AA125</f>
        <v>-19.450750000000003</v>
      </c>
      <c r="G32" s="214">
        <f>+'BS, CF and P&amp;L'!AD125</f>
        <v>-32.513800000000003</v>
      </c>
      <c r="H32" s="214">
        <f>+'BS, CF and P&amp;L'!AG125</f>
        <v>-10</v>
      </c>
      <c r="I32" s="214">
        <f>+'BS, CF and P&amp;L'!AJ125</f>
        <v>-26.1</v>
      </c>
      <c r="J32" s="214">
        <f>+'BS, CF and P&amp;L'!AM125</f>
        <v>-10.7</v>
      </c>
      <c r="K32" s="214">
        <f>+'BS, CF and P&amp;L'!AP125</f>
        <v>-8.3000000000000007</v>
      </c>
      <c r="L32" s="214">
        <f>+'BS, CF and P&amp;L'!AS125</f>
        <v>-17</v>
      </c>
      <c r="M32" s="214">
        <f>+'BS, CF and P&amp;L'!AV125</f>
        <v>-17.850000000000001</v>
      </c>
      <c r="O32" s="197" t="s">
        <v>308</v>
      </c>
      <c r="P32" s="210">
        <f>'BS, CF and P&amp;L'!O84</f>
        <v>0</v>
      </c>
      <c r="Q32" s="210">
        <f>'BS, CF and P&amp;L'!R84</f>
        <v>0</v>
      </c>
      <c r="R32" s="210">
        <f>'BS, CF and P&amp;L'!X84</f>
        <v>0</v>
      </c>
      <c r="S32" s="210">
        <f>'BS, CF and P&amp;L'!AA84</f>
        <v>-0.13695599661206648</v>
      </c>
      <c r="T32" s="210">
        <f>'BS, CF and P&amp;L'!AD84</f>
        <v>0.14754785165764717</v>
      </c>
      <c r="U32" s="210">
        <f>'BS, CF and P&amp;L'!AG84</f>
        <v>4.3978317264758537E-2</v>
      </c>
      <c r="V32" s="210">
        <f>'BS, CF and P&amp;L'!AJ84</f>
        <v>3.4645131383119754E-3</v>
      </c>
      <c r="W32" s="210">
        <f>'BS, CF and P&amp;L'!AM84</f>
        <v>2.4719710415934459E-2</v>
      </c>
      <c r="X32" s="210">
        <f>'BS, CF and P&amp;L'!AP84</f>
        <v>6.8554224285017895E-3</v>
      </c>
      <c r="Y32" s="210">
        <f>'BS, CF and P&amp;L'!AS84</f>
        <v>7.049373349312793E-2</v>
      </c>
      <c r="Z32" s="210">
        <f>'BS, CF and P&amp;L'!AV84</f>
        <v>5.6747233482572268E-2</v>
      </c>
      <c r="AB32" s="7"/>
      <c r="AC32" s="7"/>
    </row>
    <row r="33" spans="2:32">
      <c r="B33" s="197" t="s">
        <v>217</v>
      </c>
      <c r="C33" s="214">
        <f t="shared" ref="C33:J33" si="9">C34-SUM(C31:C32)</f>
        <v>0</v>
      </c>
      <c r="D33" s="214">
        <f t="shared" si="9"/>
        <v>0</v>
      </c>
      <c r="E33" s="214">
        <f t="shared" si="9"/>
        <v>-7.0060000000000002</v>
      </c>
      <c r="F33" s="214">
        <f t="shared" si="9"/>
        <v>0.14200000000000301</v>
      </c>
      <c r="G33" s="214">
        <f t="shared" si="9"/>
        <v>-353.85699999999997</v>
      </c>
      <c r="H33" s="214">
        <f t="shared" si="9"/>
        <v>21.148000000000003</v>
      </c>
      <c r="I33" s="214">
        <f t="shared" si="9"/>
        <v>-100.82800000000003</v>
      </c>
      <c r="J33" s="214">
        <f t="shared" si="9"/>
        <v>-2.360000000000003</v>
      </c>
      <c r="K33" s="214">
        <f t="shared" ref="K33:L33" si="10">K34-SUM(K31:K32)</f>
        <v>1.5219999999999985</v>
      </c>
      <c r="L33" s="214">
        <f t="shared" si="10"/>
        <v>0</v>
      </c>
      <c r="M33" s="214">
        <f t="shared" ref="M33" si="11">M34-SUM(M31:M32)</f>
        <v>0</v>
      </c>
      <c r="O33" s="197" t="s">
        <v>309</v>
      </c>
      <c r="P33" s="210">
        <f>'BS, CF and P&amp;L'!O283</f>
        <v>0</v>
      </c>
      <c r="Q33" s="210">
        <f>'BS, CF and P&amp;L'!R283</f>
        <v>0</v>
      </c>
      <c r="R33" s="210">
        <f>'BS, CF and P&amp;L'!X283</f>
        <v>0</v>
      </c>
      <c r="S33" s="210">
        <f>'BS, CF and P&amp;L'!AA283</f>
        <v>1.4369901414774944</v>
      </c>
      <c r="T33" s="210">
        <f>'BS, CF and P&amp;L'!AD283</f>
        <v>1.7130335910900074E-2</v>
      </c>
      <c r="U33" s="210">
        <f>'BS, CF and P&amp;L'!AG283</f>
        <v>-3.6845384695462835E-2</v>
      </c>
      <c r="V33" s="210">
        <f>'BS, CF and P&amp;L'!AJ283</f>
        <v>-5.6066005153171061E-2</v>
      </c>
      <c r="W33" s="210">
        <f>'BS, CF and P&amp;L'!AM283</f>
        <v>1.5754828841184843E-2</v>
      </c>
      <c r="X33" s="210">
        <f>'BS, CF and P&amp;L'!AP283</f>
        <v>-0.19218286091893189</v>
      </c>
      <c r="Y33" s="210">
        <f>'BS, CF and P&amp;L'!AS283</f>
        <v>0.29551467932063713</v>
      </c>
      <c r="Z33" s="210">
        <f>'BS, CF and P&amp;L'!AV283</f>
        <v>0.11356511265797153</v>
      </c>
      <c r="AB33" s="7"/>
      <c r="AC33" s="7"/>
    </row>
    <row r="34" spans="2:32">
      <c r="B34" s="230" t="s">
        <v>323</v>
      </c>
      <c r="C34" s="231">
        <f>+'BS, CF and P&amp;L'!O130</f>
        <v>0</v>
      </c>
      <c r="D34" s="231">
        <f>+'BS, CF and P&amp;L'!R130</f>
        <v>0</v>
      </c>
      <c r="E34" s="231">
        <f>+'BS, CF and P&amp;L'!X130</f>
        <v>-25.821000000000002</v>
      </c>
      <c r="F34" s="231">
        <f>+'BS, CF and P&amp;L'!AA130</f>
        <v>-35.222999999999999</v>
      </c>
      <c r="G34" s="231">
        <f>+'BS, CF and P&amp;L'!AD130</f>
        <v>-412.97299999999996</v>
      </c>
      <c r="H34" s="231">
        <f>+'BS, CF and P&amp;L'!AG130</f>
        <v>-14.504</v>
      </c>
      <c r="I34" s="231">
        <f>+'BS, CF and P&amp;L'!AJ130</f>
        <v>-140.15600000000003</v>
      </c>
      <c r="J34" s="231">
        <f>+'BS, CF and P&amp;L'!AM130</f>
        <v>-30.045000000000002</v>
      </c>
      <c r="K34" s="231">
        <f>+'BS, CF and P&amp;L'!AP130</f>
        <v>-25.516287026471943</v>
      </c>
      <c r="L34" s="231">
        <f>+'BS, CF and P&amp;L'!AS130</f>
        <v>-59.952872000000013</v>
      </c>
      <c r="M34" s="231">
        <f>+'BS, CF and P&amp;L'!AV130</f>
        <v>-65.349502180000002</v>
      </c>
      <c r="O34" s="8" t="s">
        <v>310</v>
      </c>
      <c r="P34" s="37" t="e">
        <f>((C30+C31)/'BS, CF and P&amp;L'!O268/$AC$7)</f>
        <v>#DIV/0!</v>
      </c>
      <c r="Q34" s="37" t="e">
        <f>((D30+D31)/'BS, CF and P&amp;L'!R268/$AC$7)</f>
        <v>#DIV/0!</v>
      </c>
      <c r="R34" s="37">
        <f>((E30+E31)/'BS, CF and P&amp;L'!X268/$AC$7)</f>
        <v>4.957376929845432E-2</v>
      </c>
      <c r="S34" s="37">
        <f>((F30+F31)/'BS, CF and P&amp;L'!AA268/$AC$7*AC10)</f>
        <v>4.5406357950958071E-2</v>
      </c>
      <c r="T34" s="37">
        <f>((G30+G31)/'BS, CF and P&amp;L'!AD268/$AC$7*AC10)</f>
        <v>1.5000579457239569E-2</v>
      </c>
      <c r="U34" s="37">
        <f>((H30+H31)/'BS, CF and P&amp;L'!AG268/$AC$7*AC10)</f>
        <v>5.3668144731102013E-2</v>
      </c>
      <c r="V34" s="37">
        <f>((I30+I31)/'BS, CF and P&amp;L'!AJ268/$AC$7*AC10)</f>
        <v>6.2436429594867018E-2</v>
      </c>
      <c r="W34" s="37">
        <f>((J30+J31)/'BS, CF and P&amp;L'!AM268/$AC$7*AC10)</f>
        <v>5.2168202012303141E-2</v>
      </c>
      <c r="X34" s="37">
        <f>((K30+K31)/'BS, CF and P&amp;L'!AP268/$AC$7*AC10)</f>
        <v>4.0802364029814249E-2</v>
      </c>
      <c r="Y34" s="37">
        <f>((L30+L31)/'BS, CF and P&amp;L'!AS268/$AC$7*AC10)</f>
        <v>4.4555633051732518E-2</v>
      </c>
      <c r="Z34" s="37">
        <f>((M30+M31)/'BS, CF and P&amp;L'!AV268/$AC$7*AC10)</f>
        <v>4.8096264593233407E-2</v>
      </c>
      <c r="AB34" s="7"/>
      <c r="AC34" s="7"/>
    </row>
    <row r="35" spans="2:32">
      <c r="B35" s="197" t="s">
        <v>34</v>
      </c>
      <c r="C35" s="214">
        <f>+'BS, CF and P&amp;L'!O132</f>
        <v>0</v>
      </c>
      <c r="D35" s="214">
        <f>+'BS, CF and P&amp;L'!R132</f>
        <v>0</v>
      </c>
      <c r="E35" s="214">
        <f>+'BS, CF and P&amp;L'!X132</f>
        <v>-26.251999999999999</v>
      </c>
      <c r="F35" s="214">
        <f>+'BS, CF and P&amp;L'!AA132</f>
        <v>-76.018000000000001</v>
      </c>
      <c r="G35" s="214">
        <f>+'BS, CF and P&amp;L'!AD132</f>
        <v>-76.772000000000006</v>
      </c>
      <c r="H35" s="214">
        <f>+'BS, CF and P&amp;L'!AG132</f>
        <v>-74.548000000000002</v>
      </c>
      <c r="I35" s="214">
        <f>+'BS, CF and P&amp;L'!AJ132</f>
        <v>-56.963000000000001</v>
      </c>
      <c r="J35" s="214">
        <f>+'BS, CF and P&amp;L'!AM132</f>
        <v>-39.137</v>
      </c>
      <c r="K35" s="214">
        <f>+'BS, CF and P&amp;L'!AP132</f>
        <v>-35.199895300000001</v>
      </c>
      <c r="L35" s="214">
        <f>+'BS, CF and P&amp;L'!AS132</f>
        <v>-43.568584946597255</v>
      </c>
      <c r="M35" s="214">
        <f>+'BS, CF and P&amp;L'!AV132</f>
        <v>-49.979024617896513</v>
      </c>
      <c r="O35" s="197" t="s">
        <v>177</v>
      </c>
      <c r="P35" s="210">
        <f>'BS, CF and P&amp;L'!O291</f>
        <v>0</v>
      </c>
      <c r="Q35" s="210">
        <f>'BS, CF and P&amp;L'!R291</f>
        <v>0</v>
      </c>
      <c r="R35" s="210">
        <f>'BS, CF and P&amp;L'!X291</f>
        <v>1.8709907341411265E-2</v>
      </c>
      <c r="S35" s="210">
        <f>'BS, CF and P&amp;L'!AA291</f>
        <v>3.8453314326443333E-2</v>
      </c>
      <c r="T35" s="210">
        <f>'BS, CF and P&amp;L'!AD291</f>
        <v>3.7617803120297777E-2</v>
      </c>
      <c r="U35" s="210">
        <f>'BS, CF and P&amp;L'!AG291</f>
        <v>3.7617803120297777E-2</v>
      </c>
      <c r="V35" s="210">
        <f>'BS, CF and P&amp;L'!AJ291</f>
        <v>1.8808901560148888E-2</v>
      </c>
      <c r="W35" s="210">
        <f>'BS, CF and P&amp;L'!AM291</f>
        <v>1.9798843747525146E-2</v>
      </c>
      <c r="X35" s="210">
        <f>'BS, CF and P&amp;L'!AP291</f>
        <v>1.7821755288480515E-2</v>
      </c>
      <c r="Y35" s="210">
        <f>'BS, CF and P&amp;L'!AS291</f>
        <v>2.3893058809562131E-2</v>
      </c>
      <c r="Z35" s="210">
        <f>'BS, CF and P&amp;L'!AV291</f>
        <v>2.7542489785662105E-2</v>
      </c>
      <c r="AB35" s="7"/>
      <c r="AC35" s="7"/>
    </row>
    <row r="36" spans="2:32">
      <c r="B36" s="197" t="s">
        <v>311</v>
      </c>
      <c r="C36" s="214">
        <f>+'BS, CF and P&amp;L'!O133</f>
        <v>0</v>
      </c>
      <c r="D36" s="214">
        <f>+'BS, CF and P&amp;L'!R133</f>
        <v>0</v>
      </c>
      <c r="E36" s="214">
        <f>+'BS, CF and P&amp;L'!X133</f>
        <v>0</v>
      </c>
      <c r="F36" s="214">
        <f>+'BS, CF and P&amp;L'!AA133</f>
        <v>0</v>
      </c>
      <c r="G36" s="214">
        <f>+'BS, CF and P&amp;L'!AD133</f>
        <v>0</v>
      </c>
      <c r="H36" s="214">
        <f>+'BS, CF and P&amp;L'!AG133</f>
        <v>0</v>
      </c>
      <c r="I36" s="214">
        <f>+'BS, CF and P&amp;L'!AJ133</f>
        <v>0</v>
      </c>
      <c r="J36" s="214">
        <f>+'BS, CF and P&amp;L'!AM133</f>
        <v>0</v>
      </c>
      <c r="K36" s="214">
        <f>+'BS, CF and P&amp;L'!AP133</f>
        <v>-35.3498953</v>
      </c>
      <c r="L36" s="214">
        <f>+'BS, CF and P&amp;L'!AS133</f>
        <v>-43.568584946597255</v>
      </c>
      <c r="M36" s="214">
        <f>+'BS, CF and P&amp;L'!AV133</f>
        <v>-49.979024617896513</v>
      </c>
      <c r="P36" s="210"/>
      <c r="Q36" s="210"/>
      <c r="R36" s="210"/>
      <c r="S36" s="210"/>
      <c r="T36" s="210"/>
      <c r="U36" s="210"/>
      <c r="V36" s="210"/>
      <c r="W36" s="210"/>
      <c r="X36" s="210"/>
      <c r="Y36" s="210"/>
      <c r="Z36" s="210"/>
      <c r="AB36" s="7"/>
      <c r="AC36" s="7"/>
    </row>
    <row r="37" spans="2:32">
      <c r="B37" s="197" t="s">
        <v>312</v>
      </c>
      <c r="C37" s="214">
        <f>+'BS, CF and P&amp;L'!O134</f>
        <v>0</v>
      </c>
      <c r="D37" s="214">
        <f>+'BS, CF and P&amp;L'!R134</f>
        <v>0</v>
      </c>
      <c r="E37" s="214">
        <f>+'BS, CF and P&amp;L'!X134</f>
        <v>-80.906999999999996</v>
      </c>
      <c r="F37" s="214">
        <f>+'BS, CF and P&amp;L'!AA134</f>
        <v>-115.64400000000001</v>
      </c>
      <c r="G37" s="214">
        <f>+'BS, CF and P&amp;L'!AD134</f>
        <v>431.93</v>
      </c>
      <c r="H37" s="214">
        <f>+'BS, CF and P&amp;L'!AG134</f>
        <v>-127.58800000000001</v>
      </c>
      <c r="I37" s="214">
        <f>+'BS, CF and P&amp;L'!AJ134</f>
        <v>-13.634999999999991</v>
      </c>
      <c r="J37" s="214">
        <f>+'BS, CF and P&amp;L'!AM134</f>
        <v>-79.710999999999984</v>
      </c>
      <c r="K37" s="214">
        <f>+'BS, CF and P&amp;L'!AP134</f>
        <v>-61.948977283736006</v>
      </c>
      <c r="L37" s="214">
        <f>+'BS, CF and P&amp;L'!AS134</f>
        <v>-60.32673109897317</v>
      </c>
      <c r="M37" s="214">
        <f>+'BS, CF and P&amp;L'!AV134</f>
        <v>-58.696848684740715</v>
      </c>
      <c r="O37" s="201" t="s">
        <v>526</v>
      </c>
      <c r="P37" s="202" t="str">
        <f t="shared" ref="P37:Z37" si="12">C$6</f>
        <v>FY17A</v>
      </c>
      <c r="Q37" s="202" t="str">
        <f t="shared" si="12"/>
        <v>FY19A</v>
      </c>
      <c r="R37" s="202" t="str">
        <f t="shared" si="12"/>
        <v>FY20A</v>
      </c>
      <c r="S37" s="202" t="str">
        <f t="shared" si="12"/>
        <v>FY21A</v>
      </c>
      <c r="T37" s="202" t="str">
        <f t="shared" si="12"/>
        <v>FY22A</v>
      </c>
      <c r="U37" s="202" t="str">
        <f t="shared" si="12"/>
        <v>FY23A</v>
      </c>
      <c r="V37" s="202" t="str">
        <f t="shared" si="12"/>
        <v>FY24A</v>
      </c>
      <c r="W37" s="202" t="str">
        <f t="shared" si="12"/>
        <v>FY25A</v>
      </c>
      <c r="X37" s="202" t="str">
        <f t="shared" si="12"/>
        <v>FY26E</v>
      </c>
      <c r="Y37" s="202" t="str">
        <f t="shared" si="12"/>
        <v>FY27E</v>
      </c>
      <c r="Z37" s="202" t="str">
        <f t="shared" si="12"/>
        <v>FY28E</v>
      </c>
      <c r="AB37" s="7"/>
      <c r="AC37" s="7"/>
    </row>
    <row r="38" spans="2:32">
      <c r="B38" s="197" t="s">
        <v>217</v>
      </c>
      <c r="C38" s="214">
        <f>+'BS, CF and P&amp;L'!O135</f>
        <v>0</v>
      </c>
      <c r="D38" s="214">
        <f>+'BS, CF and P&amp;L'!R135</f>
        <v>0</v>
      </c>
      <c r="E38" s="214">
        <f>+'BS, CF and P&amp;L'!X135</f>
        <v>-20.425000000000001</v>
      </c>
      <c r="F38" s="214">
        <f>+'BS, CF and P&amp;L'!AA135</f>
        <v>-17.087</v>
      </c>
      <c r="G38" s="214">
        <f>+'BS, CF and P&amp;L'!AD135</f>
        <v>-22.747</v>
      </c>
      <c r="H38" s="214">
        <f>+'BS, CF and P&amp;L'!AG135</f>
        <v>-45.107999999999997</v>
      </c>
      <c r="I38" s="214">
        <f>+'BS, CF and P&amp;L'!AJ135</f>
        <v>-60.893999999999998</v>
      </c>
      <c r="J38" s="214">
        <f>+'BS, CF and P&amp;L'!AM135</f>
        <v>-82.548000000000002</v>
      </c>
      <c r="K38" s="214">
        <f>+'BS, CF and P&amp;L'!AP135</f>
        <v>-32.383098168013568</v>
      </c>
      <c r="L38" s="214">
        <f>+'BS, CF and P&amp;L'!AS135</f>
        <v>-22.140890884378884</v>
      </c>
      <c r="M38" s="214">
        <f>+'BS, CF and P&amp;L'!AV135</f>
        <v>-22.541939581717394</v>
      </c>
      <c r="O38" s="8" t="s">
        <v>274</v>
      </c>
      <c r="P38" s="209">
        <f>+'BS, CF and P&amp;L'!O36</f>
        <v>0</v>
      </c>
      <c r="Q38" s="209">
        <f>+'BS, CF and P&amp;L'!R36</f>
        <v>0</v>
      </c>
      <c r="R38" s="209">
        <f>+'BS, CF and P&amp;L'!X36</f>
        <v>-2.7120000000000002</v>
      </c>
      <c r="S38" s="209">
        <f>+'BS, CF and P&amp;L'!AA36</f>
        <v>-6.5350000000000001</v>
      </c>
      <c r="T38" s="209">
        <f>+'BS, CF and P&amp;L'!AD36</f>
        <v>-6.5979999999999999</v>
      </c>
      <c r="U38" s="209">
        <f>+'BS, CF and P&amp;L'!AG36</f>
        <v>-4.609</v>
      </c>
      <c r="V38" s="209">
        <f>+'BS, CF and P&amp;L'!AJ11</f>
        <v>215.93599999999998</v>
      </c>
      <c r="W38" s="209">
        <f>+'BS, CF and P&amp;L'!AM11</f>
        <v>272.50699999999995</v>
      </c>
      <c r="X38" s="209">
        <f>+'BS, CF and P&amp;L'!AP11</f>
        <v>277.58581721130372</v>
      </c>
      <c r="Y38" s="209">
        <f>+'BS, CF and P&amp;L'!AS11</f>
        <v>312.75729927616896</v>
      </c>
      <c r="Z38" s="209">
        <f>+'BS, CF and P&amp;L'!AV11</f>
        <v>333.06289346682422</v>
      </c>
      <c r="AB38" s="418">
        <f>(Z38/W38)^(1/3)-1</f>
        <v>6.9176807066069879E-2</v>
      </c>
      <c r="AC38" s="7"/>
    </row>
    <row r="39" spans="2:32">
      <c r="B39" s="230" t="s">
        <v>324</v>
      </c>
      <c r="C39" s="231">
        <f t="shared" ref="C39:J39" si="13">SUM(C35:C38)</f>
        <v>0</v>
      </c>
      <c r="D39" s="231">
        <f t="shared" si="13"/>
        <v>0</v>
      </c>
      <c r="E39" s="231">
        <f t="shared" si="13"/>
        <v>-127.58399999999999</v>
      </c>
      <c r="F39" s="231">
        <f t="shared" si="13"/>
        <v>-208.749</v>
      </c>
      <c r="G39" s="231">
        <f t="shared" si="13"/>
        <v>332.411</v>
      </c>
      <c r="H39" s="231">
        <f t="shared" si="13"/>
        <v>-247.24400000000003</v>
      </c>
      <c r="I39" s="231">
        <f t="shared" si="13"/>
        <v>-131.49199999999999</v>
      </c>
      <c r="J39" s="231">
        <f t="shared" si="13"/>
        <v>-201.39599999999999</v>
      </c>
      <c r="K39" s="231">
        <f t="shared" ref="K39:L39" si="14">SUM(K35:K38)</f>
        <v>-164.88186605174957</v>
      </c>
      <c r="L39" s="231">
        <f t="shared" si="14"/>
        <v>-169.60479187654656</v>
      </c>
      <c r="M39" s="231">
        <f t="shared" ref="M39" si="15">SUM(M35:M38)</f>
        <v>-181.19683750225116</v>
      </c>
      <c r="O39" s="8" t="s">
        <v>275</v>
      </c>
      <c r="P39" s="209">
        <f>+'BS, CF and P&amp;L'!O37</f>
        <v>0</v>
      </c>
      <c r="Q39" s="209">
        <f>+'BS, CF and P&amp;L'!R37</f>
        <v>0</v>
      </c>
      <c r="R39" s="209">
        <f>+'BS, CF and P&amp;L'!X37</f>
        <v>219.40400000000002</v>
      </c>
      <c r="S39" s="209">
        <f>+'BS, CF and P&amp;L'!AA37</f>
        <v>260.72499999999997</v>
      </c>
      <c r="T39" s="209">
        <f>+'BS, CF and P&amp;L'!AD37</f>
        <v>268.60199999999998</v>
      </c>
      <c r="U39" s="209">
        <f>+'BS, CF and P&amp;L'!AG37</f>
        <v>274.59100000000001</v>
      </c>
      <c r="V39" s="209">
        <f>+'BS, CF and P&amp;L'!AJ12</f>
        <v>877.67699999999991</v>
      </c>
      <c r="W39" s="209">
        <f>+'BS, CF and P&amp;L'!AM12</f>
        <v>858.87999999999988</v>
      </c>
      <c r="X39" s="209">
        <f>+'BS, CF and P&amp;L'!AP12</f>
        <v>856.3527591456359</v>
      </c>
      <c r="Y39" s="209">
        <f>+'BS, CF and P&amp;L'!AS12</f>
        <v>907.81398679089011</v>
      </c>
      <c r="Z39" s="209">
        <f>+'BS, CF and P&amp;L'!AV12</f>
        <v>953.1831642479226</v>
      </c>
      <c r="AB39" s="418">
        <f>(Z39/W39)^(1/3)-1</f>
        <v>3.5335942252443076E-2</v>
      </c>
      <c r="AC39" s="7"/>
    </row>
    <row r="40" spans="2:32">
      <c r="B40" s="197" t="s">
        <v>38</v>
      </c>
      <c r="C40" s="214">
        <f>+'BS, CF and P&amp;L'!O138</f>
        <v>0</v>
      </c>
      <c r="D40" s="214">
        <f>+'BS, CF and P&amp;L'!R138</f>
        <v>0</v>
      </c>
      <c r="E40" s="214">
        <f>+'BS, CF and P&amp;L'!X138</f>
        <v>-0.19500000000000001</v>
      </c>
      <c r="F40" s="214">
        <f>+'BS, CF and P&amp;L'!AA138</f>
        <v>3.2869999999999999</v>
      </c>
      <c r="G40" s="214">
        <f>+'BS, CF and P&amp;L'!AD138</f>
        <v>-2.36</v>
      </c>
      <c r="H40" s="214">
        <f>+'BS, CF and P&amp;L'!AG138</f>
        <v>-0.26600000000000001</v>
      </c>
      <c r="I40" s="214">
        <f>+'BS, CF and P&amp;L'!AJ138</f>
        <v>0.53900000000000003</v>
      </c>
      <c r="J40" s="214">
        <f>+'BS, CF and P&amp;L'!AM138</f>
        <v>3.9169999999999998</v>
      </c>
      <c r="K40" s="214">
        <f>+'BS, CF and P&amp;L'!AP138</f>
        <v>9.4E-2</v>
      </c>
      <c r="L40" s="214">
        <f>+'BS, CF and P&amp;L'!AS138</f>
        <v>0</v>
      </c>
      <c r="M40" s="214">
        <f>+'BS, CF and P&amp;L'!AV138</f>
        <v>0</v>
      </c>
      <c r="O40" s="8" t="s">
        <v>276</v>
      </c>
      <c r="P40" s="209">
        <f>+'BS, CF and P&amp;L'!O38</f>
        <v>0</v>
      </c>
      <c r="Q40" s="209">
        <f>+'BS, CF and P&amp;L'!R38</f>
        <v>0</v>
      </c>
      <c r="R40" s="209">
        <f>+'BS, CF and P&amp;L'!X38</f>
        <v>219.404</v>
      </c>
      <c r="S40" s="209">
        <f>+'BS, CF and P&amp;L'!AA38</f>
        <v>260.72499999999997</v>
      </c>
      <c r="T40" s="209">
        <f>+'BS, CF and P&amp;L'!AD38</f>
        <v>268.60199999999998</v>
      </c>
      <c r="U40" s="209">
        <f>+'BS, CF and P&amp;L'!AG38</f>
        <v>274.59100000000001</v>
      </c>
      <c r="V40" s="209">
        <f>+'BS, CF and P&amp;L'!AJ13</f>
        <v>263.64400000000001</v>
      </c>
      <c r="W40" s="209">
        <f>+'BS, CF and P&amp;L'!AM13</f>
        <v>259.42099999999999</v>
      </c>
      <c r="X40" s="209">
        <f>+'BS, CF and P&amp;L'!AP13</f>
        <v>266.404</v>
      </c>
      <c r="Y40" s="209">
        <f>+'BS, CF and P&amp;L'!AS13</f>
        <v>278.48666666666668</v>
      </c>
      <c r="Z40" s="209">
        <f>+'BS, CF and P&amp;L'!AV13</f>
        <v>297.87928666666664</v>
      </c>
      <c r="AB40" s="418">
        <f>(Z40/W40)^(1/3)-1</f>
        <v>4.7156819472822908E-2</v>
      </c>
      <c r="AC40" s="7"/>
    </row>
    <row r="41" spans="2:32">
      <c r="B41" s="197" t="s">
        <v>39</v>
      </c>
      <c r="C41" s="214">
        <f t="shared" ref="C41:J41" si="16">C40+C39+C34+C30</f>
        <v>0</v>
      </c>
      <c r="D41" s="214">
        <f t="shared" si="16"/>
        <v>0</v>
      </c>
      <c r="E41" s="214">
        <f t="shared" si="16"/>
        <v>7.9590000000000032</v>
      </c>
      <c r="F41" s="214">
        <f t="shared" si="16"/>
        <v>-35.052999999999997</v>
      </c>
      <c r="G41" s="214">
        <f t="shared" si="16"/>
        <v>6.3600000000000279</v>
      </c>
      <c r="H41" s="214">
        <f t="shared" si="16"/>
        <v>-11.754000000000019</v>
      </c>
      <c r="I41" s="214">
        <f t="shared" si="16"/>
        <v>3.297999999999945</v>
      </c>
      <c r="J41" s="214">
        <f t="shared" si="16"/>
        <v>5.4720000000000084</v>
      </c>
      <c r="K41" s="214">
        <f t="shared" ref="K41:L41" si="17">K40+K39+K34+K30</f>
        <v>0.60599999999999454</v>
      </c>
      <c r="L41" s="214">
        <f t="shared" si="17"/>
        <v>0</v>
      </c>
      <c r="M41" s="214">
        <f t="shared" ref="M41" si="18">M40+M39+M34+M30</f>
        <v>0</v>
      </c>
      <c r="O41" s="26" t="s">
        <v>513</v>
      </c>
      <c r="P41" s="398">
        <f t="shared" ref="P41:U41" ca="1" si="19">SUM(P38:P41)</f>
        <v>0</v>
      </c>
      <c r="Q41" s="398">
        <f t="shared" ca="1" si="19"/>
        <v>0</v>
      </c>
      <c r="R41" s="398">
        <f t="shared" ca="1" si="19"/>
        <v>70198809.216116667</v>
      </c>
      <c r="S41" s="398">
        <f t="shared" ca="1" si="19"/>
        <v>82886382.465099499</v>
      </c>
      <c r="T41" s="398">
        <f t="shared" ca="1" si="19"/>
        <v>85412178.426102668</v>
      </c>
      <c r="U41" s="398">
        <f t="shared" ca="1" si="19"/>
        <v>87660460.382871032</v>
      </c>
      <c r="V41" s="398">
        <f>I7</f>
        <v>1357.2569999999998</v>
      </c>
      <c r="W41" s="398">
        <f>J7</f>
        <v>1390.8079999999998</v>
      </c>
      <c r="X41" s="398">
        <f>K7</f>
        <v>1400.3425763569396</v>
      </c>
      <c r="Y41" s="398">
        <f>L7</f>
        <v>1499.0579527337259</v>
      </c>
      <c r="Z41" s="398">
        <f>M7</f>
        <v>1584.1253443814135</v>
      </c>
      <c r="AB41" s="418">
        <f>(Z41/W41)^(1/3)-1</f>
        <v>4.4337294389065196E-2</v>
      </c>
      <c r="AC41" s="7"/>
    </row>
    <row r="42" spans="2:32">
      <c r="AB42" s="7"/>
      <c r="AC42" s="7"/>
    </row>
    <row r="43" spans="2:32">
      <c r="B43" s="201" t="s">
        <v>496</v>
      </c>
      <c r="C43" s="202" t="str">
        <f t="shared" ref="C43:M43" si="20">C$6</f>
        <v>FY17A</v>
      </c>
      <c r="D43" s="202" t="str">
        <f t="shared" si="20"/>
        <v>FY19A</v>
      </c>
      <c r="E43" s="202" t="str">
        <f t="shared" si="20"/>
        <v>FY20A</v>
      </c>
      <c r="F43" s="202" t="str">
        <f t="shared" si="20"/>
        <v>FY21A</v>
      </c>
      <c r="G43" s="202" t="str">
        <f t="shared" si="20"/>
        <v>FY22A</v>
      </c>
      <c r="H43" s="202" t="str">
        <f t="shared" si="20"/>
        <v>FY23A</v>
      </c>
      <c r="I43" s="202" t="str">
        <f t="shared" si="20"/>
        <v>FY24A</v>
      </c>
      <c r="J43" s="202" t="str">
        <f t="shared" si="20"/>
        <v>FY25A</v>
      </c>
      <c r="K43" s="202" t="str">
        <f t="shared" si="20"/>
        <v>FY26E</v>
      </c>
      <c r="L43" s="202" t="str">
        <f t="shared" si="20"/>
        <v>FY27E</v>
      </c>
      <c r="M43" s="202" t="str">
        <f t="shared" si="20"/>
        <v>FY28E</v>
      </c>
      <c r="O43" s="8" t="s">
        <v>274</v>
      </c>
      <c r="P43" s="209">
        <f>+'BS, CF and P&amp;L'!O42</f>
        <v>0</v>
      </c>
      <c r="Q43" s="209">
        <f>+'BS, CF and P&amp;L'!R42</f>
        <v>0</v>
      </c>
      <c r="R43" s="209">
        <f>+'BS, CF and P&amp;L'!X42</f>
        <v>30.061</v>
      </c>
      <c r="S43" s="209">
        <f>+'BS, CF and P&amp;L'!AA42</f>
        <v>39.893999999999998</v>
      </c>
      <c r="T43" s="209">
        <f>+'BS, CF and P&amp;L'!AD42</f>
        <v>32.441000000000003</v>
      </c>
      <c r="U43" s="209">
        <f>+'BS, CF and P&amp;L'!AG42</f>
        <v>22.369999999999997</v>
      </c>
      <c r="V43" s="209">
        <f>+'BS, CF and P&amp;L'!AJ42</f>
        <v>10.535</v>
      </c>
      <c r="W43" s="209">
        <f>+'BS, CF and P&amp;L'!AM42</f>
        <v>8.9</v>
      </c>
      <c r="X43" s="209">
        <f>+'BS, CF and P&amp;L'!AP42</f>
        <v>8.6938594965266045</v>
      </c>
      <c r="Y43" s="209">
        <f>+'BS, CF and P&amp;L'!AS42</f>
        <v>13.436470328397647</v>
      </c>
      <c r="Z43" s="209">
        <f>+'BS, CF and P&amp;L'!AV42</f>
        <v>20.348028802999323</v>
      </c>
      <c r="AB43" s="418">
        <f>(Z43/W43)^(1/3)-1</f>
        <v>0.31737912994436224</v>
      </c>
      <c r="AC43" s="7"/>
    </row>
    <row r="44" spans="2:32">
      <c r="B44" s="8" t="s">
        <v>313</v>
      </c>
      <c r="C44" s="216">
        <f>+'BS, CF and P&amp;L'!O187</f>
        <v>0</v>
      </c>
      <c r="D44" s="216">
        <f>+'BS, CF and P&amp;L'!R187</f>
        <v>0</v>
      </c>
      <c r="E44" s="216">
        <f>+'BS, CF and P&amp;L'!X187</f>
        <v>56.642000000000003</v>
      </c>
      <c r="F44" s="216">
        <f>+'BS, CF and P&amp;L'!AA187</f>
        <v>21.318999999999999</v>
      </c>
      <c r="G44" s="216">
        <f>+'BS, CF and P&amp;L'!AD187</f>
        <v>27.678999999999998</v>
      </c>
      <c r="H44" s="216">
        <f>+'BS, CF and P&amp;L'!AG187</f>
        <v>16.617000000000001</v>
      </c>
      <c r="I44" s="216">
        <f>+'BS, CF and P&amp;L'!AJ187</f>
        <v>19.914999999999999</v>
      </c>
      <c r="J44" s="216">
        <f>+'BS, CF and P&amp;L'!AM187</f>
        <v>25.384</v>
      </c>
      <c r="K44" s="216">
        <f>+'BS, CF and P&amp;L'!AP187</f>
        <v>25.99</v>
      </c>
      <c r="L44" s="216">
        <f>+'BS, CF and P&amp;L'!AS187</f>
        <v>25.99</v>
      </c>
      <c r="M44" s="216">
        <f>+'BS, CF and P&amp;L'!AV187</f>
        <v>25.99</v>
      </c>
      <c r="O44" s="8" t="s">
        <v>275</v>
      </c>
      <c r="P44" s="209">
        <f>+'BS, CF and P&amp;L'!O43</f>
        <v>0</v>
      </c>
      <c r="Q44" s="209">
        <f>+'BS, CF and P&amp;L'!R43</f>
        <v>0</v>
      </c>
      <c r="R44" s="209">
        <f>+'BS, CF and P&amp;L'!X43</f>
        <v>70.635000000000005</v>
      </c>
      <c r="S44" s="209">
        <f>+'BS, CF and P&amp;L'!AA43</f>
        <v>104.68700000000001</v>
      </c>
      <c r="T44" s="209">
        <f>+'BS, CF and P&amp;L'!AD43</f>
        <v>111.51600000000002</v>
      </c>
      <c r="U44" s="209">
        <f>+'BS, CF and P&amp;L'!AG43</f>
        <v>130.99600000000001</v>
      </c>
      <c r="V44" s="209">
        <f>+'BS, CF and P&amp;L'!AJ43</f>
        <v>151.99100000000001</v>
      </c>
      <c r="W44" s="209">
        <f>+'BS, CF and P&amp;L'!AM43</f>
        <v>147.6</v>
      </c>
      <c r="X44" s="209">
        <f>+'BS, CF and P&amp;L'!AP43</f>
        <v>119.83788676518873</v>
      </c>
      <c r="Y44" s="209">
        <f>+'BS, CF and P&amp;L'!AS43</f>
        <v>151.92151367595193</v>
      </c>
      <c r="Z44" s="209">
        <f>+'BS, CF and P&amp;L'!AV43</f>
        <v>162.88112958534688</v>
      </c>
      <c r="AB44" s="418">
        <f>(Z44/W44)^(1/3)-1</f>
        <v>3.3383378113736262E-2</v>
      </c>
      <c r="AC44" s="7"/>
    </row>
    <row r="45" spans="2:32">
      <c r="B45" s="8" t="s">
        <v>215</v>
      </c>
      <c r="C45" s="216">
        <f>+'BS, CF and P&amp;L'!O188</f>
        <v>0</v>
      </c>
      <c r="D45" s="216">
        <f>+'BS, CF and P&amp;L'!R188</f>
        <v>0</v>
      </c>
      <c r="E45" s="216">
        <f>+'BS, CF and P&amp;L'!X188</f>
        <v>181.50299999999999</v>
      </c>
      <c r="F45" s="216">
        <f>+'BS, CF and P&amp;L'!AA188</f>
        <v>219.90899999999999</v>
      </c>
      <c r="G45" s="216">
        <f>+'BS, CF and P&amp;L'!AD188</f>
        <v>266.22300000000001</v>
      </c>
      <c r="H45" s="216">
        <f>+'BS, CF and P&amp;L'!AG188</f>
        <v>246.04400000000001</v>
      </c>
      <c r="I45" s="216">
        <f>+'BS, CF and P&amp;L'!AJ188</f>
        <v>238.81200000000001</v>
      </c>
      <c r="J45" s="216">
        <f>+'BS, CF and P&amp;L'!AM188</f>
        <v>231.87</v>
      </c>
      <c r="K45" s="216">
        <f>+'BS, CF and P&amp;L'!AP188</f>
        <v>245.32899901469679</v>
      </c>
      <c r="L45" s="216">
        <f>+'BS, CF and P&amp;L'!AS188</f>
        <v>258.71261101278509</v>
      </c>
      <c r="M45" s="216">
        <f>+'BS, CF and P&amp;L'!AV188</f>
        <v>272.48310091930045</v>
      </c>
      <c r="O45" s="8" t="s">
        <v>276</v>
      </c>
      <c r="P45" s="209">
        <f>+'BS, CF and P&amp;L'!O44</f>
        <v>0</v>
      </c>
      <c r="Q45" s="209">
        <f>+'BS, CF and P&amp;L'!R44</f>
        <v>0</v>
      </c>
      <c r="R45" s="209">
        <f>+'BS, CF and P&amp;L'!X44</f>
        <v>60.951999999999998</v>
      </c>
      <c r="S45" s="209">
        <f>+'BS, CF and P&amp;L'!AA44</f>
        <v>81.802999999999997</v>
      </c>
      <c r="T45" s="209">
        <f>+'BS, CF and P&amp;L'!AD44</f>
        <v>85.231999999999999</v>
      </c>
      <c r="U45" s="209">
        <f>+'BS, CF and P&amp;L'!AG44</f>
        <v>74.075000000000003</v>
      </c>
      <c r="V45" s="209">
        <f>+'BS, CF and P&amp;L'!AJ44</f>
        <v>61.952999999999996</v>
      </c>
      <c r="W45" s="209">
        <f>+'BS, CF and P&amp;L'!AM44</f>
        <v>58.9</v>
      </c>
      <c r="X45" s="209">
        <f>+'BS, CF and P&amp;L'!AP44</f>
        <v>57.00866666666667</v>
      </c>
      <c r="Y45" s="209">
        <f>+'BS, CF and P&amp;L'!AS44</f>
        <v>67.248135999999988</v>
      </c>
      <c r="Z45" s="209">
        <f>+'BS, CF and P&amp;L'!AV44</f>
        <v>72.761265999999992</v>
      </c>
      <c r="AB45" s="418">
        <f>(Z45/W45)^(1/3)-1</f>
        <v>7.2988294193769399E-2</v>
      </c>
      <c r="AC45" s="7"/>
    </row>
    <row r="46" spans="2:32">
      <c r="B46" s="8" t="s">
        <v>216</v>
      </c>
      <c r="C46" s="216">
        <f>+'BS, CF and P&amp;L'!O189</f>
        <v>0</v>
      </c>
      <c r="D46" s="216">
        <f>+'BS, CF and P&amp;L'!R189</f>
        <v>0</v>
      </c>
      <c r="E46" s="216">
        <f>+'BS, CF and P&amp;L'!X189</f>
        <v>147.577</v>
      </c>
      <c r="F46" s="216">
        <f>+'BS, CF and P&amp;L'!AA189</f>
        <v>195.13499999999999</v>
      </c>
      <c r="G46" s="216">
        <f>+'BS, CF and P&amp;L'!AD189</f>
        <v>315.536</v>
      </c>
      <c r="H46" s="216">
        <f>+'BS, CF and P&amp;L'!AG189</f>
        <v>289.399</v>
      </c>
      <c r="I46" s="216">
        <f>+'BS, CF and P&amp;L'!AJ189</f>
        <v>292.77999999999997</v>
      </c>
      <c r="J46" s="216">
        <f>+'BS, CF and P&amp;L'!AM189</f>
        <v>310.78500000000003</v>
      </c>
      <c r="K46" s="216">
        <f>+'BS, CF and P&amp;L'!AP189</f>
        <v>328.82465587951242</v>
      </c>
      <c r="L46" s="216">
        <f>+'BS, CF and P&amp;L'!AS189</f>
        <v>346.76326740677285</v>
      </c>
      <c r="M46" s="216">
        <f>+'BS, CF and P&amp;L'!AV189</f>
        <v>365.22042747748645</v>
      </c>
      <c r="O46" s="8" t="s">
        <v>217</v>
      </c>
      <c r="P46" s="209">
        <f>+'BS, CF and P&amp;L'!O45</f>
        <v>0</v>
      </c>
      <c r="Q46" s="209">
        <f>+'BS, CF and P&amp;L'!R45</f>
        <v>0</v>
      </c>
      <c r="R46" s="209">
        <f>+'BS, CF and P&amp;L'!X45</f>
        <v>-3.7579999999999814</v>
      </c>
      <c r="S46" s="209">
        <f>+'BS, CF and P&amp;L'!AA45</f>
        <v>-7.7050000000000409</v>
      </c>
      <c r="T46" s="209">
        <f>+'BS, CF and P&amp;L'!AD45</f>
        <v>-7.7950000000000443</v>
      </c>
      <c r="U46" s="209">
        <f>+'BS, CF and P&amp;L'!AG45</f>
        <v>-5.4910000000000423</v>
      </c>
      <c r="V46" s="209">
        <f>+'BS, CF and P&amp;L'!AJ45</f>
        <v>-9.8990000000000009</v>
      </c>
      <c r="W46" s="209">
        <f>+'BS, CF and P&amp;L'!AM45</f>
        <v>-6.4770000000000607</v>
      </c>
      <c r="X46" s="209">
        <f>+'BS, CF and P&amp;L'!AP45</f>
        <v>-10.02196383262258</v>
      </c>
      <c r="Y46" s="209">
        <f>+'BS, CF and P&amp;L'!AS45</f>
        <v>-10.02196383262258</v>
      </c>
      <c r="Z46" s="209">
        <f>+'BS, CF and P&amp;L'!AV45</f>
        <v>-10.02196383262258</v>
      </c>
      <c r="AB46" s="418">
        <f>(Z46/W46)^(1/3)-1</f>
        <v>0.15662607287454144</v>
      </c>
      <c r="AC46" s="7"/>
    </row>
    <row r="47" spans="2:32">
      <c r="B47" s="257" t="s">
        <v>315</v>
      </c>
      <c r="C47" s="258">
        <f>+'BS, CF and P&amp;L'!O190</f>
        <v>0</v>
      </c>
      <c r="D47" s="258">
        <f>+'BS, CF and P&amp;L'!R190</f>
        <v>0</v>
      </c>
      <c r="E47" s="258">
        <f>+'BS, CF and P&amp;L'!X190</f>
        <v>11.074</v>
      </c>
      <c r="F47" s="258">
        <f>+'BS, CF and P&amp;L'!AA190</f>
        <v>18.259</v>
      </c>
      <c r="G47" s="258">
        <f>+'BS, CF and P&amp;L'!AD190</f>
        <v>36.009</v>
      </c>
      <c r="H47" s="258">
        <f>+'BS, CF and P&amp;L'!AG190</f>
        <v>37.079000000000001</v>
      </c>
      <c r="I47" s="258">
        <f>+'BS, CF and P&amp;L'!AJ190</f>
        <v>30.372</v>
      </c>
      <c r="J47" s="258">
        <f>+'BS, CF and P&amp;L'!AM190</f>
        <v>21.895000000000003</v>
      </c>
      <c r="K47" s="258">
        <f>+'BS, CF and P&amp;L'!AP190</f>
        <v>22.222000000000001</v>
      </c>
      <c r="L47" s="258">
        <f>+'BS, CF and P&amp;L'!AS190</f>
        <v>22.222000000000001</v>
      </c>
      <c r="M47" s="258">
        <f>+'BS, CF and P&amp;L'!AV190</f>
        <v>22.222000000000001</v>
      </c>
      <c r="O47" s="26" t="s">
        <v>8</v>
      </c>
      <c r="P47" s="398">
        <f t="shared" ref="P47:Z47" si="21">SUM(P43:P46)</f>
        <v>0</v>
      </c>
      <c r="Q47" s="398">
        <f t="shared" si="21"/>
        <v>0</v>
      </c>
      <c r="R47" s="398">
        <f t="shared" si="21"/>
        <v>157.89000000000001</v>
      </c>
      <c r="S47" s="398">
        <f t="shared" si="21"/>
        <v>218.67899999999997</v>
      </c>
      <c r="T47" s="398">
        <f t="shared" si="21"/>
        <v>221.39399999999998</v>
      </c>
      <c r="U47" s="398">
        <f t="shared" si="21"/>
        <v>221.95</v>
      </c>
      <c r="V47" s="398">
        <f t="shared" si="21"/>
        <v>214.58</v>
      </c>
      <c r="W47" s="398">
        <f t="shared" si="21"/>
        <v>208.92299999999994</v>
      </c>
      <c r="X47" s="398">
        <f t="shared" si="21"/>
        <v>175.51844909575942</v>
      </c>
      <c r="Y47" s="398">
        <f t="shared" si="21"/>
        <v>222.58415617172699</v>
      </c>
      <c r="Z47" s="398">
        <f t="shared" si="21"/>
        <v>245.9684605557236</v>
      </c>
      <c r="AB47" s="7"/>
      <c r="AC47" s="7"/>
    </row>
    <row r="48" spans="2:32">
      <c r="B48" s="26" t="s">
        <v>218</v>
      </c>
      <c r="C48" s="259">
        <f t="shared" ref="C48:J48" si="22">SUM(C44:C47)</f>
        <v>0</v>
      </c>
      <c r="D48" s="259">
        <f t="shared" si="22"/>
        <v>0</v>
      </c>
      <c r="E48" s="259">
        <f t="shared" si="22"/>
        <v>396.79599999999999</v>
      </c>
      <c r="F48" s="259">
        <f t="shared" si="22"/>
        <v>454.62199999999996</v>
      </c>
      <c r="G48" s="259">
        <f t="shared" si="22"/>
        <v>645.447</v>
      </c>
      <c r="H48" s="259">
        <f t="shared" si="22"/>
        <v>589.1389999999999</v>
      </c>
      <c r="I48" s="259">
        <f t="shared" si="22"/>
        <v>581.87900000000002</v>
      </c>
      <c r="J48" s="259">
        <f t="shared" si="22"/>
        <v>589.93399999999997</v>
      </c>
      <c r="K48" s="259">
        <f t="shared" ref="K48:L48" si="23">SUM(K44:K47)</f>
        <v>622.36565489420923</v>
      </c>
      <c r="L48" s="259">
        <f t="shared" si="23"/>
        <v>653.68787841955793</v>
      </c>
      <c r="M48" s="259">
        <f t="shared" ref="M48" si="24">SUM(M44:M47)</f>
        <v>685.91552839678684</v>
      </c>
      <c r="AB48" s="7"/>
      <c r="AC48" s="7"/>
      <c r="AD48" s="307"/>
      <c r="AE48" s="307"/>
      <c r="AF48" s="307"/>
    </row>
    <row r="49" spans="2:32">
      <c r="B49" s="260" t="s">
        <v>316</v>
      </c>
      <c r="C49" s="216">
        <f>+'BS, CF and P&amp;L'!O194</f>
        <v>0</v>
      </c>
      <c r="D49" s="216">
        <f>+'BS, CF and P&amp;L'!R194</f>
        <v>0</v>
      </c>
      <c r="E49" s="216">
        <f>+'BS, CF and P&amp;L'!X194</f>
        <v>250.48099999999999</v>
      </c>
      <c r="F49" s="216">
        <f>+'BS, CF and P&amp;L'!AA194</f>
        <v>267.36900000000003</v>
      </c>
      <c r="G49" s="216">
        <f>+'BS, CF and P&amp;L'!AD194</f>
        <v>333.80799999999999</v>
      </c>
      <c r="H49" s="216">
        <f>+'BS, CF and P&amp;L'!AG194</f>
        <v>326.69900000000001</v>
      </c>
      <c r="I49" s="216">
        <f>+'BS, CF and P&amp;L'!AJ194</f>
        <v>350.00800000000004</v>
      </c>
      <c r="J49" s="216">
        <f>+'BS, CF and P&amp;L'!AM194</f>
        <v>325.99200000000002</v>
      </c>
      <c r="K49" s="216">
        <f>+'BS, CF and P&amp;L'!AP194</f>
        <v>300.14528702647192</v>
      </c>
      <c r="L49" s="216">
        <f>+'BS, CF and P&amp;L'!AS194</f>
        <v>288.51003902647193</v>
      </c>
      <c r="M49" s="216">
        <f>+'BS, CF and P&amp;L'!AV194</f>
        <v>280.78338400647192</v>
      </c>
      <c r="O49" s="8" t="s">
        <v>274</v>
      </c>
      <c r="P49" s="209">
        <f>+'BS, CF and P&amp;L'!O48</f>
        <v>0</v>
      </c>
      <c r="Q49" s="209">
        <f>+'BS, CF and P&amp;L'!R48</f>
        <v>0</v>
      </c>
      <c r="R49" s="209">
        <f>+'BS, CF and P&amp;L'!X48</f>
        <v>0</v>
      </c>
      <c r="S49" s="209">
        <f>+'BS, CF and P&amp;L'!AA48</f>
        <v>0</v>
      </c>
      <c r="T49" s="209">
        <f>+'BS, CF and P&amp;L'!AD48</f>
        <v>0</v>
      </c>
      <c r="U49" s="209">
        <f>+'BS, CF and P&amp;L'!AG48</f>
        <v>0</v>
      </c>
      <c r="V49" s="234">
        <f>V43/V38</f>
        <v>4.8787603734439841E-2</v>
      </c>
      <c r="W49" s="234">
        <f t="shared" ref="W49:Z49" si="25">W43/W38</f>
        <v>3.2659711493649712E-2</v>
      </c>
      <c r="X49" s="234">
        <f t="shared" si="25"/>
        <v>3.1319537805883903E-2</v>
      </c>
      <c r="Y49" s="234">
        <f t="shared" si="25"/>
        <v>4.296133250764856E-2</v>
      </c>
      <c r="Z49" s="234">
        <f t="shared" si="25"/>
        <v>6.1093652886991909E-2</v>
      </c>
      <c r="AB49" s="7"/>
      <c r="AC49" s="7"/>
      <c r="AD49" s="30"/>
      <c r="AE49" s="30"/>
      <c r="AF49" s="30"/>
    </row>
    <row r="50" spans="2:32">
      <c r="B50" s="260" t="s">
        <v>266</v>
      </c>
      <c r="C50" s="216">
        <f>+'BS, CF and P&amp;L'!O195</f>
        <v>0</v>
      </c>
      <c r="D50" s="216">
        <f>+'BS, CF and P&amp;L'!R195</f>
        <v>0</v>
      </c>
      <c r="E50" s="216">
        <f>+'BS, CF and P&amp;L'!X195</f>
        <v>25.504999999999999</v>
      </c>
      <c r="F50" s="216">
        <f>+'BS, CF and P&amp;L'!AA195</f>
        <v>25.75</v>
      </c>
      <c r="G50" s="216">
        <f>+'BS, CF and P&amp;L'!AD195</f>
        <v>25.722999999999999</v>
      </c>
      <c r="H50" s="216">
        <f>+'BS, CF and P&amp;L'!AG195</f>
        <v>31.695</v>
      </c>
      <c r="I50" s="216">
        <f>+'BS, CF and P&amp;L'!AJ195</f>
        <v>57.814999999999998</v>
      </c>
      <c r="J50" s="216">
        <f>+'BS, CF and P&amp;L'!AM195</f>
        <v>74.225999999999999</v>
      </c>
      <c r="K50" s="216">
        <f>+'BS, CF and P&amp;L'!AP195</f>
        <v>73.501000000000005</v>
      </c>
      <c r="L50" s="216">
        <f>+'BS, CF and P&amp;L'!AS195</f>
        <v>73.501000000000005</v>
      </c>
      <c r="M50" s="216">
        <f>+'BS, CF and P&amp;L'!AV195</f>
        <v>73.501000000000005</v>
      </c>
      <c r="O50" s="8" t="s">
        <v>275</v>
      </c>
      <c r="P50" s="209">
        <f>+'BS, CF and P&amp;L'!O49</f>
        <v>0</v>
      </c>
      <c r="Q50" s="209">
        <f>+'BS, CF and P&amp;L'!R49</f>
        <v>0</v>
      </c>
      <c r="R50" s="209">
        <f>+'BS, CF and P&amp;L'!X49</f>
        <v>157.88999999999999</v>
      </c>
      <c r="S50" s="209">
        <f>+'BS, CF and P&amp;L'!AA49</f>
        <v>218.67899999999997</v>
      </c>
      <c r="T50" s="209">
        <f>+'BS, CF and P&amp;L'!AD49</f>
        <v>221.39399999999998</v>
      </c>
      <c r="U50" s="209">
        <f>+'BS, CF and P&amp;L'!AG49</f>
        <v>221.95</v>
      </c>
      <c r="V50" s="234">
        <f t="shared" ref="V50:Z51" si="26">V44/V39</f>
        <v>0.17317418594767783</v>
      </c>
      <c r="W50" s="234">
        <f t="shared" si="26"/>
        <v>0.1718517138599106</v>
      </c>
      <c r="X50" s="234">
        <f t="shared" si="26"/>
        <v>0.13993986179801454</v>
      </c>
      <c r="Y50" s="234">
        <f t="shared" si="26"/>
        <v>0.1673487254949578</v>
      </c>
      <c r="Z50" s="234">
        <f t="shared" si="26"/>
        <v>0.17088124895057585</v>
      </c>
      <c r="AA50" s="51"/>
      <c r="AB50" s="7"/>
      <c r="AC50" s="7"/>
    </row>
    <row r="51" spans="2:32">
      <c r="B51" s="261" t="s">
        <v>90</v>
      </c>
      <c r="C51" s="216">
        <f>+'BS, CF and P&amp;L'!O196</f>
        <v>0</v>
      </c>
      <c r="D51" s="216">
        <f>+'BS, CF and P&amp;L'!R196</f>
        <v>0</v>
      </c>
      <c r="E51" s="216">
        <f>+'BS, CF and P&amp;L'!X196</f>
        <v>617.86</v>
      </c>
      <c r="F51" s="216">
        <f>+'BS, CF and P&amp;L'!AA196</f>
        <v>686.09500000000003</v>
      </c>
      <c r="G51" s="216">
        <f>+'BS, CF and P&amp;L'!AD196</f>
        <v>758.57399999999996</v>
      </c>
      <c r="H51" s="216">
        <f>+'BS, CF and P&amp;L'!AG196</f>
        <v>780.71100000000001</v>
      </c>
      <c r="I51" s="216">
        <f>+'BS, CF and P&amp;L'!AJ196</f>
        <v>818.82600000000002</v>
      </c>
      <c r="J51" s="216">
        <f>+'BS, CF and P&amp;L'!AM196</f>
        <v>867.15700000000004</v>
      </c>
      <c r="K51" s="216">
        <f>+'BS, CF and P&amp;L'!AP196</f>
        <v>856.53800000000001</v>
      </c>
      <c r="L51" s="216">
        <f>+'BS, CF and P&amp;L'!AS196</f>
        <v>856.53800000000001</v>
      </c>
      <c r="M51" s="216">
        <f>+'BS, CF and P&amp;L'!AV196</f>
        <v>856.53800000000001</v>
      </c>
      <c r="O51" s="8" t="s">
        <v>276</v>
      </c>
      <c r="P51" s="209">
        <f>+'BS, CF and P&amp;L'!O50</f>
        <v>0</v>
      </c>
      <c r="Q51" s="209">
        <f>+'BS, CF and P&amp;L'!R50</f>
        <v>0</v>
      </c>
      <c r="R51" s="209">
        <f>+'BS, CF and P&amp;L'!X50</f>
        <v>0</v>
      </c>
      <c r="S51" s="209">
        <f>+'BS, CF and P&amp;L'!AA50</f>
        <v>0</v>
      </c>
      <c r="T51" s="209">
        <f>+'BS, CF and P&amp;L'!AD50</f>
        <v>0</v>
      </c>
      <c r="U51" s="209">
        <f>+'BS, CF and P&amp;L'!AG50</f>
        <v>0</v>
      </c>
      <c r="V51" s="234">
        <f t="shared" si="26"/>
        <v>0.23498733140143524</v>
      </c>
      <c r="W51" s="234">
        <f t="shared" si="26"/>
        <v>0.22704407122014023</v>
      </c>
      <c r="X51" s="234">
        <f t="shared" si="26"/>
        <v>0.2139932833841334</v>
      </c>
      <c r="Y51" s="234">
        <f t="shared" si="26"/>
        <v>0.24147704019342633</v>
      </c>
      <c r="Z51" s="234">
        <f t="shared" si="26"/>
        <v>0.24426426830215092</v>
      </c>
      <c r="AB51" s="7"/>
      <c r="AC51" s="7"/>
      <c r="AD51" s="124"/>
      <c r="AE51" s="124"/>
      <c r="AF51" s="124"/>
    </row>
    <row r="52" spans="2:32">
      <c r="B52" s="262" t="s">
        <v>335</v>
      </c>
      <c r="C52" s="258">
        <f>+'BS, CF and P&amp;L'!O197</f>
        <v>0</v>
      </c>
      <c r="D52" s="258">
        <f>+'BS, CF and P&amp;L'!R197</f>
        <v>0</v>
      </c>
      <c r="E52" s="258">
        <f>+'BS, CF and P&amp;L'!X197</f>
        <v>225.721</v>
      </c>
      <c r="F52" s="258">
        <f>+'BS, CF and P&amp;L'!AA197</f>
        <v>240.33799999999999</v>
      </c>
      <c r="G52" s="258">
        <f>+'BS, CF and P&amp;L'!AD197</f>
        <v>322.42500000000001</v>
      </c>
      <c r="H52" s="258">
        <f>+'BS, CF and P&amp;L'!AG197</f>
        <v>330.34200000000004</v>
      </c>
      <c r="I52" s="258">
        <f>+'BS, CF and P&amp;L'!AJ197</f>
        <v>335.971</v>
      </c>
      <c r="J52" s="258">
        <f>+'BS, CF and P&amp;L'!AM197</f>
        <v>341.80500000000001</v>
      </c>
      <c r="K52" s="258">
        <f>+'BS, CF and P&amp;L'!AP197</f>
        <v>337.274</v>
      </c>
      <c r="L52" s="258">
        <f>+'BS, CF and P&amp;L'!AS197</f>
        <v>337.274</v>
      </c>
      <c r="M52" s="258">
        <f>+'BS, CF and P&amp;L'!AV197</f>
        <v>337.274</v>
      </c>
      <c r="O52" s="26" t="s">
        <v>525</v>
      </c>
      <c r="P52" s="398">
        <f t="shared" ref="P52:U52" ca="1" si="27">SUM(P49:P52)</f>
        <v>0</v>
      </c>
      <c r="Q52" s="398">
        <f t="shared" ca="1" si="27"/>
        <v>0</v>
      </c>
      <c r="R52" s="398">
        <f t="shared" ca="1" si="27"/>
        <v>25099931.190055311</v>
      </c>
      <c r="S52" s="398">
        <f t="shared" ca="1" si="27"/>
        <v>34763619.309068099</v>
      </c>
      <c r="T52" s="398">
        <f t="shared" ca="1" si="27"/>
        <v>35195225.574085988</v>
      </c>
      <c r="U52" s="398">
        <f t="shared" ca="1" si="27"/>
        <v>35283613.449943706</v>
      </c>
      <c r="V52" s="571">
        <f>V47/V41</f>
        <v>0.15809828204975185</v>
      </c>
      <c r="W52" s="571">
        <f t="shared" ref="W52:Z52" si="28">W47/W41</f>
        <v>0.15021699616338127</v>
      </c>
      <c r="X52" s="571">
        <f t="shared" si="28"/>
        <v>0.12533965049636592</v>
      </c>
      <c r="Y52" s="571">
        <f t="shared" si="28"/>
        <v>0.14848268925548611</v>
      </c>
      <c r="Z52" s="571">
        <f t="shared" si="28"/>
        <v>0.15527083221547222</v>
      </c>
      <c r="AB52" s="7"/>
      <c r="AC52" s="7"/>
      <c r="AD52" s="113"/>
      <c r="AE52" s="113"/>
      <c r="AF52" s="113"/>
    </row>
    <row r="53" spans="2:32">
      <c r="B53" s="263" t="s">
        <v>179</v>
      </c>
      <c r="C53" s="259">
        <f t="shared" ref="C53:J53" si="29">SUM(C49:C52)</f>
        <v>0</v>
      </c>
      <c r="D53" s="259">
        <f t="shared" si="29"/>
        <v>0</v>
      </c>
      <c r="E53" s="259">
        <f t="shared" si="29"/>
        <v>1119.567</v>
      </c>
      <c r="F53" s="259">
        <f t="shared" si="29"/>
        <v>1219.5520000000001</v>
      </c>
      <c r="G53" s="259">
        <f t="shared" si="29"/>
        <v>1440.53</v>
      </c>
      <c r="H53" s="259">
        <f t="shared" si="29"/>
        <v>1469.4470000000001</v>
      </c>
      <c r="I53" s="259">
        <f t="shared" si="29"/>
        <v>1562.6200000000001</v>
      </c>
      <c r="J53" s="259">
        <f t="shared" si="29"/>
        <v>1609.18</v>
      </c>
      <c r="K53" s="259">
        <f t="shared" ref="K53:L53" si="30">SUM(K49:K52)</f>
        <v>1567.4582870264717</v>
      </c>
      <c r="L53" s="259">
        <f t="shared" si="30"/>
        <v>1555.8230390264721</v>
      </c>
      <c r="M53" s="259">
        <f t="shared" ref="M53" si="31">SUM(M49:M52)</f>
        <v>1548.0963840064719</v>
      </c>
      <c r="AB53" s="7"/>
      <c r="AC53" s="7"/>
      <c r="AD53" s="113"/>
      <c r="AE53" s="113"/>
      <c r="AF53" s="113"/>
    </row>
    <row r="54" spans="2:32">
      <c r="B54" s="264" t="s">
        <v>149</v>
      </c>
      <c r="C54" s="265">
        <f t="shared" ref="C54:J54" si="32">C53+C48</f>
        <v>0</v>
      </c>
      <c r="D54" s="265">
        <f t="shared" si="32"/>
        <v>0</v>
      </c>
      <c r="E54" s="265">
        <f t="shared" si="32"/>
        <v>1516.3630000000001</v>
      </c>
      <c r="F54" s="265">
        <f t="shared" si="32"/>
        <v>1674.174</v>
      </c>
      <c r="G54" s="265">
        <f t="shared" si="32"/>
        <v>2085.9769999999999</v>
      </c>
      <c r="H54" s="265">
        <f t="shared" si="32"/>
        <v>2058.5860000000002</v>
      </c>
      <c r="I54" s="265">
        <f t="shared" si="32"/>
        <v>2144.4990000000003</v>
      </c>
      <c r="J54" s="265">
        <f t="shared" si="32"/>
        <v>2199.114</v>
      </c>
      <c r="K54" s="265">
        <f t="shared" ref="K54:L54" si="33">K53+K48</f>
        <v>2189.8239419206811</v>
      </c>
      <c r="L54" s="265">
        <f t="shared" si="33"/>
        <v>2209.5109174460299</v>
      </c>
      <c r="M54" s="265">
        <f t="shared" ref="M54" si="34">M53+M48</f>
        <v>2234.011912403259</v>
      </c>
      <c r="AB54" s="7"/>
      <c r="AC54" s="7"/>
    </row>
    <row r="55" spans="2:32">
      <c r="B55" s="8" t="s">
        <v>318</v>
      </c>
      <c r="C55" s="216">
        <f>+'BS, CF and P&amp;L'!O203</f>
        <v>0</v>
      </c>
      <c r="D55" s="216">
        <f>+'BS, CF and P&amp;L'!R203</f>
        <v>0</v>
      </c>
      <c r="E55" s="216">
        <f>+'BS, CF and P&amp;L'!X203</f>
        <v>116.08499999999999</v>
      </c>
      <c r="F55" s="216">
        <f>+'BS, CF and P&amp;L'!AA203</f>
        <v>179.982</v>
      </c>
      <c r="G55" s="216">
        <f>+'BS, CF and P&amp;L'!AD203</f>
        <v>173.166</v>
      </c>
      <c r="H55" s="216">
        <f>+'BS, CF and P&amp;L'!AG203</f>
        <v>166.541</v>
      </c>
      <c r="I55" s="216">
        <f>+'BS, CF and P&amp;L'!AJ203</f>
        <v>179.09899999999999</v>
      </c>
      <c r="J55" s="216">
        <f>+'BS, CF and P&amp;L'!AM203</f>
        <v>187.19800000000001</v>
      </c>
      <c r="K55" s="216">
        <f>+'BS, CF and P&amp;L'!AP203</f>
        <v>198.06399257149786</v>
      </c>
      <c r="L55" s="216">
        <f>+'BS, CF and P&amp;L'!AS203</f>
        <v>208.86912216488267</v>
      </c>
      <c r="M55" s="216">
        <f>+'BS, CF and P&amp;L'!AV203</f>
        <v>219.98659389266055</v>
      </c>
      <c r="O55" s="201" t="s">
        <v>328</v>
      </c>
      <c r="P55" s="202" t="str">
        <f t="shared" ref="P55:Z55" si="35">C$6</f>
        <v>FY17A</v>
      </c>
      <c r="Q55" s="202" t="str">
        <f t="shared" si="35"/>
        <v>FY19A</v>
      </c>
      <c r="R55" s="202" t="str">
        <f t="shared" si="35"/>
        <v>FY20A</v>
      </c>
      <c r="S55" s="202" t="str">
        <f t="shared" si="35"/>
        <v>FY21A</v>
      </c>
      <c r="T55" s="202" t="str">
        <f t="shared" si="35"/>
        <v>FY22A</v>
      </c>
      <c r="U55" s="202" t="str">
        <f t="shared" si="35"/>
        <v>FY23A</v>
      </c>
      <c r="V55" s="202" t="str">
        <f t="shared" si="35"/>
        <v>FY24A</v>
      </c>
      <c r="W55" s="202" t="str">
        <f t="shared" si="35"/>
        <v>FY25A</v>
      </c>
      <c r="X55" s="202" t="str">
        <f t="shared" si="35"/>
        <v>FY26E</v>
      </c>
      <c r="Y55" s="202" t="str">
        <f t="shared" si="35"/>
        <v>FY27E</v>
      </c>
      <c r="Z55" s="202" t="str">
        <f t="shared" si="35"/>
        <v>FY28E</v>
      </c>
      <c r="AB55" s="7"/>
      <c r="AC55" s="7"/>
    </row>
    <row r="56" spans="2:32">
      <c r="B56" s="8" t="s">
        <v>319</v>
      </c>
      <c r="C56" s="27">
        <f>+'BS, CF and P&amp;L'!O204</f>
        <v>0</v>
      </c>
      <c r="D56" s="27">
        <f>+'BS, CF and P&amp;L'!R204</f>
        <v>0</v>
      </c>
      <c r="E56" s="27">
        <f>+'BS, CF and P&amp;L'!X204</f>
        <v>0</v>
      </c>
      <c r="F56" s="27">
        <f>+'BS, CF and P&amp;L'!AA204</f>
        <v>0</v>
      </c>
      <c r="G56" s="27">
        <f>+'BS, CF and P&amp;L'!AD204</f>
        <v>0</v>
      </c>
      <c r="H56" s="27">
        <f>+'BS, CF and P&amp;L'!AG204</f>
        <v>0</v>
      </c>
      <c r="I56" s="27">
        <f>+'BS, CF and P&amp;L'!AJ204</f>
        <v>0</v>
      </c>
      <c r="J56" s="27">
        <f>+'BS, CF and P&amp;L'!AM204</f>
        <v>0</v>
      </c>
      <c r="K56" s="27">
        <f>+'BS, CF and P&amp;L'!AP204</f>
        <v>0</v>
      </c>
      <c r="L56" s="27">
        <f>+'BS, CF and P&amp;L'!AS204</f>
        <v>0</v>
      </c>
      <c r="M56" s="27">
        <f>+'BS, CF and P&amp;L'!AV204</f>
        <v>0</v>
      </c>
      <c r="O56" s="197" t="s">
        <v>167</v>
      </c>
      <c r="P56" s="214">
        <f>'BS, CF and P&amp;L'!O148</f>
        <v>0</v>
      </c>
      <c r="Q56" s="214">
        <f>'BS, CF and P&amp;L'!R148</f>
        <v>0</v>
      </c>
      <c r="R56" s="214">
        <f>'BS, CF and P&amp;L'!X148</f>
        <v>208.53899999999999</v>
      </c>
      <c r="S56" s="214">
        <f>'BS, CF and P&amp;L'!AA148</f>
        <v>130.43100000000001</v>
      </c>
      <c r="T56" s="214">
        <f>'BS, CF and P&amp;L'!AD148</f>
        <v>551.05799999999999</v>
      </c>
      <c r="U56" s="214">
        <f>'BS, CF and P&amp;L'!AG148</f>
        <v>433.548</v>
      </c>
      <c r="V56" s="214">
        <f>'BS, CF and P&amp;L'!AJ148</f>
        <v>418.41199999999998</v>
      </c>
      <c r="W56" s="214">
        <f>'BS, CF and P&amp;L'!AM148</f>
        <v>329.423</v>
      </c>
      <c r="X56" s="214">
        <f>'BS, CF and P&amp;L'!AP148</f>
        <v>267.571022716264</v>
      </c>
      <c r="Y56" s="214">
        <f>'BS, CF and P&amp;L'!AS148</f>
        <v>207.24429161729086</v>
      </c>
      <c r="Z56" s="214">
        <f>'BS, CF and P&amp;L'!AV148</f>
        <v>148.54744293255015</v>
      </c>
      <c r="AB56" s="7"/>
      <c r="AC56" s="7"/>
    </row>
    <row r="57" spans="2:32">
      <c r="B57" s="8" t="s">
        <v>190</v>
      </c>
      <c r="C57" s="27">
        <f>+'BS, CF and P&amp;L'!O205</f>
        <v>0</v>
      </c>
      <c r="D57" s="27">
        <f>+'BS, CF and P&amp;L'!R205</f>
        <v>0</v>
      </c>
      <c r="E57" s="27">
        <f>+'BS, CF and P&amp;L'!X205</f>
        <v>11.484</v>
      </c>
      <c r="F57" s="27">
        <f>+'BS, CF and P&amp;L'!AA205</f>
        <v>9.0530000000000008</v>
      </c>
      <c r="G57" s="27">
        <f>+'BS, CF and P&amp;L'!AD205</f>
        <v>6.4139999999999997</v>
      </c>
      <c r="H57" s="27">
        <f>+'BS, CF and P&amp;L'!AG205</f>
        <v>8.3190000000000008</v>
      </c>
      <c r="I57" s="27">
        <f>+'BS, CF and P&amp;L'!AJ205</f>
        <v>6.7380000000000004</v>
      </c>
      <c r="J57" s="27">
        <f>+'BS, CF and P&amp;L'!AM205</f>
        <v>8.1379999999999999</v>
      </c>
      <c r="K57" s="27">
        <f>+'BS, CF and P&amp;L'!AP205</f>
        <v>6.4950000000000001</v>
      </c>
      <c r="L57" s="27">
        <f>+'BS, CF and P&amp;L'!AS205</f>
        <v>6.4950000000000001</v>
      </c>
      <c r="M57" s="27">
        <f>+'BS, CF and P&amp;L'!AV205</f>
        <v>6.4950000000000001</v>
      </c>
      <c r="O57" s="197" t="s">
        <v>113</v>
      </c>
      <c r="P57" s="215">
        <f>'BS, CF and P&amp;L'!O151</f>
        <v>0</v>
      </c>
      <c r="Q57" s="215">
        <f>'BS, CF and P&amp;L'!R151</f>
        <v>0</v>
      </c>
      <c r="R57" s="215">
        <f>'BS, CF and P&amp;L'!X151</f>
        <v>7.8826759860209679</v>
      </c>
      <c r="S57" s="215">
        <f>'BS, CF and P&amp;L'!AA151</f>
        <v>24.357206504789485</v>
      </c>
      <c r="T57" s="215">
        <f>'BS, CF and P&amp;L'!AD151</f>
        <v>14.011391684070629</v>
      </c>
      <c r="U57" s="215">
        <f>'BS, CF and P&amp;L'!AG151</f>
        <v>6.7188351395531862</v>
      </c>
      <c r="V57" s="215">
        <f>'BS, CF and P&amp;L'!AJ151</f>
        <v>6.9349104776678958</v>
      </c>
      <c r="W57" s="215">
        <f>'BS, CF and P&amp;L'!AM151</f>
        <v>7.9991959568113939</v>
      </c>
      <c r="X57" s="215">
        <f>'BS, CF and P&amp;L'!AP151</f>
        <v>7.3245307374338191</v>
      </c>
      <c r="Y57" s="215">
        <f>'BS, CF and P&amp;L'!AS151</f>
        <v>10.053080399252016</v>
      </c>
      <c r="Z57" s="215">
        <f>'BS, CF and P&amp;L'!AV151</f>
        <v>10.911592574545624</v>
      </c>
      <c r="AB57" s="7"/>
      <c r="AC57" s="7"/>
    </row>
    <row r="58" spans="2:32">
      <c r="B58" s="257" t="s">
        <v>217</v>
      </c>
      <c r="C58" s="266">
        <f>+'BS, CF and P&amp;L'!O$206+'BS, CF and P&amp;L'!O$207</f>
        <v>0</v>
      </c>
      <c r="D58" s="266">
        <f>+'BS, CF and P&amp;L'!R$206+'BS, CF and P&amp;L'!R$207</f>
        <v>0</v>
      </c>
      <c r="E58" s="266">
        <f>+'BS, CF and P&amp;L'!X$206+'BS, CF and P&amp;L'!X$207</f>
        <v>31.810000000000002</v>
      </c>
      <c r="F58" s="266">
        <f>+'BS, CF and P&amp;L'!AUS$206+'BS, CF and P&amp;L'!AUS$207</f>
        <v>0</v>
      </c>
      <c r="G58" s="266">
        <f>+'BS, CF and P&amp;L'!AD$206+'BS, CF and P&amp;L'!AD$207</f>
        <v>21.17</v>
      </c>
      <c r="H58" s="266">
        <f>+'BS, CF and P&amp;L'!AG$206+'BS, CF and P&amp;L'!AG$207</f>
        <v>19.568999999999999</v>
      </c>
      <c r="I58" s="266">
        <f>+'BS, CF and P&amp;L'!AJ$206+'BS, CF and P&amp;L'!AJ$207</f>
        <v>23.927</v>
      </c>
      <c r="J58" s="266">
        <f>+'BS, CF and P&amp;L'!AM$206+'BS, CF and P&amp;L'!AM$207</f>
        <v>20.892999999999997</v>
      </c>
      <c r="K58" s="266">
        <f>+'BS, CF and P&amp;L'!AP$206+'BS, CF and P&amp;L'!AP$207</f>
        <v>23.751000000000001</v>
      </c>
      <c r="L58" s="266">
        <f>+'BS, CF and P&amp;L'!AS$206+'BS, CF and P&amp;L'!AS$207</f>
        <v>23.751000000000001</v>
      </c>
      <c r="M58" s="266">
        <f>+'BS, CF and P&amp;L'!AV$206+'BS, CF and P&amp;L'!AV$207</f>
        <v>23.751000000000001</v>
      </c>
      <c r="O58" s="197" t="s">
        <v>43</v>
      </c>
      <c r="P58" s="215">
        <f>'BS, CF and P&amp;L'!O152</f>
        <v>0</v>
      </c>
      <c r="Q58" s="215">
        <f>'BS, CF and P&amp;L'!R152</f>
        <v>0</v>
      </c>
      <c r="R58" s="215">
        <f>'BS, CF and P&amp;L'!X152</f>
        <v>0.95047948077519095</v>
      </c>
      <c r="S58" s="215">
        <f>'BS, CF and P&amp;L'!AA152</f>
        <v>0.50026272892894819</v>
      </c>
      <c r="T58" s="215">
        <f>'BS, CF and P&amp;L'!AD152</f>
        <v>2.0515781714209127</v>
      </c>
      <c r="U58" s="215">
        <f>'BS, CF and P&amp;L'!AG152</f>
        <v>1.5788864165249408</v>
      </c>
      <c r="V58" s="215">
        <f>'BS, CF and P&amp;L'!AJ152</f>
        <v>1.5235535941215237</v>
      </c>
      <c r="W58" s="215">
        <f>'BS, CF and P&amp;L'!AM152</f>
        <v>1.186254951386388</v>
      </c>
      <c r="X58" s="215">
        <f>'BS, CF and P&amp;L'!AP152</f>
        <v>1.088853622247939</v>
      </c>
      <c r="Y58" s="215">
        <f>'BS, CF and P&amp;L'!AS152</f>
        <v>0.70449973843323421</v>
      </c>
      <c r="Z58" s="215">
        <f>'BS, CF and P&amp;L'!AV152</f>
        <v>0.46560084284601677</v>
      </c>
      <c r="AB58" s="7"/>
      <c r="AC58" s="7"/>
    </row>
    <row r="59" spans="2:32">
      <c r="B59" s="26" t="s">
        <v>191</v>
      </c>
      <c r="C59" s="259">
        <f t="shared" ref="C59:J59" si="36">SUM(C55:C58)</f>
        <v>0</v>
      </c>
      <c r="D59" s="259">
        <f t="shared" si="36"/>
        <v>0</v>
      </c>
      <c r="E59" s="259">
        <f t="shared" si="36"/>
        <v>159.37899999999999</v>
      </c>
      <c r="F59" s="259">
        <f t="shared" si="36"/>
        <v>189.035</v>
      </c>
      <c r="G59" s="259">
        <f t="shared" si="36"/>
        <v>200.75</v>
      </c>
      <c r="H59" s="259">
        <f t="shared" si="36"/>
        <v>194.42899999999997</v>
      </c>
      <c r="I59" s="259">
        <f t="shared" si="36"/>
        <v>209.76399999999998</v>
      </c>
      <c r="J59" s="259">
        <f t="shared" si="36"/>
        <v>216.22900000000001</v>
      </c>
      <c r="K59" s="259">
        <f t="shared" ref="K59:L59" si="37">SUM(K55:K58)</f>
        <v>228.30999257149787</v>
      </c>
      <c r="L59" s="259">
        <f t="shared" si="37"/>
        <v>239.11512216488268</v>
      </c>
      <c r="M59" s="259">
        <f t="shared" ref="M59" si="38">SUM(M55:M58)</f>
        <v>250.23259389266056</v>
      </c>
      <c r="X59" s="197"/>
      <c r="Y59" s="197"/>
      <c r="Z59" s="197"/>
      <c r="AB59" s="7"/>
      <c r="AC59" s="7"/>
    </row>
    <row r="60" spans="2:32">
      <c r="B60" s="8" t="s">
        <v>320</v>
      </c>
      <c r="C60" s="27">
        <f>+'BS, CF and P&amp;L'!O211</f>
        <v>0</v>
      </c>
      <c r="D60" s="27">
        <f>+'BS, CF and P&amp;L'!R211</f>
        <v>0</v>
      </c>
      <c r="E60" s="27">
        <f>+'BS, CF and P&amp;L'!X211</f>
        <v>265.18099999999998</v>
      </c>
      <c r="F60" s="27">
        <f>+'BS, CF and P&amp;L'!AA211</f>
        <v>151.75</v>
      </c>
      <c r="G60" s="27">
        <f>+'BS, CF and P&amp;L'!AD211</f>
        <v>578.73699999999997</v>
      </c>
      <c r="H60" s="27">
        <f>+'BS, CF and P&amp;L'!AG211</f>
        <v>450.16500000000002</v>
      </c>
      <c r="I60" s="27">
        <f>+'BS, CF and P&amp;L'!AJ211</f>
        <v>438.327</v>
      </c>
      <c r="J60" s="27">
        <f>+'BS, CF and P&amp;L'!AM211</f>
        <v>354.80700000000002</v>
      </c>
      <c r="K60" s="27">
        <f>+'BS, CF and P&amp;L'!AP211</f>
        <v>293.56102271626401</v>
      </c>
      <c r="L60" s="27">
        <f>+'BS, CF and P&amp;L'!AS211</f>
        <v>233.23429161729086</v>
      </c>
      <c r="M60" s="27">
        <f>+'BS, CF and P&amp;L'!AV211</f>
        <v>174.53744293255016</v>
      </c>
      <c r="O60" s="201" t="s">
        <v>329</v>
      </c>
      <c r="P60" s="202" t="str">
        <f t="shared" ref="P60:Z60" si="39">C$6</f>
        <v>FY17A</v>
      </c>
      <c r="Q60" s="202" t="str">
        <f t="shared" si="39"/>
        <v>FY19A</v>
      </c>
      <c r="R60" s="202" t="str">
        <f t="shared" si="39"/>
        <v>FY20A</v>
      </c>
      <c r="S60" s="202" t="str">
        <f t="shared" si="39"/>
        <v>FY21A</v>
      </c>
      <c r="T60" s="202" t="str">
        <f t="shared" si="39"/>
        <v>FY22A</v>
      </c>
      <c r="U60" s="202" t="str">
        <f t="shared" si="39"/>
        <v>FY23A</v>
      </c>
      <c r="V60" s="202" t="str">
        <f t="shared" si="39"/>
        <v>FY24A</v>
      </c>
      <c r="W60" s="202" t="str">
        <f t="shared" si="39"/>
        <v>FY25A</v>
      </c>
      <c r="X60" s="202" t="str">
        <f t="shared" si="39"/>
        <v>FY26E</v>
      </c>
      <c r="Y60" s="202" t="str">
        <f t="shared" si="39"/>
        <v>FY27E</v>
      </c>
      <c r="Z60" s="202" t="str">
        <f t="shared" si="39"/>
        <v>FY28E</v>
      </c>
      <c r="AB60" s="7"/>
      <c r="AC60" s="7"/>
    </row>
    <row r="61" spans="2:32">
      <c r="B61" s="8" t="s">
        <v>133</v>
      </c>
      <c r="C61" s="27">
        <f>+'BS, CF and P&amp;L'!O212</f>
        <v>0</v>
      </c>
      <c r="D61" s="27">
        <f>+'BS, CF and P&amp;L'!R212</f>
        <v>0</v>
      </c>
      <c r="E61" s="27">
        <f>+'BS, CF and P&amp;L'!X212</f>
        <v>4.6130000000000004</v>
      </c>
      <c r="F61" s="27">
        <f>+'BS, CF and P&amp;L'!AA212</f>
        <v>5.0869999999999997</v>
      </c>
      <c r="G61" s="27">
        <f>+'BS, CF and P&amp;L'!AD212</f>
        <v>4.8650000000000002</v>
      </c>
      <c r="H61" s="27">
        <f>+'BS, CF and P&amp;L'!AG212</f>
        <v>4.5030000000000001</v>
      </c>
      <c r="I61" s="27">
        <f>+'BS, CF and P&amp;L'!AJ212</f>
        <v>4.5670000000000002</v>
      </c>
      <c r="J61" s="27">
        <f>+'BS, CF and P&amp;L'!AM212</f>
        <v>4.5330000000000004</v>
      </c>
      <c r="K61" s="27">
        <f>+'BS, CF and P&amp;L'!AP212</f>
        <v>4.0410000000000004</v>
      </c>
      <c r="L61" s="27">
        <f>+'BS, CF and P&amp;L'!AS212</f>
        <v>4.0410000000000004</v>
      </c>
      <c r="M61" s="27">
        <f>+'BS, CF and P&amp;L'!AV212</f>
        <v>4.0410000000000004</v>
      </c>
      <c r="O61" s="197" t="s">
        <v>72</v>
      </c>
      <c r="P61" s="232">
        <f>'BS, CF and P&amp;L'!O255</f>
        <v>0</v>
      </c>
      <c r="Q61" s="232">
        <f>'BS, CF and P&amp;L'!R255</f>
        <v>0</v>
      </c>
      <c r="R61" s="232">
        <f>'BS, CF and P&amp;L'!X255</f>
        <v>0.10412414441660736</v>
      </c>
      <c r="S61" s="232">
        <f>'BS, CF and P&amp;L'!AA255</f>
        <v>0.1370797455099251</v>
      </c>
      <c r="T61" s="232">
        <f>'BS, CF and P&amp;L'!AD255</f>
        <v>0.11775803684479692</v>
      </c>
      <c r="U61" s="232">
        <f>'BS, CF and P&amp;L'!AG255</f>
        <v>0.10710417479478536</v>
      </c>
      <c r="V61" s="232">
        <f>'BS, CF and P&amp;L'!AJ255</f>
        <v>0.10210595312728626</v>
      </c>
      <c r="W61" s="232">
        <f>'BS, CF and P&amp;L'!AM255</f>
        <v>9.6197796626909429E-2</v>
      </c>
      <c r="X61" s="232">
        <f>'BS, CF and P&amp;L'!AP255</f>
        <v>7.9982196794949098E-2</v>
      </c>
      <c r="Y61" s="232">
        <f>'BS, CF and P&amp;L'!AS255</f>
        <v>0.10118991315144774</v>
      </c>
      <c r="Z61" s="232">
        <f>'BS, CF and P&amp;L'!AV255</f>
        <v>0.11070876418297422</v>
      </c>
      <c r="AB61" s="7"/>
      <c r="AC61" s="7"/>
    </row>
    <row r="62" spans="2:32">
      <c r="B62" s="257" t="s">
        <v>217</v>
      </c>
      <c r="C62" s="266">
        <f>+'BS, CF and P&amp;L'!O$213+'BS, CF and P&amp;L'!O$214</f>
        <v>0</v>
      </c>
      <c r="D62" s="266">
        <f>+'BS, CF and P&amp;L'!R$213+'BS, CF and P&amp;L'!R$214</f>
        <v>0</v>
      </c>
      <c r="E62" s="266">
        <f>+'BS, CF and P&amp;L'!X$213+'BS, CF and P&amp;L'!X$214</f>
        <v>111.53399999999999</v>
      </c>
      <c r="F62" s="266">
        <f>+'BS, CF and P&amp;L'!AUS$213+'BS, CF and P&amp;L'!AUS$214</f>
        <v>0</v>
      </c>
      <c r="G62" s="266">
        <f>+'BS, CF and P&amp;L'!AD$213+'BS, CF and P&amp;L'!AD$214</f>
        <v>171.042</v>
      </c>
      <c r="H62" s="266">
        <f>+'BS, CF and P&amp;L'!AG$213+'BS, CF and P&amp;L'!AG$214</f>
        <v>178.13</v>
      </c>
      <c r="I62" s="266">
        <f>+'BS, CF and P&amp;L'!AJ$213+'BS, CF and P&amp;L'!AJ$214</f>
        <v>227.47300000000001</v>
      </c>
      <c r="J62" s="266">
        <f>+'BS, CF and P&amp;L'!AM$213+'BS, CF and P&amp;L'!AM$214</f>
        <v>233.49299999999999</v>
      </c>
      <c r="K62" s="266">
        <f>+'BS, CF and P&amp;L'!AP$213+'BS, CF and P&amp;L'!AP$214</f>
        <v>245.67000000000002</v>
      </c>
      <c r="L62" s="266">
        <f>+'BS, CF and P&amp;L'!AS$213+'BS, CF and P&amp;L'!AS$214</f>
        <v>245.67000000000002</v>
      </c>
      <c r="M62" s="266">
        <f>+'BS, CF and P&amp;L'!AV$213+'BS, CF and P&amp;L'!AV$214</f>
        <v>245.67000000000002</v>
      </c>
      <c r="O62" s="197" t="s">
        <v>314</v>
      </c>
      <c r="P62" s="232">
        <f>'BS, CF and P&amp;L'!O257</f>
        <v>0</v>
      </c>
      <c r="Q62" s="232">
        <f>'BS, CF and P&amp;L'!R257</f>
        <v>0</v>
      </c>
      <c r="R62" s="232">
        <f>'BS, CF and P&amp;L'!X257</f>
        <v>0.13330415638298745</v>
      </c>
      <c r="S62" s="232">
        <f>'BS, CF and P&amp;L'!AA257</f>
        <v>0.1463777882637729</v>
      </c>
      <c r="T62" s="232">
        <f>'BS, CF and P&amp;L'!AD257</f>
        <v>0.13896434539958277</v>
      </c>
      <c r="U62" s="232">
        <f>'BS, CF and P&amp;L'!AG257</f>
        <v>0.13184071913735357</v>
      </c>
      <c r="V62" s="232">
        <f>'BS, CF and P&amp;L'!AJ257</f>
        <v>0.1177212562597016</v>
      </c>
      <c r="W62" s="232">
        <f>'BS, CF and P&amp;L'!AM257</f>
        <v>0.11128608132850112</v>
      </c>
      <c r="X62" s="232">
        <f>'BS, CF and P&amp;L'!AP257</f>
        <v>8.6594658289644813E-2</v>
      </c>
      <c r="Y62" s="232">
        <f>'BS, CF and P&amp;L'!AS257</f>
        <v>0.10761497342828182</v>
      </c>
      <c r="Z62" s="232">
        <f>'BS, CF and P&amp;L'!AV257</f>
        <v>0.11292539807128617</v>
      </c>
      <c r="AB62" s="7"/>
      <c r="AC62" s="7"/>
    </row>
    <row r="63" spans="2:32">
      <c r="B63" s="26" t="s">
        <v>135</v>
      </c>
      <c r="C63" s="259">
        <f t="shared" ref="C63:J63" si="40">SUM(C60:C62)</f>
        <v>0</v>
      </c>
      <c r="D63" s="259">
        <f t="shared" si="40"/>
        <v>0</v>
      </c>
      <c r="E63" s="259">
        <f t="shared" si="40"/>
        <v>381.32799999999997</v>
      </c>
      <c r="F63" s="259">
        <f t="shared" si="40"/>
        <v>156.83699999999999</v>
      </c>
      <c r="G63" s="259">
        <f t="shared" si="40"/>
        <v>754.64400000000001</v>
      </c>
      <c r="H63" s="259">
        <f t="shared" si="40"/>
        <v>632.798</v>
      </c>
      <c r="I63" s="259">
        <f t="shared" si="40"/>
        <v>670.36699999999996</v>
      </c>
      <c r="J63" s="259">
        <f t="shared" si="40"/>
        <v>592.83300000000008</v>
      </c>
      <c r="K63" s="259">
        <f t="shared" ref="K63:L63" si="41">SUM(K60:K62)</f>
        <v>543.27202271626402</v>
      </c>
      <c r="L63" s="259">
        <f t="shared" si="41"/>
        <v>482.94529161729088</v>
      </c>
      <c r="M63" s="259">
        <f t="shared" ref="M63" si="42">SUM(M60:M62)</f>
        <v>424.24844293255018</v>
      </c>
      <c r="AB63" s="7"/>
      <c r="AC63" s="7"/>
    </row>
    <row r="64" spans="2:32">
      <c r="B64" s="64" t="s">
        <v>64</v>
      </c>
      <c r="C64" s="265">
        <f t="shared" ref="C64:J64" si="43">C63+C59</f>
        <v>0</v>
      </c>
      <c r="D64" s="265">
        <f t="shared" si="43"/>
        <v>0</v>
      </c>
      <c r="E64" s="265">
        <f t="shared" si="43"/>
        <v>540.70699999999999</v>
      </c>
      <c r="F64" s="265">
        <f t="shared" si="43"/>
        <v>345.87199999999996</v>
      </c>
      <c r="G64" s="265">
        <f t="shared" si="43"/>
        <v>955.39400000000001</v>
      </c>
      <c r="H64" s="265">
        <f t="shared" si="43"/>
        <v>827.22699999999998</v>
      </c>
      <c r="I64" s="265">
        <f t="shared" si="43"/>
        <v>880.13099999999997</v>
      </c>
      <c r="J64" s="265">
        <f t="shared" si="43"/>
        <v>809.06200000000013</v>
      </c>
      <c r="K64" s="265">
        <f t="shared" ref="K64:L64" si="44">K63+K59</f>
        <v>771.58201528776192</v>
      </c>
      <c r="L64" s="265">
        <f t="shared" si="44"/>
        <v>722.06041378217355</v>
      </c>
      <c r="M64" s="265">
        <f t="shared" ref="M64" si="45">M63+M59</f>
        <v>674.48103682521071</v>
      </c>
      <c r="O64" s="201" t="s">
        <v>330</v>
      </c>
      <c r="P64" s="202" t="str">
        <f t="shared" ref="P64:Z64" si="46">C$6</f>
        <v>FY17A</v>
      </c>
      <c r="Q64" s="202" t="str">
        <f t="shared" si="46"/>
        <v>FY19A</v>
      </c>
      <c r="R64" s="202" t="str">
        <f t="shared" si="46"/>
        <v>FY20A</v>
      </c>
      <c r="S64" s="202" t="str">
        <f t="shared" si="46"/>
        <v>FY21A</v>
      </c>
      <c r="T64" s="202" t="str">
        <f t="shared" si="46"/>
        <v>FY22A</v>
      </c>
      <c r="U64" s="202" t="str">
        <f t="shared" si="46"/>
        <v>FY23A</v>
      </c>
      <c r="V64" s="202" t="str">
        <f t="shared" si="46"/>
        <v>FY24A</v>
      </c>
      <c r="W64" s="202" t="str">
        <f t="shared" si="46"/>
        <v>FY25A</v>
      </c>
      <c r="X64" s="202" t="str">
        <f t="shared" si="46"/>
        <v>FY26E</v>
      </c>
      <c r="Y64" s="202" t="str">
        <f t="shared" si="46"/>
        <v>FY27E</v>
      </c>
      <c r="Z64" s="202" t="str">
        <f t="shared" si="46"/>
        <v>FY28E</v>
      </c>
      <c r="AB64" s="7"/>
      <c r="AC64" s="7"/>
    </row>
    <row r="65" spans="2:29">
      <c r="B65" s="64" t="s">
        <v>65</v>
      </c>
      <c r="C65" s="265">
        <f t="shared" ref="C65:J65" si="47">C54-C64</f>
        <v>0</v>
      </c>
      <c r="D65" s="265">
        <f t="shared" si="47"/>
        <v>0</v>
      </c>
      <c r="E65" s="265">
        <f t="shared" si="47"/>
        <v>975.65600000000006</v>
      </c>
      <c r="F65" s="265">
        <f t="shared" si="47"/>
        <v>1328.3020000000001</v>
      </c>
      <c r="G65" s="265">
        <f t="shared" si="47"/>
        <v>1130.5829999999999</v>
      </c>
      <c r="H65" s="265">
        <f t="shared" si="47"/>
        <v>1231.3590000000004</v>
      </c>
      <c r="I65" s="265">
        <f t="shared" si="47"/>
        <v>1264.3680000000004</v>
      </c>
      <c r="J65" s="265">
        <f t="shared" si="47"/>
        <v>1390.0519999999999</v>
      </c>
      <c r="K65" s="265">
        <f t="shared" ref="K65:L65" si="48">K54-K64</f>
        <v>1418.2419266329193</v>
      </c>
      <c r="L65" s="265">
        <f t="shared" si="48"/>
        <v>1487.4505036638564</v>
      </c>
      <c r="M65" s="265">
        <f t="shared" ref="M65" si="49">M54-M64</f>
        <v>1559.5308755780484</v>
      </c>
      <c r="O65" s="197" t="s">
        <v>317</v>
      </c>
      <c r="P65" s="233">
        <v>221394</v>
      </c>
      <c r="Q65" s="233">
        <v>197041</v>
      </c>
      <c r="R65" s="233">
        <v>173115</v>
      </c>
      <c r="S65" s="233">
        <v>213035</v>
      </c>
      <c r="T65" s="233">
        <v>208121</v>
      </c>
      <c r="U65" s="233">
        <v>173382</v>
      </c>
      <c r="V65" s="233">
        <v>153013.15000000002</v>
      </c>
      <c r="W65" s="233">
        <v>148696.88</v>
      </c>
      <c r="X65" s="233">
        <v>159321.98590000003</v>
      </c>
      <c r="Y65" s="233">
        <v>173061.05749000004</v>
      </c>
      <c r="Z65" s="233">
        <v>176211.90479950001</v>
      </c>
      <c r="AB65" s="7"/>
      <c r="AC65" s="7"/>
    </row>
    <row r="66" spans="2:29">
      <c r="B66" s="26" t="s">
        <v>66</v>
      </c>
      <c r="C66" s="8"/>
      <c r="D66" s="8"/>
      <c r="E66" s="8"/>
      <c r="F66" s="8"/>
      <c r="G66" s="8"/>
      <c r="H66" s="8"/>
      <c r="I66" s="8"/>
      <c r="J66" s="8"/>
      <c r="K66" s="8"/>
      <c r="L66" s="8"/>
      <c r="M66" s="8"/>
      <c r="O66" s="197" t="s">
        <v>331</v>
      </c>
      <c r="P66" s="234">
        <v>-5.5647500426548424E-2</v>
      </c>
      <c r="Q66" s="234">
        <v>3.5547485478377938E-2</v>
      </c>
      <c r="R66" s="234">
        <f t="shared" ref="R66:W66" si="50">R65/Q65-1</f>
        <v>-0.12142650514359954</v>
      </c>
      <c r="S66" s="234">
        <f t="shared" si="50"/>
        <v>0.23059815729428412</v>
      </c>
      <c r="T66" s="234">
        <f t="shared" si="50"/>
        <v>-2.3066632243528007E-2</v>
      </c>
      <c r="U66" s="234">
        <f t="shared" si="50"/>
        <v>-0.16691732213471966</v>
      </c>
      <c r="V66" s="234">
        <f t="shared" si="50"/>
        <v>-0.1174796114936959</v>
      </c>
      <c r="W66" s="234">
        <f t="shared" si="50"/>
        <v>-2.8208490577443901E-2</v>
      </c>
      <c r="X66" s="234">
        <f>X65/W65-1</f>
        <v>7.1454800531120855E-2</v>
      </c>
      <c r="Y66" s="234">
        <f>Y65/X65-1</f>
        <v>8.6234624257216286E-2</v>
      </c>
      <c r="Z66" s="234">
        <f>Z65/Y65-1</f>
        <v>1.8206564522362578E-2</v>
      </c>
      <c r="AB66" s="7"/>
      <c r="AC66" s="7"/>
    </row>
    <row r="67" spans="2:29">
      <c r="B67" s="8" t="s">
        <v>229</v>
      </c>
      <c r="C67" s="216">
        <f>+'BS, CF and P&amp;L'!O221</f>
        <v>0</v>
      </c>
      <c r="D67" s="216">
        <f>+'BS, CF and P&amp;L'!R221</f>
        <v>0</v>
      </c>
      <c r="E67" s="216">
        <f>+'BS, CF and P&amp;L'!X221</f>
        <v>1738.067</v>
      </c>
      <c r="F67" s="216">
        <f>+'BS, CF and P&amp;L'!AA221</f>
        <v>1738.067</v>
      </c>
      <c r="G67" s="216">
        <f>+'BS, CF and P&amp;L'!AD221</f>
        <v>1738.846</v>
      </c>
      <c r="H67" s="216">
        <f>+'BS, CF and P&amp;L'!AG221</f>
        <v>1742.078</v>
      </c>
      <c r="I67" s="216">
        <f>+'BS, CF and P&amp;L'!AJ221</f>
        <v>1737.277</v>
      </c>
      <c r="J67" s="216">
        <f>+'BS, CF and P&amp;L'!AM221</f>
        <v>1716.0730000000001</v>
      </c>
      <c r="K67" s="216">
        <f>+'BS, CF and P&amp;L'!AP221</f>
        <v>1686.2151047</v>
      </c>
      <c r="L67" s="216">
        <f>+'BS, CF and P&amp;L'!AS221</f>
        <v>1642.6465197534028</v>
      </c>
      <c r="M67" s="216">
        <f>+'BS, CF and P&amp;L'!AV221</f>
        <v>1592.6674951355062</v>
      </c>
      <c r="O67" s="197" t="s">
        <v>434</v>
      </c>
      <c r="P67" s="233">
        <v>812.4</v>
      </c>
      <c r="Q67" s="233">
        <v>854.3</v>
      </c>
      <c r="R67" s="233">
        <v>888.8</v>
      </c>
      <c r="S67" s="233">
        <v>1123.2999999999997</v>
      </c>
      <c r="T67" s="233">
        <v>1132.3000000000002</v>
      </c>
      <c r="U67" s="233">
        <v>884.5</v>
      </c>
      <c r="V67" s="233">
        <v>1020.5</v>
      </c>
      <c r="W67" s="233">
        <v>973.7</v>
      </c>
      <c r="X67" s="233">
        <v>985.39700000000016</v>
      </c>
      <c r="Y67" s="233">
        <v>1010.0641800000001</v>
      </c>
      <c r="Z67" s="233">
        <v>1004.6099850000001</v>
      </c>
      <c r="AB67" s="7"/>
      <c r="AC67" s="7"/>
    </row>
    <row r="68" spans="2:29">
      <c r="B68" s="8" t="s">
        <v>63</v>
      </c>
      <c r="C68" s="216">
        <f>+'BS, CF and P&amp;L'!O222</f>
        <v>0</v>
      </c>
      <c r="D68" s="216">
        <f>+'BS, CF and P&amp;L'!R222</f>
        <v>0</v>
      </c>
      <c r="E68" s="216">
        <f>+'BS, CF and P&amp;L'!X222</f>
        <v>-906.12</v>
      </c>
      <c r="F68" s="216">
        <f>+'BS, CF and P&amp;L'!AA222</f>
        <v>-789.56200000000001</v>
      </c>
      <c r="G68" s="216">
        <f>+'BS, CF and P&amp;L'!AD222</f>
        <v>-902.28899999999999</v>
      </c>
      <c r="H68" s="216">
        <f>+'BS, CF and P&amp;L'!AG222</f>
        <v>-868.66300000000001</v>
      </c>
      <c r="I68" s="216">
        <f>+'BS, CF and P&amp;L'!AJ222</f>
        <v>-884.03399999999999</v>
      </c>
      <c r="J68" s="216">
        <f>+'BS, CF and P&amp;L'!AM222</f>
        <v>-823.005</v>
      </c>
      <c r="K68" s="216">
        <f>+'BS, CF and P&amp;L'!AP222</f>
        <v>-842.86900000000003</v>
      </c>
      <c r="L68" s="216">
        <f>+'BS, CF and P&amp;L'!AS222</f>
        <v>-842.86900000000003</v>
      </c>
      <c r="M68" s="216">
        <f>+'BS, CF and P&amp;L'!AV222</f>
        <v>-842.86900000000003</v>
      </c>
      <c r="O68" s="197" t="s">
        <v>435</v>
      </c>
      <c r="P68" s="234">
        <v>7.2616847108529115E-2</v>
      </c>
      <c r="Q68" s="234">
        <v>8.5672082717872966E-2</v>
      </c>
      <c r="R68" s="234">
        <f t="shared" ref="R68:Z68" si="51">R67/Q67-1</f>
        <v>4.038394006789181E-2</v>
      </c>
      <c r="S68" s="234">
        <f t="shared" si="51"/>
        <v>0.2638388838883885</v>
      </c>
      <c r="T68" s="234">
        <f t="shared" si="51"/>
        <v>8.0121071841898761E-3</v>
      </c>
      <c r="U68" s="234">
        <f t="shared" si="51"/>
        <v>-0.21884659542524076</v>
      </c>
      <c r="V68" s="234">
        <f t="shared" si="51"/>
        <v>0.15375918598078009</v>
      </c>
      <c r="W68" s="234">
        <f t="shared" si="51"/>
        <v>-4.5859872611464958E-2</v>
      </c>
      <c r="X68" s="234">
        <f t="shared" si="51"/>
        <v>1.2012940330697441E-2</v>
      </c>
      <c r="Y68" s="234">
        <f t="shared" si="51"/>
        <v>2.5032732999998863E-2</v>
      </c>
      <c r="Z68" s="234">
        <f t="shared" si="51"/>
        <v>-5.399849938248491E-3</v>
      </c>
      <c r="AB68" s="7"/>
      <c r="AC68" s="7"/>
    </row>
    <row r="69" spans="2:29">
      <c r="B69" s="8" t="s">
        <v>202</v>
      </c>
      <c r="C69" s="216">
        <f>+'BS, CF and P&amp;L'!O223</f>
        <v>0</v>
      </c>
      <c r="D69" s="216">
        <f>+'BS, CF and P&amp;L'!R223</f>
        <v>0</v>
      </c>
      <c r="E69" s="216">
        <f>+'BS, CF and P&amp;L'!X223</f>
        <v>143.709</v>
      </c>
      <c r="F69" s="216">
        <f>+'BS, CF and P&amp;L'!AA223</f>
        <v>243.81</v>
      </c>
      <c r="G69" s="216">
        <f>+'BS, CF and P&amp;L'!AD223</f>
        <v>294.02600000000001</v>
      </c>
      <c r="H69" s="216">
        <f>+'BS, CF and P&amp;L'!AG223</f>
        <v>357.94299999999998</v>
      </c>
      <c r="I69" s="216">
        <f>+'BS, CF and P&amp;L'!AJ223</f>
        <v>411.125</v>
      </c>
      <c r="J69" s="216">
        <f>+'BS, CF and P&amp;L'!AM223</f>
        <v>496.98399999999998</v>
      </c>
      <c r="K69" s="216">
        <f>+'BS, CF and P&amp;L'!AP223</f>
        <v>574.87482193291919</v>
      </c>
      <c r="L69" s="216">
        <f>+'BS, CF and P&amp;L'!AS223</f>
        <v>687.6519839104534</v>
      </c>
      <c r="M69" s="216">
        <f>+'BS, CF and P&amp;L'!AV223</f>
        <v>809.71138044254178</v>
      </c>
      <c r="O69" s="197" t="s">
        <v>336</v>
      </c>
      <c r="P69" s="234">
        <v>0.14132552962392908</v>
      </c>
      <c r="Q69" s="234">
        <v>0.15150340037621191</v>
      </c>
      <c r="R69" s="234">
        <v>8.8021269864177132E-2</v>
      </c>
      <c r="S69" s="234">
        <v>0.22601380478423017</v>
      </c>
      <c r="T69" s="234">
        <v>0.20777124025266103</v>
      </c>
      <c r="U69" s="234">
        <v>0.21339929854541184</v>
      </c>
      <c r="V69" s="234">
        <v>-6.2252622134391866E-2</v>
      </c>
      <c r="W69" s="234">
        <v>0.13201965670408056</v>
      </c>
      <c r="X69" s="234">
        <v>-3.3782668353522949E-2</v>
      </c>
      <c r="Y69" s="234">
        <v>-2.514963100497225E-2</v>
      </c>
      <c r="Z69" s="234">
        <v>1.4418277827319415E-2</v>
      </c>
      <c r="AB69" s="7"/>
      <c r="AC69" s="7"/>
    </row>
    <row r="70" spans="2:29">
      <c r="B70" s="257" t="s">
        <v>134</v>
      </c>
      <c r="C70" s="258">
        <f>+'BS, CF and P&amp;L'!O224</f>
        <v>0</v>
      </c>
      <c r="D70" s="258">
        <f>+'BS, CF and P&amp;L'!R224</f>
        <v>0</v>
      </c>
      <c r="E70" s="258">
        <f>+'BS, CF and P&amp;L'!X224</f>
        <v>0</v>
      </c>
      <c r="F70" s="258">
        <f>+'BS, CF and P&amp;L'!AA224</f>
        <v>0</v>
      </c>
      <c r="G70" s="258">
        <f>+'BS, CF and P&amp;L'!AD224</f>
        <v>0</v>
      </c>
      <c r="H70" s="258">
        <f>+'BS, CF and P&amp;L'!AG224</f>
        <v>0</v>
      </c>
      <c r="I70" s="258">
        <f>+'BS, CF and P&amp;L'!AJ224</f>
        <v>0</v>
      </c>
      <c r="J70" s="258">
        <f>+'BS, CF and P&amp;L'!AM224</f>
        <v>0</v>
      </c>
      <c r="K70" s="258">
        <f>+'BS, CF and P&amp;L'!AP224</f>
        <v>2.1000000000000001E-2</v>
      </c>
      <c r="L70" s="258">
        <f>+'BS, CF and P&amp;L'!AS224</f>
        <v>2.1000000000000001E-2</v>
      </c>
      <c r="M70" s="258">
        <f>+'BS, CF and P&amp;L'!AV224</f>
        <v>2.1000000000000001E-2</v>
      </c>
      <c r="O70" s="197" t="s">
        <v>332</v>
      </c>
      <c r="P70" s="217">
        <v>0.74696135343822823</v>
      </c>
      <c r="Q70" s="217">
        <v>0.76065153846153843</v>
      </c>
      <c r="R70" s="217">
        <v>0.70750000000000002</v>
      </c>
      <c r="S70" s="217">
        <v>0.74354999999999993</v>
      </c>
      <c r="T70" s="217">
        <v>0.72873750000000004</v>
      </c>
      <c r="U70" s="217">
        <v>0.67999999999999994</v>
      </c>
      <c r="V70" s="217">
        <v>0.65571246403846151</v>
      </c>
      <c r="W70" s="217">
        <v>0.64438664430555548</v>
      </c>
      <c r="X70" s="217">
        <v>0.66</v>
      </c>
      <c r="Y70" s="217">
        <v>0.67</v>
      </c>
      <c r="Z70" s="217">
        <v>0.67</v>
      </c>
      <c r="AB70" s="7"/>
      <c r="AC70" s="7"/>
    </row>
    <row r="71" spans="2:29">
      <c r="B71" s="26" t="s">
        <v>321</v>
      </c>
      <c r="C71" s="259">
        <f t="shared" ref="C71:J71" si="52">SUM(C67:C70)</f>
        <v>0</v>
      </c>
      <c r="D71" s="259">
        <f t="shared" si="52"/>
        <v>0</v>
      </c>
      <c r="E71" s="259">
        <f t="shared" si="52"/>
        <v>975.65599999999995</v>
      </c>
      <c r="F71" s="259">
        <f t="shared" si="52"/>
        <v>1192.3150000000001</v>
      </c>
      <c r="G71" s="259">
        <f t="shared" si="52"/>
        <v>1130.5830000000001</v>
      </c>
      <c r="H71" s="259">
        <f t="shared" si="52"/>
        <v>1231.3579999999999</v>
      </c>
      <c r="I71" s="259">
        <f t="shared" si="52"/>
        <v>1264.3679999999999</v>
      </c>
      <c r="J71" s="259">
        <f t="shared" si="52"/>
        <v>1390.0520000000001</v>
      </c>
      <c r="K71" s="259">
        <f t="shared" ref="K71:L71" si="53">SUM(K67:K70)</f>
        <v>1418.2419266329191</v>
      </c>
      <c r="L71" s="259">
        <f t="shared" si="53"/>
        <v>1487.4505036638561</v>
      </c>
      <c r="M71" s="259">
        <f t="shared" ref="M71" si="54">SUM(M67:M70)</f>
        <v>1559.5308755780479</v>
      </c>
      <c r="X71" s="197"/>
      <c r="Y71" s="197"/>
      <c r="Z71" s="197"/>
    </row>
    <row r="72" spans="2:29">
      <c r="B72" s="8"/>
      <c r="C72" s="8"/>
      <c r="D72" s="8"/>
      <c r="E72" s="8"/>
      <c r="F72" s="8"/>
      <c r="G72" s="8"/>
      <c r="H72" s="8"/>
      <c r="I72" s="8"/>
      <c r="J72" s="8"/>
      <c r="K72" s="8"/>
      <c r="L72" s="8"/>
      <c r="M72" s="8"/>
      <c r="O72" s="269" t="s">
        <v>333</v>
      </c>
      <c r="X72" s="197"/>
      <c r="Y72" s="197"/>
      <c r="Z72" s="197"/>
    </row>
    <row r="73" spans="2:29">
      <c r="B73" s="8"/>
      <c r="C73" s="8"/>
      <c r="D73" s="8"/>
      <c r="E73" s="8"/>
      <c r="F73" s="8"/>
      <c r="G73" s="8"/>
      <c r="H73" s="8"/>
      <c r="I73" s="8"/>
      <c r="J73" s="8"/>
      <c r="K73" s="8"/>
      <c r="L73" s="8"/>
      <c r="M73" s="8"/>
    </row>
    <row r="74" spans="2:29">
      <c r="B74" s="8"/>
      <c r="C74" s="8"/>
      <c r="D74" s="8"/>
      <c r="E74" s="8"/>
      <c r="F74" s="8"/>
      <c r="G74" s="8"/>
      <c r="H74" s="8"/>
      <c r="I74" s="8"/>
      <c r="J74" s="8"/>
      <c r="K74" s="8"/>
      <c r="L74" s="8"/>
      <c r="M74" s="8"/>
    </row>
    <row r="75" spans="2:29">
      <c r="B75" s="8"/>
      <c r="C75" s="8"/>
      <c r="D75" s="8"/>
      <c r="E75" s="8"/>
      <c r="F75" s="8"/>
      <c r="G75" s="8"/>
      <c r="H75" s="8"/>
      <c r="I75" s="8"/>
      <c r="J75" s="8"/>
      <c r="K75" s="8"/>
      <c r="L75" s="8"/>
      <c r="M75" s="8"/>
      <c r="O75" s="7"/>
      <c r="P75" s="6"/>
    </row>
    <row r="76" spans="2:29">
      <c r="B76" s="8"/>
      <c r="C76" s="8"/>
      <c r="D76" s="8"/>
      <c r="E76" s="8"/>
      <c r="F76" s="8"/>
      <c r="G76" s="8"/>
      <c r="H76" s="8"/>
      <c r="I76" s="8"/>
      <c r="J76" s="8"/>
      <c r="K76" s="8"/>
      <c r="L76" s="8"/>
      <c r="M76" s="8"/>
    </row>
    <row r="77" spans="2:29">
      <c r="B77" s="8"/>
      <c r="C77" s="8"/>
      <c r="D77" s="8"/>
      <c r="E77" s="8"/>
      <c r="F77" s="8"/>
      <c r="G77" s="8"/>
      <c r="H77" s="8"/>
      <c r="I77" s="8"/>
      <c r="J77" s="8"/>
      <c r="K77" s="8"/>
      <c r="L77" s="8"/>
      <c r="M77" s="8"/>
    </row>
    <row r="78" spans="2:29">
      <c r="B78" s="8"/>
      <c r="C78" s="8"/>
      <c r="D78" s="8"/>
      <c r="E78" s="8"/>
      <c r="F78" s="8"/>
      <c r="G78" s="8"/>
      <c r="H78" s="8"/>
      <c r="I78" s="8"/>
      <c r="J78" s="8"/>
      <c r="K78" s="8"/>
      <c r="L78" s="8"/>
      <c r="M78" s="8"/>
    </row>
    <row r="79" spans="2:29">
      <c r="O79" s="8"/>
      <c r="P79" s="8"/>
      <c r="Q79" s="8"/>
      <c r="R79" s="8"/>
      <c r="S79" s="8"/>
      <c r="T79" s="8"/>
    </row>
    <row r="80" spans="2:29">
      <c r="O80" s="235"/>
      <c r="P80" s="235"/>
      <c r="Q80" s="236"/>
      <c r="R80" s="236"/>
      <c r="S80" s="236"/>
      <c r="T80" s="236"/>
    </row>
    <row r="81" spans="14:20">
      <c r="O81" s="237"/>
      <c r="P81" s="237"/>
      <c r="Q81" s="236"/>
      <c r="R81" s="236"/>
      <c r="S81" s="236"/>
      <c r="T81" s="238"/>
    </row>
    <row r="82" spans="14:20">
      <c r="O82" s="237"/>
      <c r="P82" s="237"/>
      <c r="Q82" s="236"/>
      <c r="R82" s="236"/>
      <c r="S82" s="236"/>
      <c r="T82" s="239"/>
    </row>
    <row r="83" spans="14:20">
      <c r="O83" s="240"/>
      <c r="P83" s="240"/>
      <c r="Q83" s="236"/>
      <c r="R83" s="236"/>
      <c r="S83" s="236"/>
      <c r="T83" s="238"/>
    </row>
    <row r="84" spans="14:20">
      <c r="O84" s="237"/>
      <c r="P84" s="237"/>
      <c r="Q84" s="236"/>
      <c r="R84" s="236"/>
      <c r="S84" s="236"/>
      <c r="T84" s="241"/>
    </row>
    <row r="85" spans="14:20">
      <c r="N85" s="7"/>
      <c r="O85" s="237"/>
      <c r="P85" s="237"/>
      <c r="Q85" s="236"/>
      <c r="R85" s="236"/>
      <c r="S85" s="236"/>
      <c r="T85" s="241"/>
    </row>
    <row r="86" spans="14:20">
      <c r="N86" s="7"/>
      <c r="O86" s="237"/>
      <c r="P86" s="237"/>
      <c r="Q86" s="236"/>
      <c r="R86" s="236"/>
      <c r="S86" s="236"/>
      <c r="T86" s="236"/>
    </row>
    <row r="87" spans="14:20">
      <c r="O87" s="242"/>
      <c r="P87" s="242"/>
      <c r="Q87" s="243"/>
      <c r="R87" s="243"/>
      <c r="S87" s="243"/>
      <c r="T87" s="243"/>
    </row>
    <row r="88" spans="14:20">
      <c r="O88" s="237"/>
      <c r="P88" s="237"/>
      <c r="Q88" s="238"/>
      <c r="R88" s="238"/>
      <c r="S88" s="238"/>
      <c r="T88" s="238"/>
    </row>
    <row r="89" spans="14:20">
      <c r="O89" s="244"/>
      <c r="P89" s="244"/>
      <c r="Q89" s="245"/>
      <c r="R89" s="245"/>
      <c r="S89" s="245"/>
      <c r="T89" s="245"/>
    </row>
    <row r="90" spans="14:20">
      <c r="O90" s="244"/>
      <c r="P90" s="244"/>
      <c r="Q90" s="246"/>
      <c r="R90" s="246"/>
      <c r="S90" s="246"/>
      <c r="T90" s="246"/>
    </row>
    <row r="91" spans="14:20">
      <c r="O91" s="244"/>
      <c r="P91" s="244"/>
      <c r="Q91" s="247"/>
      <c r="R91" s="247"/>
      <c r="S91" s="247"/>
      <c r="T91" s="247"/>
    </row>
    <row r="92" spans="14:20">
      <c r="O92" s="651"/>
      <c r="P92" s="651"/>
      <c r="Q92" s="651"/>
      <c r="R92" s="651"/>
      <c r="S92" s="651"/>
      <c r="T92" s="651"/>
    </row>
    <row r="93" spans="14:20">
      <c r="O93" s="244"/>
      <c r="P93" s="244"/>
      <c r="Q93" s="239"/>
      <c r="R93" s="239"/>
      <c r="S93" s="239"/>
      <c r="T93" s="239"/>
    </row>
    <row r="94" spans="14:20">
      <c r="O94" s="244"/>
      <c r="P94" s="244"/>
      <c r="Q94" s="248"/>
      <c r="R94" s="248"/>
      <c r="S94" s="248"/>
      <c r="T94" s="248"/>
    </row>
    <row r="95" spans="14:20">
      <c r="O95" s="244"/>
      <c r="P95" s="244"/>
      <c r="Q95" s="245"/>
      <c r="R95" s="245"/>
      <c r="S95" s="245"/>
      <c r="T95" s="245"/>
    </row>
    <row r="96" spans="14:20">
      <c r="O96" s="244"/>
      <c r="P96" s="244"/>
      <c r="Q96" s="249"/>
      <c r="R96" s="249"/>
      <c r="S96" s="249"/>
      <c r="T96" s="249"/>
    </row>
    <row r="97" spans="2:23">
      <c r="O97" s="8"/>
      <c r="P97" s="8"/>
      <c r="Q97" s="8"/>
      <c r="R97" s="8"/>
      <c r="S97" s="8"/>
      <c r="T97" s="8"/>
    </row>
    <row r="98" spans="2:23">
      <c r="O98" s="250"/>
      <c r="P98" s="250"/>
      <c r="Q98" s="250"/>
      <c r="R98" s="250"/>
      <c r="S98" s="8"/>
      <c r="T98" s="8"/>
    </row>
    <row r="99" spans="2:23">
      <c r="O99" s="8"/>
      <c r="P99" s="8"/>
      <c r="Q99" s="8"/>
      <c r="R99" s="8"/>
      <c r="S99" s="8"/>
      <c r="T99" s="8"/>
    </row>
    <row r="100" spans="2:23">
      <c r="O100" s="8"/>
      <c r="P100" s="8"/>
      <c r="Q100" s="8"/>
      <c r="R100" s="8"/>
      <c r="S100" s="8"/>
      <c r="T100" s="8"/>
    </row>
    <row r="101" spans="2:23">
      <c r="O101" s="8"/>
      <c r="P101" s="8"/>
      <c r="Q101" s="8"/>
      <c r="R101" s="8"/>
      <c r="S101" s="8"/>
      <c r="T101" s="8"/>
    </row>
    <row r="102" spans="2:23">
      <c r="O102" s="8"/>
      <c r="P102" s="8"/>
      <c r="Q102" s="251"/>
      <c r="R102" s="251"/>
      <c r="S102" s="251"/>
      <c r="T102" s="251"/>
      <c r="U102" s="252"/>
      <c r="V102" s="252"/>
      <c r="W102" s="252"/>
    </row>
    <row r="103" spans="2:23">
      <c r="O103" s="8"/>
      <c r="P103" s="8"/>
      <c r="Q103" s="3"/>
      <c r="R103" s="3"/>
      <c r="S103" s="3"/>
      <c r="T103" s="3"/>
      <c r="U103" s="2"/>
      <c r="V103" s="2"/>
      <c r="W103" s="2"/>
    </row>
    <row r="104" spans="2:23">
      <c r="O104" s="8"/>
      <c r="P104" s="8"/>
      <c r="Q104" s="8"/>
      <c r="R104" s="8"/>
      <c r="S104" s="8"/>
      <c r="T104" s="8"/>
    </row>
    <row r="105" spans="2:23">
      <c r="O105" s="8"/>
      <c r="P105" s="8"/>
      <c r="Q105" s="8"/>
      <c r="R105" s="8"/>
      <c r="S105" s="8"/>
      <c r="T105" s="8"/>
    </row>
    <row r="108" spans="2:23">
      <c r="B108" s="206"/>
      <c r="C108" s="206"/>
    </row>
    <row r="109" spans="2:23">
      <c r="D109" s="253"/>
      <c r="E109" s="253"/>
      <c r="F109" s="253"/>
      <c r="G109" s="253"/>
      <c r="H109" s="253"/>
      <c r="I109" s="253"/>
      <c r="J109" s="253"/>
      <c r="K109" s="253"/>
      <c r="L109" s="253"/>
      <c r="M109" s="253"/>
    </row>
    <row r="110" spans="2:23">
      <c r="D110" s="254"/>
      <c r="E110" s="254"/>
      <c r="F110" s="254"/>
      <c r="G110" s="254"/>
      <c r="H110" s="254"/>
      <c r="I110" s="254"/>
      <c r="J110" s="254"/>
      <c r="K110" s="254"/>
      <c r="L110" s="254"/>
      <c r="M110" s="254"/>
    </row>
    <row r="111" spans="2:23">
      <c r="D111" s="255"/>
      <c r="E111" s="255"/>
      <c r="F111" s="255"/>
      <c r="G111" s="255"/>
      <c r="H111" s="255"/>
      <c r="I111" s="255"/>
      <c r="J111" s="255"/>
      <c r="K111" s="255"/>
      <c r="L111" s="255"/>
      <c r="M111" s="255"/>
    </row>
    <row r="112" spans="2:23">
      <c r="D112" s="254"/>
      <c r="E112" s="254"/>
      <c r="F112" s="254"/>
      <c r="G112" s="254"/>
      <c r="H112" s="254"/>
      <c r="I112" s="254"/>
      <c r="J112" s="254"/>
      <c r="K112" s="254"/>
      <c r="L112" s="254"/>
      <c r="M112" s="254"/>
    </row>
    <row r="113" spans="2:13">
      <c r="D113" s="255"/>
      <c r="E113" s="255"/>
      <c r="F113" s="255"/>
      <c r="G113" s="255"/>
      <c r="H113" s="255"/>
      <c r="I113" s="255"/>
      <c r="J113" s="255"/>
      <c r="K113" s="255"/>
      <c r="L113" s="255"/>
      <c r="M113" s="255"/>
    </row>
    <row r="114" spans="2:13">
      <c r="D114" s="254"/>
      <c r="E114" s="254"/>
      <c r="F114" s="254"/>
      <c r="G114" s="254"/>
      <c r="H114" s="254"/>
      <c r="I114" s="254"/>
      <c r="J114" s="254"/>
      <c r="K114" s="254"/>
      <c r="L114" s="254"/>
      <c r="M114" s="254"/>
    </row>
    <row r="115" spans="2:13">
      <c r="D115" s="255"/>
      <c r="E115" s="255"/>
      <c r="F115" s="255"/>
      <c r="G115" s="255"/>
      <c r="H115" s="255"/>
      <c r="I115" s="255"/>
      <c r="J115" s="255"/>
      <c r="K115" s="255"/>
      <c r="L115" s="255"/>
      <c r="M115" s="255"/>
    </row>
    <row r="121" spans="2:13">
      <c r="D121" s="234"/>
      <c r="E121" s="234"/>
      <c r="F121" s="234"/>
      <c r="G121" s="234"/>
      <c r="H121" s="234"/>
      <c r="I121" s="234"/>
      <c r="J121" s="234"/>
      <c r="K121" s="234"/>
      <c r="L121" s="234"/>
      <c r="M121" s="234"/>
    </row>
    <row r="122" spans="2:13">
      <c r="D122" s="234"/>
      <c r="E122" s="234"/>
      <c r="F122" s="234"/>
      <c r="G122" s="234"/>
      <c r="H122" s="234"/>
      <c r="I122" s="234"/>
      <c r="J122" s="234"/>
      <c r="K122" s="234"/>
      <c r="L122" s="234"/>
      <c r="M122" s="234"/>
    </row>
    <row r="127" spans="2:13">
      <c r="D127" s="2"/>
      <c r="E127" s="2"/>
      <c r="F127" s="2"/>
      <c r="G127" s="2"/>
      <c r="H127" s="2"/>
      <c r="I127" s="2"/>
      <c r="J127" s="2"/>
      <c r="K127" s="2"/>
      <c r="L127" s="2"/>
      <c r="M127" s="2"/>
    </row>
    <row r="128" spans="2:13">
      <c r="B128" s="206"/>
      <c r="C128" s="206"/>
    </row>
    <row r="129" spans="2:13">
      <c r="D129" s="254"/>
      <c r="E129" s="254"/>
      <c r="F129" s="254"/>
      <c r="G129" s="254"/>
      <c r="H129" s="254"/>
      <c r="I129" s="254"/>
      <c r="J129" s="254"/>
      <c r="K129" s="254"/>
      <c r="L129" s="254"/>
      <c r="M129" s="254"/>
    </row>
    <row r="130" spans="2:13">
      <c r="D130" s="254"/>
      <c r="E130" s="254"/>
      <c r="F130" s="254"/>
      <c r="G130" s="254"/>
      <c r="H130" s="254"/>
      <c r="I130" s="254"/>
      <c r="J130" s="254"/>
      <c r="K130" s="254"/>
      <c r="L130" s="254"/>
      <c r="M130" s="254"/>
    </row>
    <row r="131" spans="2:13">
      <c r="D131" s="254"/>
      <c r="E131" s="254"/>
      <c r="F131" s="254"/>
      <c r="G131" s="254"/>
      <c r="H131" s="254"/>
      <c r="I131" s="254"/>
      <c r="J131" s="254"/>
      <c r="K131" s="254"/>
      <c r="L131" s="254"/>
      <c r="M131" s="254"/>
    </row>
    <row r="132" spans="2:13">
      <c r="D132" s="254"/>
      <c r="E132" s="254"/>
      <c r="F132" s="254"/>
      <c r="G132" s="254"/>
      <c r="H132" s="254"/>
      <c r="I132" s="254"/>
      <c r="J132" s="254"/>
      <c r="K132" s="254"/>
      <c r="L132" s="254"/>
      <c r="M132" s="254"/>
    </row>
    <row r="133" spans="2:13">
      <c r="D133" s="255"/>
      <c r="E133" s="255"/>
      <c r="F133" s="255"/>
      <c r="G133" s="255"/>
      <c r="H133" s="255"/>
      <c r="I133" s="255"/>
      <c r="J133" s="255"/>
      <c r="K133" s="255"/>
      <c r="L133" s="255"/>
      <c r="M133" s="255"/>
    </row>
    <row r="134" spans="2:13">
      <c r="D134" s="254"/>
      <c r="E134" s="254"/>
      <c r="F134" s="254"/>
      <c r="G134" s="254"/>
      <c r="H134" s="254"/>
      <c r="I134" s="254"/>
      <c r="J134" s="254"/>
      <c r="K134" s="254"/>
      <c r="L134" s="254"/>
      <c r="M134" s="254"/>
    </row>
    <row r="135" spans="2:13">
      <c r="D135" s="254"/>
      <c r="E135" s="254"/>
      <c r="F135" s="254"/>
      <c r="G135" s="254"/>
      <c r="H135" s="254"/>
      <c r="I135" s="254"/>
      <c r="J135" s="254"/>
      <c r="K135" s="254"/>
      <c r="L135" s="254"/>
      <c r="M135" s="254"/>
    </row>
    <row r="136" spans="2:13">
      <c r="D136" s="254"/>
      <c r="E136" s="254"/>
      <c r="F136" s="254"/>
      <c r="G136" s="254"/>
      <c r="H136" s="254"/>
      <c r="I136" s="254"/>
      <c r="J136" s="254"/>
      <c r="K136" s="254"/>
      <c r="L136" s="254"/>
      <c r="M136" s="254"/>
    </row>
    <row r="137" spans="2:13">
      <c r="B137" s="206"/>
      <c r="C137" s="206"/>
      <c r="D137" s="254"/>
      <c r="E137" s="254"/>
      <c r="F137" s="254"/>
      <c r="G137" s="254"/>
      <c r="H137" s="254"/>
      <c r="I137" s="254"/>
      <c r="J137" s="254"/>
      <c r="K137" s="254"/>
      <c r="L137" s="254"/>
      <c r="M137" s="254"/>
    </row>
    <row r="138" spans="2:13">
      <c r="D138" s="254"/>
      <c r="E138" s="254"/>
      <c r="F138" s="254"/>
      <c r="G138" s="254"/>
      <c r="H138" s="254"/>
      <c r="I138" s="254"/>
      <c r="J138" s="254"/>
      <c r="K138" s="254"/>
      <c r="L138" s="254"/>
      <c r="M138" s="254"/>
    </row>
    <row r="139" spans="2:13">
      <c r="B139" s="206"/>
      <c r="C139" s="206"/>
      <c r="D139" s="254"/>
      <c r="E139" s="254"/>
      <c r="F139" s="254"/>
      <c r="G139" s="254"/>
      <c r="H139" s="254"/>
      <c r="I139" s="254"/>
      <c r="J139" s="254"/>
      <c r="K139" s="254"/>
      <c r="L139" s="254"/>
      <c r="M139" s="254"/>
    </row>
    <row r="140" spans="2:13">
      <c r="D140" s="234"/>
      <c r="E140" s="234"/>
      <c r="F140" s="234"/>
      <c r="G140" s="234"/>
      <c r="H140" s="234"/>
      <c r="I140" s="234"/>
      <c r="J140" s="234"/>
      <c r="K140" s="234"/>
      <c r="L140" s="234"/>
      <c r="M140" s="234"/>
    </row>
    <row r="143" spans="2:13">
      <c r="D143" s="254"/>
      <c r="E143" s="254"/>
      <c r="F143" s="254"/>
      <c r="G143" s="254"/>
      <c r="H143" s="254"/>
      <c r="I143" s="254"/>
      <c r="J143" s="254"/>
      <c r="K143" s="254"/>
      <c r="L143" s="254"/>
      <c r="M143" s="254"/>
    </row>
    <row r="144" spans="2:13">
      <c r="D144" s="255"/>
      <c r="E144" s="255"/>
      <c r="F144" s="255"/>
      <c r="G144" s="255"/>
      <c r="H144" s="255"/>
      <c r="I144" s="255"/>
      <c r="J144" s="255"/>
      <c r="K144" s="255"/>
      <c r="L144" s="255"/>
      <c r="M144" s="255"/>
    </row>
    <row r="145" spans="4:16">
      <c r="D145" s="254"/>
      <c r="E145" s="254"/>
      <c r="F145" s="254"/>
      <c r="G145" s="254"/>
      <c r="H145" s="254"/>
      <c r="I145" s="254"/>
      <c r="J145" s="254"/>
      <c r="K145" s="254"/>
      <c r="L145" s="254"/>
      <c r="M145" s="254"/>
    </row>
    <row r="146" spans="4:16">
      <c r="D146" s="255"/>
      <c r="E146" s="255"/>
      <c r="F146" s="255"/>
      <c r="G146" s="255"/>
      <c r="H146" s="255"/>
      <c r="I146" s="255"/>
      <c r="J146" s="255"/>
      <c r="K146" s="255"/>
      <c r="L146" s="255"/>
      <c r="M146" s="255"/>
    </row>
    <row r="147" spans="4:16">
      <c r="D147" s="254"/>
      <c r="E147" s="254"/>
      <c r="F147" s="254"/>
      <c r="G147" s="254"/>
      <c r="H147" s="254"/>
      <c r="I147" s="254"/>
      <c r="J147" s="254"/>
      <c r="K147" s="254"/>
      <c r="L147" s="254"/>
      <c r="M147" s="254"/>
    </row>
    <row r="148" spans="4:16">
      <c r="D148" s="255"/>
      <c r="E148" s="255"/>
      <c r="F148" s="255"/>
      <c r="G148" s="255"/>
      <c r="H148" s="255"/>
      <c r="I148" s="255"/>
      <c r="J148" s="255"/>
      <c r="K148" s="255"/>
      <c r="L148" s="255"/>
      <c r="M148" s="255"/>
    </row>
    <row r="149" spans="4:16">
      <c r="D149" s="254"/>
      <c r="E149" s="254"/>
      <c r="F149" s="254"/>
      <c r="G149" s="254"/>
      <c r="H149" s="254"/>
      <c r="I149" s="254"/>
      <c r="J149" s="254"/>
      <c r="K149" s="254"/>
      <c r="L149" s="254"/>
      <c r="M149" s="254"/>
    </row>
    <row r="150" spans="4:16">
      <c r="D150" s="255"/>
      <c r="E150" s="255"/>
      <c r="F150" s="255"/>
      <c r="G150" s="255"/>
      <c r="H150" s="255"/>
      <c r="I150" s="255"/>
      <c r="J150" s="255"/>
      <c r="K150" s="255"/>
      <c r="L150" s="255"/>
      <c r="M150" s="255"/>
      <c r="O150" s="254"/>
      <c r="P150" s="254"/>
    </row>
    <row r="151" spans="4:16">
      <c r="D151" s="254"/>
      <c r="E151" s="254"/>
      <c r="F151" s="254"/>
      <c r="G151" s="254"/>
      <c r="H151" s="254"/>
      <c r="I151" s="254"/>
      <c r="J151" s="254"/>
      <c r="K151" s="254"/>
      <c r="L151" s="254"/>
      <c r="M151" s="254"/>
      <c r="O151" s="254"/>
      <c r="P151" s="254"/>
    </row>
    <row r="152" spans="4:16">
      <c r="D152" s="255"/>
      <c r="E152" s="255"/>
      <c r="F152" s="255"/>
      <c r="G152" s="255"/>
      <c r="H152" s="255"/>
      <c r="I152" s="255"/>
      <c r="J152" s="255"/>
      <c r="K152" s="255"/>
      <c r="L152" s="255"/>
      <c r="M152" s="255"/>
      <c r="O152" s="254"/>
      <c r="P152" s="254"/>
    </row>
    <row r="153" spans="4:16">
      <c r="D153" s="254"/>
      <c r="E153" s="254"/>
      <c r="F153" s="254"/>
      <c r="G153" s="254"/>
      <c r="H153" s="254"/>
      <c r="I153" s="254"/>
      <c r="J153" s="254"/>
      <c r="K153" s="254"/>
      <c r="L153" s="254"/>
      <c r="M153" s="254"/>
      <c r="O153" s="254"/>
      <c r="P153" s="254"/>
    </row>
    <row r="154" spans="4:16">
      <c r="D154" s="254"/>
      <c r="E154" s="254"/>
      <c r="F154" s="254"/>
      <c r="G154" s="254"/>
      <c r="H154" s="254"/>
      <c r="I154" s="254"/>
      <c r="J154" s="254"/>
      <c r="K154" s="254"/>
      <c r="L154" s="254"/>
      <c r="M154" s="254"/>
      <c r="O154" s="254"/>
      <c r="P154" s="254"/>
    </row>
    <row r="155" spans="4:16">
      <c r="D155" s="254"/>
      <c r="E155" s="254"/>
      <c r="F155" s="254"/>
      <c r="G155" s="254"/>
      <c r="H155" s="254"/>
      <c r="I155" s="254"/>
      <c r="J155" s="254"/>
      <c r="K155" s="254"/>
      <c r="L155" s="254"/>
      <c r="M155" s="254"/>
      <c r="O155" s="254"/>
      <c r="P155" s="254"/>
    </row>
    <row r="156" spans="4:16">
      <c r="D156" s="255"/>
      <c r="E156" s="255"/>
      <c r="F156" s="255"/>
      <c r="G156" s="255"/>
      <c r="H156" s="255"/>
      <c r="I156" s="255"/>
      <c r="J156" s="255"/>
      <c r="K156" s="255"/>
      <c r="L156" s="255"/>
      <c r="M156" s="255"/>
      <c r="O156" s="254"/>
      <c r="P156" s="254"/>
    </row>
    <row r="157" spans="4:16">
      <c r="O157" s="254"/>
      <c r="P157" s="254"/>
    </row>
    <row r="158" spans="4:16">
      <c r="D158" s="254"/>
      <c r="E158" s="254"/>
      <c r="F158" s="254"/>
      <c r="G158" s="254"/>
      <c r="H158" s="254"/>
      <c r="I158" s="254"/>
      <c r="J158" s="254"/>
      <c r="K158" s="254"/>
      <c r="L158" s="254"/>
      <c r="M158" s="254"/>
      <c r="O158" s="254"/>
      <c r="P158" s="254"/>
    </row>
    <row r="159" spans="4:16">
      <c r="D159" s="254"/>
      <c r="E159" s="254"/>
      <c r="F159" s="254"/>
      <c r="G159" s="254"/>
      <c r="H159" s="254"/>
      <c r="I159" s="254"/>
      <c r="J159" s="254"/>
      <c r="K159" s="254"/>
      <c r="L159" s="254"/>
      <c r="M159" s="254"/>
      <c r="O159" s="254"/>
      <c r="P159" s="254"/>
    </row>
    <row r="160" spans="4:16">
      <c r="D160" s="254"/>
      <c r="E160" s="254"/>
      <c r="F160" s="254"/>
      <c r="G160" s="254"/>
      <c r="H160" s="254"/>
      <c r="I160" s="254"/>
      <c r="J160" s="254"/>
      <c r="K160" s="254"/>
      <c r="L160" s="254"/>
      <c r="M160" s="254"/>
      <c r="O160" s="254"/>
      <c r="P160" s="254"/>
    </row>
    <row r="161" spans="4:16">
      <c r="O161" s="254"/>
      <c r="P161" s="254"/>
    </row>
    <row r="162" spans="4:16">
      <c r="D162" s="254"/>
      <c r="E162" s="254"/>
      <c r="F162" s="254"/>
      <c r="G162" s="254"/>
      <c r="H162" s="254"/>
      <c r="I162" s="254"/>
      <c r="J162" s="254"/>
      <c r="K162" s="254"/>
      <c r="L162" s="254"/>
      <c r="M162" s="254"/>
    </row>
    <row r="163" spans="4:16">
      <c r="D163" s="214"/>
      <c r="E163" s="214"/>
      <c r="F163" s="214"/>
      <c r="G163" s="214"/>
      <c r="H163" s="214"/>
      <c r="I163" s="214"/>
      <c r="J163" s="214"/>
      <c r="K163" s="214"/>
      <c r="L163" s="214"/>
      <c r="M163" s="214"/>
    </row>
    <row r="165" spans="4:16">
      <c r="D165" s="214"/>
      <c r="E165" s="214"/>
      <c r="F165" s="214"/>
      <c r="G165" s="214"/>
      <c r="H165" s="214"/>
      <c r="I165" s="214"/>
      <c r="J165" s="214"/>
      <c r="K165" s="214"/>
      <c r="L165" s="214"/>
      <c r="M165" s="214"/>
    </row>
    <row r="166" spans="4:16">
      <c r="D166" s="255"/>
      <c r="E166" s="255"/>
      <c r="F166" s="255"/>
      <c r="G166" s="255"/>
      <c r="H166" s="255"/>
      <c r="I166" s="255"/>
      <c r="J166" s="255"/>
      <c r="K166" s="255"/>
      <c r="L166" s="255"/>
      <c r="M166" s="255"/>
    </row>
    <row r="195" spans="14:14">
      <c r="N195" s="256"/>
    </row>
    <row r="196" spans="14:14">
      <c r="N196" s="256"/>
    </row>
    <row r="197" spans="14:14">
      <c r="N197" s="256"/>
    </row>
    <row r="198" spans="14:14">
      <c r="N198" s="256"/>
    </row>
    <row r="199" spans="14:14">
      <c r="N199" s="256"/>
    </row>
    <row r="200" spans="14:14">
      <c r="N200" s="256"/>
    </row>
    <row r="201" spans="14:14">
      <c r="N201" s="256"/>
    </row>
    <row r="202" spans="14:14">
      <c r="N202" s="256"/>
    </row>
    <row r="203" spans="14:14">
      <c r="N203" s="256"/>
    </row>
    <row r="204" spans="14:14">
      <c r="N204" s="256"/>
    </row>
    <row r="205" spans="14:14">
      <c r="N205" s="256"/>
    </row>
    <row r="208" spans="14:14">
      <c r="N208" s="256"/>
    </row>
    <row r="209" spans="14:14">
      <c r="N209" s="256"/>
    </row>
    <row r="210" spans="14:14">
      <c r="N210" s="256"/>
    </row>
  </sheetData>
  <mergeCells count="4">
    <mergeCell ref="AB11:AC11"/>
    <mergeCell ref="AB12:AC12"/>
    <mergeCell ref="AB13:AC13"/>
    <mergeCell ref="O92:T92"/>
  </mergeCells>
  <pageMargins left="0.25" right="0.25" top="0.3" bottom="0.3" header="0.3" footer="0.3"/>
  <pageSetup paperSize="9"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0A034905-A1CB-4053-8B9B-A0D775C7C004}">
            <xm:f>SUM('[MS_ABC.xlsm]BS, CF and P&amp;L'!#REF!,'[MS_ABC.xlsm]BS, CF and P&amp;L'!#REF!)&lt;&gt;0</xm:f>
            <x14:dxf>
              <font>
                <color theme="0"/>
              </font>
              <fill>
                <patternFill>
                  <bgColor rgb="FFC00000"/>
                </patternFill>
              </fill>
            </x14:dxf>
          </x14:cfRule>
          <xm:sqref>AB12</xm:sqref>
        </x14:conditionalFormatting>
        <x14:conditionalFormatting xmlns:xm="http://schemas.microsoft.com/office/excel/2006/main">
          <x14:cfRule type="expression" priority="1" id="{FE5881FF-EAA9-489B-A2D4-D7E2E39D2CD5}">
            <xm:f>SUM('[MS_ABC.xlsm]BS, CF and P&amp;L'!#REF!,'[MS_ABC.xlsm]BS, CF and P&amp;L'!#REF!)&lt;&gt;0</xm:f>
            <x14:dxf>
              <font>
                <color theme="0"/>
              </font>
              <fill>
                <patternFill>
                  <bgColor rgb="FFC00000"/>
                </patternFill>
              </fill>
            </x14:dxf>
          </x14:cfRule>
          <xm:sqref>AB13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CC"/>
    <pageSetUpPr fitToPage="1"/>
  </sheetPr>
  <dimension ref="A1:X101"/>
  <sheetViews>
    <sheetView topLeftCell="A9" zoomScaleNormal="100" workbookViewId="0">
      <selection activeCell="J31" sqref="J31"/>
    </sheetView>
  </sheetViews>
  <sheetFormatPr defaultColWidth="9.109375" defaultRowHeight="10.199999999999999" outlineLevelRow="1"/>
  <cols>
    <col min="1" max="1" width="2.44140625" style="7" customWidth="1"/>
    <col min="2" max="2" width="29.6640625" style="7" customWidth="1"/>
    <col min="3" max="3" width="10.5546875" style="7" customWidth="1"/>
    <col min="4" max="13" width="10.44140625" style="7" customWidth="1"/>
    <col min="14" max="16384" width="9.109375" style="7"/>
  </cols>
  <sheetData>
    <row r="1" spans="1:24">
      <c r="B1" s="389"/>
      <c r="C1" s="10"/>
      <c r="D1" s="10"/>
      <c r="E1" s="10"/>
    </row>
    <row r="2" spans="1:24">
      <c r="B2" s="389"/>
      <c r="C2" s="10"/>
      <c r="D2" s="309"/>
      <c r="E2" s="10"/>
      <c r="P2" s="310" t="s">
        <v>384</v>
      </c>
      <c r="Q2" s="290"/>
      <c r="R2" s="291"/>
      <c r="S2" s="291"/>
      <c r="T2" s="291"/>
    </row>
    <row r="3" spans="1:24">
      <c r="B3" s="311"/>
      <c r="C3" s="10"/>
      <c r="D3" s="309"/>
      <c r="E3" s="179"/>
      <c r="F3" s="179"/>
      <c r="G3" s="179"/>
      <c r="H3" s="179"/>
      <c r="I3" s="179"/>
      <c r="J3" s="179"/>
      <c r="K3" s="179"/>
      <c r="L3" s="179"/>
      <c r="M3" s="179"/>
      <c r="P3" s="310"/>
      <c r="Q3" s="290"/>
      <c r="R3" s="291"/>
      <c r="S3" s="291"/>
      <c r="T3" s="291"/>
    </row>
    <row r="4" spans="1:24" ht="12.75" customHeight="1">
      <c r="A4" s="314" t="s">
        <v>462</v>
      </c>
      <c r="B4" s="314"/>
      <c r="C4" s="314"/>
      <c r="D4" s="314"/>
      <c r="P4" s="284"/>
      <c r="Q4" s="284"/>
      <c r="R4" s="284"/>
      <c r="S4" s="284"/>
      <c r="T4" s="284"/>
    </row>
    <row r="5" spans="1:24" ht="12.75" customHeight="1">
      <c r="A5" s="314"/>
      <c r="B5" s="314"/>
      <c r="C5" s="314"/>
      <c r="D5" s="314"/>
      <c r="E5" s="654" t="s">
        <v>450</v>
      </c>
      <c r="F5" s="655"/>
      <c r="H5" s="548" t="s">
        <v>451</v>
      </c>
      <c r="I5" s="549"/>
      <c r="K5" s="548" t="s">
        <v>452</v>
      </c>
      <c r="L5" s="549"/>
      <c r="O5" s="14"/>
      <c r="P5" s="284"/>
      <c r="Q5" s="284"/>
      <c r="R5" s="284"/>
      <c r="S5" s="284"/>
      <c r="T5" s="284"/>
    </row>
    <row r="6" spans="1:24" ht="12.75" customHeight="1">
      <c r="B6" s="321" t="s">
        <v>337</v>
      </c>
      <c r="C6" s="322" t="s">
        <v>338</v>
      </c>
      <c r="D6" s="323" t="s">
        <v>449</v>
      </c>
      <c r="E6" s="324" t="s">
        <v>255</v>
      </c>
      <c r="F6" s="325" t="s">
        <v>472</v>
      </c>
      <c r="G6" s="325" t="s">
        <v>475</v>
      </c>
      <c r="H6" s="324" t="str">
        <f>E6</f>
        <v>FY25</v>
      </c>
      <c r="I6" s="325" t="str">
        <f>F6</f>
        <v>FY26</v>
      </c>
      <c r="J6" s="325" t="s">
        <v>475</v>
      </c>
      <c r="K6" s="324" t="str">
        <f>H6</f>
        <v>FY25</v>
      </c>
      <c r="L6" s="325" t="str">
        <f>I6</f>
        <v>FY26</v>
      </c>
      <c r="M6" s="325" t="s">
        <v>475</v>
      </c>
      <c r="P6" s="284"/>
      <c r="Q6" s="284"/>
      <c r="R6" s="285" t="s">
        <v>159</v>
      </c>
      <c r="S6" s="285" t="s">
        <v>246</v>
      </c>
      <c r="T6" s="285" t="s">
        <v>249</v>
      </c>
      <c r="U6" s="285" t="s">
        <v>252</v>
      </c>
      <c r="V6" s="285" t="s">
        <v>255</v>
      </c>
      <c r="W6" s="285" t="s">
        <v>472</v>
      </c>
      <c r="X6" s="285" t="s">
        <v>475</v>
      </c>
    </row>
    <row r="7" spans="1:24">
      <c r="B7" s="338" t="s">
        <v>448</v>
      </c>
      <c r="C7" s="318">
        <v>0.5</v>
      </c>
      <c r="D7" s="109">
        <f>AVERAGE(E37,F37)</f>
        <v>3.4005569118848098</v>
      </c>
      <c r="E7" s="276">
        <f t="shared" ref="E7:G9" si="0">(($D7*$C$48*$O$12)-$C$94-$C$95)/V$7</f>
        <v>4.8764955228540616</v>
      </c>
      <c r="F7" s="276">
        <f t="shared" si="0"/>
        <v>5.510793419859592</v>
      </c>
      <c r="G7" s="276">
        <f t="shared" si="0"/>
        <v>4.6034345055209709</v>
      </c>
      <c r="H7" s="276">
        <f t="shared" ref="H7:J9" si="1">(($D7*$C$48*$O$12)-$C$94-$C$95)/V$8</f>
        <v>6.4818273081306188</v>
      </c>
      <c r="I7" s="276">
        <f t="shared" si="1"/>
        <v>7.7154442377607069</v>
      </c>
      <c r="J7" s="276">
        <f t="shared" si="1"/>
        <v>6.0840035966072321</v>
      </c>
      <c r="K7" s="276">
        <f t="shared" ref="K7:M9" si="2">+$D7/V$9*$O$12</f>
        <v>12.400998269314373</v>
      </c>
      <c r="L7" s="276">
        <f t="shared" si="2"/>
        <v>15.351244321729938</v>
      </c>
      <c r="M7" s="276">
        <f t="shared" si="2"/>
        <v>11.849533291108729</v>
      </c>
      <c r="P7" s="284"/>
      <c r="Q7" s="285" t="s">
        <v>183</v>
      </c>
      <c r="R7" s="286">
        <f>'BS, CF and P&amp;L'!AA37</f>
        <v>260.72499999999997</v>
      </c>
      <c r="S7" s="286">
        <f>'BS, CF and P&amp;L'!AD37</f>
        <v>268.60199999999998</v>
      </c>
      <c r="T7" s="286">
        <f>'BS, CF and P&amp;L'!AG37</f>
        <v>274.59100000000001</v>
      </c>
      <c r="U7" s="286">
        <f>'BS, CF and P&amp;L'!AJ37</f>
        <v>274.62900000000002</v>
      </c>
      <c r="V7" s="286">
        <f>'BS, CF and P&amp;L'!AM37</f>
        <v>277.7</v>
      </c>
      <c r="W7" s="286">
        <f>'BS, CF and P&amp;L'!AP37</f>
        <v>245.73644909575947</v>
      </c>
      <c r="X7" s="286">
        <f>'BS, CF and P&amp;L'!AS37</f>
        <v>294.17227617172705</v>
      </c>
    </row>
    <row r="8" spans="1:24">
      <c r="B8" s="338" t="s">
        <v>58</v>
      </c>
      <c r="C8" s="318">
        <v>0.5</v>
      </c>
      <c r="D8" s="109">
        <f ca="1">+D101</f>
        <v>4.2205956176644852</v>
      </c>
      <c r="E8" s="276">
        <f t="shared" ca="1" si="0"/>
        <v>6.4670390784794831</v>
      </c>
      <c r="F8" s="276">
        <f t="shared" ca="1" si="0"/>
        <v>7.3082229303066102</v>
      </c>
      <c r="G8" s="276">
        <f t="shared" ca="1" si="0"/>
        <v>6.1049150364032716</v>
      </c>
      <c r="H8" s="276">
        <f t="shared" ca="1" si="1"/>
        <v>8.595974364209555</v>
      </c>
      <c r="I8" s="276">
        <f t="shared" ca="1" si="1"/>
        <v>10.231954312187128</v>
      </c>
      <c r="J8" s="276">
        <f t="shared" ca="1" si="1"/>
        <v>8.0683943681426786</v>
      </c>
      <c r="K8" s="276">
        <f t="shared" ca="1" si="2"/>
        <v>15.391478603757022</v>
      </c>
      <c r="L8" s="276">
        <f t="shared" ca="1" si="2"/>
        <v>19.053171638900345</v>
      </c>
      <c r="M8" s="276">
        <f t="shared" ca="1" si="2"/>
        <v>14.707028753152958</v>
      </c>
      <c r="P8" s="284"/>
      <c r="Q8" s="285" t="s">
        <v>184</v>
      </c>
      <c r="R8" s="286">
        <f>'BS, CF and P&amp;L'!AA46</f>
        <v>218.67899999999997</v>
      </c>
      <c r="S8" s="286">
        <f>'BS, CF and P&amp;L'!AD46</f>
        <v>221.39399999999998</v>
      </c>
      <c r="T8" s="286">
        <f>'BS, CF and P&amp;L'!AG46</f>
        <v>221.95</v>
      </c>
      <c r="U8" s="286">
        <f>'BS, CF and P&amp;L'!AJ46</f>
        <v>214.58</v>
      </c>
      <c r="V8" s="286">
        <f>'BS, CF and P&amp;L'!AM46</f>
        <v>208.92299999999994</v>
      </c>
      <c r="W8" s="286">
        <f>'BS, CF and P&amp;L'!AP46</f>
        <v>175.51844909575942</v>
      </c>
      <c r="X8" s="286">
        <f>'BS, CF and P&amp;L'!AS46</f>
        <v>222.58415617172699</v>
      </c>
    </row>
    <row r="9" spans="1:24">
      <c r="B9" s="326" t="s">
        <v>339</v>
      </c>
      <c r="C9" s="327">
        <f>SUM(C7:C8)</f>
        <v>1</v>
      </c>
      <c r="D9" s="328">
        <f ca="1">IFERROR((D7*C7)+(D8*C8),"")</f>
        <v>3.8105762647746477</v>
      </c>
      <c r="E9" s="276">
        <f t="shared" ca="1" si="0"/>
        <v>5.6717673006667733</v>
      </c>
      <c r="F9" s="276">
        <f t="shared" ca="1" si="0"/>
        <v>6.4095081750831024</v>
      </c>
      <c r="G9" s="276">
        <f t="shared" ca="1" si="0"/>
        <v>5.3541747709621221</v>
      </c>
      <c r="H9" s="276">
        <f t="shared" ca="1" si="1"/>
        <v>7.5389008361700878</v>
      </c>
      <c r="I9" s="276">
        <f t="shared" ca="1" si="1"/>
        <v>8.9736992749739173</v>
      </c>
      <c r="J9" s="276">
        <f t="shared" ca="1" si="1"/>
        <v>7.0761989823749563</v>
      </c>
      <c r="K9" s="276">
        <f t="shared" ca="1" si="2"/>
        <v>13.896238436535699</v>
      </c>
      <c r="L9" s="276">
        <f t="shared" ca="1" si="2"/>
        <v>17.202207980315141</v>
      </c>
      <c r="M9" s="276">
        <f t="shared" ca="1" si="2"/>
        <v>13.278281022130846</v>
      </c>
      <c r="P9" s="284"/>
      <c r="Q9" s="285" t="s">
        <v>5</v>
      </c>
      <c r="R9" s="287">
        <f>'BS, CF and P&amp;L'!AA281/100</f>
        <v>0.2014370494125953</v>
      </c>
      <c r="S9" s="287">
        <f>'BS, CF and P&amp;L'!AD281/100</f>
        <v>0.2048877337339336</v>
      </c>
      <c r="T9" s="287">
        <f>'BS, CF and P&amp;L'!AG281/100</f>
        <v>0.19733856636512528</v>
      </c>
      <c r="U9" s="287">
        <f>'BS, CF and P&amp;L'!AJ281/100</f>
        <v>0.18627458128637875</v>
      </c>
      <c r="V9" s="287">
        <f>'BS, CF and P&amp;L'!AM281/100</f>
        <v>0.18920930543200903</v>
      </c>
      <c r="W9" s="287">
        <f>'BS, CF and P&amp;L'!AP281/100</f>
        <v>0.15284651980160155</v>
      </c>
      <c r="X9" s="287">
        <f>'BS, CF and P&amp;L'!AS281/100</f>
        <v>0.19801491008604724</v>
      </c>
    </row>
    <row r="10" spans="1:24">
      <c r="B10" s="336" t="s">
        <v>299</v>
      </c>
      <c r="C10" s="329"/>
      <c r="D10" s="339"/>
      <c r="E10" s="278"/>
      <c r="F10" s="319"/>
      <c r="G10" s="319"/>
      <c r="H10" s="278"/>
      <c r="I10" s="282"/>
      <c r="J10" s="282"/>
      <c r="L10" s="282"/>
      <c r="M10" s="282"/>
      <c r="P10" s="284"/>
      <c r="Q10" s="288"/>
      <c r="R10" s="284"/>
      <c r="S10" s="289"/>
      <c r="T10" s="289"/>
    </row>
    <row r="11" spans="1:24">
      <c r="B11" s="337" t="s">
        <v>340</v>
      </c>
      <c r="C11" s="277"/>
      <c r="D11" s="331">
        <f ca="1">D9*(1+D10)</f>
        <v>3.8105762647746477</v>
      </c>
      <c r="E11" s="278"/>
      <c r="F11" s="319"/>
      <c r="G11" s="319"/>
      <c r="H11" s="278"/>
      <c r="I11" s="282"/>
      <c r="J11" s="282"/>
      <c r="L11" s="282"/>
      <c r="M11" s="282"/>
      <c r="P11" s="284"/>
      <c r="Q11" s="284"/>
      <c r="R11" s="284"/>
      <c r="S11" s="284"/>
      <c r="T11" s="284"/>
    </row>
    <row r="12" spans="1:24">
      <c r="B12" s="330" t="s">
        <v>468</v>
      </c>
      <c r="C12" s="277"/>
      <c r="D12" s="332">
        <f ca="1">ROUND(D11,1)</f>
        <v>3.8</v>
      </c>
      <c r="E12" s="276">
        <f ca="1">(($D12*$C$48*$O$12)-$C$94-$C$95)/V$7</f>
        <v>5.6512536228838322</v>
      </c>
      <c r="F12" s="276">
        <f ca="1">(($D12*$C$48*$O$12)-$C$94-$C$95)/W$7</f>
        <v>6.3863262322281251</v>
      </c>
      <c r="G12" s="276">
        <f ca="1">(($D12*$C$48*$O$12)-$C$94-$C$95)/X$7</f>
        <v>5.3348097635098322</v>
      </c>
      <c r="H12" s="276">
        <f ca="1">(($D12*$C$48*$O$12)-$C$94-$C$95)/V$8</f>
        <v>7.5116341000025875</v>
      </c>
      <c r="I12" s="276">
        <f ca="1">(($D12*$C$48*$O$12)-$C$94-$C$95)/W$8</f>
        <v>8.941243152271884</v>
      </c>
      <c r="J12" s="276">
        <f ca="1">(($D12*$C$48*$O$12)-$C$94-$C$95)/X$8</f>
        <v>7.0506057487041476</v>
      </c>
      <c r="K12" s="276">
        <f ca="1">+$D12/V$9*$O$12</f>
        <v>13.857669389004739</v>
      </c>
      <c r="L12" s="276">
        <f ca="1">+$D12/W$9*$O$12</f>
        <v>17.154463205334466</v>
      </c>
      <c r="M12" s="276">
        <f ca="1">+$D12/X$9*$O$12</f>
        <v>13.241427117082301</v>
      </c>
      <c r="N12" s="452" t="s">
        <v>500</v>
      </c>
      <c r="O12" s="453">
        <v>0.69</v>
      </c>
    </row>
    <row r="13" spans="1:24">
      <c r="B13" s="333" t="s">
        <v>341</v>
      </c>
      <c r="C13" s="334"/>
      <c r="D13" s="335">
        <f ca="1">D12/'Fin Sum'!AC7-1</f>
        <v>3.82513661202184E-2</v>
      </c>
      <c r="E13" s="96"/>
      <c r="F13" s="10"/>
    </row>
    <row r="14" spans="1:24">
      <c r="B14" s="312"/>
      <c r="C14" s="313"/>
      <c r="D14" s="292"/>
      <c r="E14" s="96"/>
      <c r="F14" s="10"/>
    </row>
    <row r="15" spans="1:24">
      <c r="B15" s="502" t="s">
        <v>461</v>
      </c>
      <c r="C15" s="503" t="s">
        <v>383</v>
      </c>
      <c r="D15" s="504" t="s">
        <v>456</v>
      </c>
      <c r="E15" s="505" t="s">
        <v>457</v>
      </c>
      <c r="F15" s="10"/>
    </row>
    <row r="16" spans="1:24">
      <c r="B16" s="494" t="s">
        <v>448</v>
      </c>
      <c r="C16" s="495">
        <f>D7</f>
        <v>3.4005569118848098</v>
      </c>
      <c r="D16" s="495">
        <v>3.6580088233101979</v>
      </c>
      <c r="E16" s="496">
        <f>+C16/D16-1</f>
        <v>-7.038034183646813E-2</v>
      </c>
      <c r="F16" s="10"/>
    </row>
    <row r="17" spans="1:11">
      <c r="B17" s="506" t="s">
        <v>58</v>
      </c>
      <c r="C17" s="507">
        <f ca="1">D8</f>
        <v>4.2205956176644852</v>
      </c>
      <c r="D17" s="507">
        <v>4.7341798735273057</v>
      </c>
      <c r="E17" s="508">
        <f ca="1">+C17/D17-1</f>
        <v>-0.10848431398534153</v>
      </c>
      <c r="F17" s="10"/>
    </row>
    <row r="18" spans="1:11">
      <c r="B18" s="499" t="s">
        <v>339</v>
      </c>
      <c r="C18" s="497">
        <f ca="1">+AVERAGE(C16:C17)</f>
        <v>3.8105762647746477</v>
      </c>
      <c r="D18" s="497">
        <v>4.1960943484187521</v>
      </c>
      <c r="E18" s="498">
        <f ca="1">+C18/D18-1</f>
        <v>-9.1875456468080152E-2</v>
      </c>
      <c r="F18" s="10"/>
    </row>
    <row r="19" spans="1:11">
      <c r="B19" s="506" t="s">
        <v>455</v>
      </c>
      <c r="C19" s="509">
        <f>D10</f>
        <v>0</v>
      </c>
      <c r="D19" s="509">
        <v>0</v>
      </c>
      <c r="E19" s="508"/>
      <c r="F19" s="10"/>
    </row>
    <row r="20" spans="1:11">
      <c r="B20" s="500" t="s">
        <v>340</v>
      </c>
      <c r="C20" s="497">
        <f ca="1">+C18*(1+C19)</f>
        <v>3.8105762647746477</v>
      </c>
      <c r="D20" s="497">
        <v>4.1960943484187521</v>
      </c>
      <c r="E20" s="498">
        <f ca="1">+C20/D20-1</f>
        <v>-9.1875456468080152E-2</v>
      </c>
      <c r="F20" s="10"/>
    </row>
    <row r="21" spans="1:11">
      <c r="B21" s="510" t="s">
        <v>524</v>
      </c>
      <c r="C21" s="511">
        <f ca="1">D12</f>
        <v>3.8</v>
      </c>
      <c r="D21" s="511">
        <v>4.2</v>
      </c>
      <c r="E21" s="512">
        <f ca="1">+C21/D21-1</f>
        <v>-9.5238095238095344E-2</v>
      </c>
      <c r="G21" s="418"/>
    </row>
    <row r="22" spans="1:11">
      <c r="B22" s="500" t="s">
        <v>466</v>
      </c>
      <c r="C22" s="501">
        <v>6</v>
      </c>
      <c r="D22" s="501">
        <v>6.7</v>
      </c>
      <c r="E22" s="498">
        <f>+C22/D22-1</f>
        <v>-0.10447761194029848</v>
      </c>
      <c r="G22" s="418"/>
    </row>
    <row r="23" spans="1:11">
      <c r="B23" s="513" t="s">
        <v>467</v>
      </c>
      <c r="C23" s="514">
        <v>3.3</v>
      </c>
      <c r="D23" s="514">
        <v>3.5</v>
      </c>
      <c r="E23" s="515">
        <f>+C23/D23-1</f>
        <v>-5.7142857142857162E-2</v>
      </c>
      <c r="G23" s="418"/>
    </row>
    <row r="24" spans="1:11">
      <c r="C24" s="279"/>
      <c r="D24" s="280"/>
      <c r="E24" s="271"/>
      <c r="F24" s="401"/>
      <c r="I24" s="543"/>
    </row>
    <row r="25" spans="1:11">
      <c r="A25" s="653" t="s">
        <v>448</v>
      </c>
      <c r="B25" s="653"/>
      <c r="C25" s="317"/>
      <c r="D25" s="317"/>
      <c r="E25" s="317"/>
      <c r="F25" s="317"/>
      <c r="G25" s="317"/>
      <c r="H25" s="317"/>
      <c r="I25" s="543"/>
      <c r="J25" s="89"/>
    </row>
    <row r="26" spans="1:11" outlineLevel="1">
      <c r="B26" s="340" t="s">
        <v>380</v>
      </c>
      <c r="C26" s="374" t="s">
        <v>470</v>
      </c>
      <c r="D26" s="374" t="s">
        <v>512</v>
      </c>
      <c r="E26" s="374" t="s">
        <v>515</v>
      </c>
      <c r="F26" s="374" t="s">
        <v>520</v>
      </c>
      <c r="H26" s="316"/>
      <c r="I26" s="273"/>
      <c r="J26" s="273"/>
      <c r="K26" s="274"/>
    </row>
    <row r="27" spans="1:11" outlineLevel="1">
      <c r="B27" s="320" t="s">
        <v>453</v>
      </c>
      <c r="C27" s="382">
        <v>27.1</v>
      </c>
      <c r="D27" s="382">
        <v>24.2</v>
      </c>
      <c r="E27" s="382">
        <v>23</v>
      </c>
      <c r="F27" s="382">
        <v>20.6</v>
      </c>
      <c r="I27" s="273"/>
      <c r="J27" s="273"/>
      <c r="K27" s="274"/>
    </row>
    <row r="28" spans="1:11" outlineLevel="1">
      <c r="B28" s="320"/>
      <c r="C28" s="282"/>
      <c r="D28" s="282"/>
      <c r="E28" s="282"/>
      <c r="F28" s="282"/>
    </row>
    <row r="29" spans="1:11" outlineLevel="1">
      <c r="B29" s="387" t="s">
        <v>165</v>
      </c>
      <c r="C29" s="388" t="str">
        <f>C26</f>
        <v>FY24E</v>
      </c>
      <c r="D29" s="388" t="str">
        <f>D26</f>
        <v>FY25E</v>
      </c>
      <c r="E29" s="388" t="str">
        <f>E26</f>
        <v>FY26E</v>
      </c>
      <c r="F29" s="388" t="str">
        <f>F26</f>
        <v>FY27E</v>
      </c>
    </row>
    <row r="30" spans="1:11" outlineLevel="1">
      <c r="B30" s="320" t="s">
        <v>503</v>
      </c>
      <c r="C30" s="383">
        <f>'BS, CF and P&amp;L'!AJ281/100</f>
        <v>0.18627458128637875</v>
      </c>
      <c r="D30" s="383">
        <f>'BS, CF and P&amp;L'!AM281/100</f>
        <v>0.18920930543200903</v>
      </c>
      <c r="E30" s="383">
        <f>'BS, CF and P&amp;L'!AP281/100</f>
        <v>0.15284651980160155</v>
      </c>
      <c r="F30" s="383">
        <f>'BS, CF and P&amp;L'!AS281/100</f>
        <v>0.19801491008604724</v>
      </c>
    </row>
    <row r="31" spans="1:11" outlineLevel="1">
      <c r="B31" s="320" t="s">
        <v>454</v>
      </c>
      <c r="C31" s="384">
        <f>C27</f>
        <v>27.1</v>
      </c>
      <c r="D31" s="384">
        <f>D27</f>
        <v>24.2</v>
      </c>
      <c r="E31" s="384">
        <f>E27</f>
        <v>23</v>
      </c>
      <c r="F31" s="384">
        <f>F27</f>
        <v>20.6</v>
      </c>
      <c r="I31" s="14"/>
      <c r="J31" s="14"/>
      <c r="K31" s="14"/>
    </row>
    <row r="32" spans="1:11" outlineLevel="1">
      <c r="B32" s="320" t="s">
        <v>381</v>
      </c>
      <c r="C32" s="385">
        <v>-0.4</v>
      </c>
      <c r="D32" s="385">
        <v>-0.4</v>
      </c>
      <c r="E32" s="385">
        <v>-0.4</v>
      </c>
      <c r="F32" s="385">
        <f>E32</f>
        <v>-0.4</v>
      </c>
      <c r="I32" s="28"/>
      <c r="J32" s="28"/>
      <c r="K32" s="28"/>
    </row>
    <row r="33" spans="1:13" outlineLevel="1">
      <c r="B33" s="320" t="s">
        <v>382</v>
      </c>
      <c r="C33" s="384">
        <f>(1+C32)*C31</f>
        <v>16.260000000000002</v>
      </c>
      <c r="D33" s="384">
        <f>(1+D32)*D31</f>
        <v>14.52</v>
      </c>
      <c r="E33" s="384">
        <f>(1+E32)*E31</f>
        <v>13.799999999999999</v>
      </c>
      <c r="F33" s="384">
        <f>(1+F32)*F31</f>
        <v>12.360000000000001</v>
      </c>
      <c r="K33" s="275"/>
    </row>
    <row r="34" spans="1:13" outlineLevel="1">
      <c r="B34" s="352" t="s">
        <v>501</v>
      </c>
      <c r="C34" s="454">
        <f>(C30)*C33</f>
        <v>3.0288246917165189</v>
      </c>
      <c r="D34" s="454">
        <f>(D30)*D33</f>
        <v>2.7473191148727709</v>
      </c>
      <c r="E34" s="454">
        <f>(E30)*E33</f>
        <v>2.1092819732621013</v>
      </c>
      <c r="F34" s="454">
        <f>(F30)*F33</f>
        <v>2.4474642886635443</v>
      </c>
    </row>
    <row r="35" spans="1:13" outlineLevel="1">
      <c r="B35" s="320" t="s">
        <v>499</v>
      </c>
      <c r="C35" s="10">
        <v>0.67</v>
      </c>
      <c r="D35" s="10">
        <v>0.67</v>
      </c>
      <c r="E35" s="10">
        <v>0.67</v>
      </c>
      <c r="F35" s="10">
        <f>E35</f>
        <v>0.67</v>
      </c>
    </row>
    <row r="36" spans="1:13" outlineLevel="1">
      <c r="B36" s="352" t="s">
        <v>502</v>
      </c>
      <c r="C36" s="386">
        <f>C34/C35</f>
        <v>4.5206338682336105</v>
      </c>
      <c r="D36" s="386">
        <f>D34/D35</f>
        <v>4.100476290854882</v>
      </c>
      <c r="E36" s="386">
        <f>E34/E35</f>
        <v>3.1481820496449271</v>
      </c>
      <c r="F36" s="386">
        <f>F34/F35</f>
        <v>3.6529317741246925</v>
      </c>
    </row>
    <row r="37" spans="1:13" outlineLevel="1">
      <c r="B37" s="377" t="s">
        <v>505</v>
      </c>
      <c r="C37" s="381">
        <f>C36</f>
        <v>4.5206338682336105</v>
      </c>
      <c r="D37" s="381">
        <f>D36</f>
        <v>4.100476290854882</v>
      </c>
      <c r="E37" s="381">
        <f>E36</f>
        <v>3.1481820496449271</v>
      </c>
      <c r="F37" s="381">
        <f>F36</f>
        <v>3.6529317741246925</v>
      </c>
    </row>
    <row r="38" spans="1:13">
      <c r="C38" s="315"/>
    </row>
    <row r="39" spans="1:13">
      <c r="A39" s="652">
        <f ca="1">+D101</f>
        <v>4.2205956176644852</v>
      </c>
      <c r="B39" s="652"/>
      <c r="C39" s="317"/>
      <c r="D39" s="317"/>
      <c r="E39" s="317"/>
      <c r="F39" s="317"/>
      <c r="G39" s="317"/>
      <c r="H39" s="317"/>
      <c r="I39" s="317"/>
      <c r="J39" s="89"/>
    </row>
    <row r="40" spans="1:13" outlineLevel="1">
      <c r="B40" s="340" t="s">
        <v>342</v>
      </c>
      <c r="C40" s="341"/>
    </row>
    <row r="41" spans="1:13" outlineLevel="1">
      <c r="B41" s="342" t="s">
        <v>343</v>
      </c>
      <c r="C41" s="343">
        <f ca="1">TODAY()</f>
        <v>46071</v>
      </c>
    </row>
    <row r="42" spans="1:13" outlineLevel="1">
      <c r="B42" s="342" t="s">
        <v>344</v>
      </c>
      <c r="C42" s="343">
        <v>45838</v>
      </c>
    </row>
    <row r="43" spans="1:13" outlineLevel="1">
      <c r="B43" s="342" t="s">
        <v>345</v>
      </c>
      <c r="C43" s="344">
        <f>C42+365</f>
        <v>46203</v>
      </c>
    </row>
    <row r="44" spans="1:13" outlineLevel="1">
      <c r="B44" s="345" t="s">
        <v>446</v>
      </c>
      <c r="C44" s="346">
        <f ca="1">(C43-C41)/365</f>
        <v>0.36164383561643837</v>
      </c>
    </row>
    <row r="45" spans="1:13" outlineLevel="1"/>
    <row r="46" spans="1:13" outlineLevel="1">
      <c r="B46" s="340" t="s">
        <v>346</v>
      </c>
      <c r="C46" s="341"/>
      <c r="M46" s="272"/>
    </row>
    <row r="47" spans="1:13" outlineLevel="1">
      <c r="B47" s="347" t="s">
        <v>347</v>
      </c>
      <c r="C47" s="348">
        <f>'Fin Sum'!AC7</f>
        <v>3.66</v>
      </c>
      <c r="K47" s="14"/>
      <c r="M47" s="272"/>
    </row>
    <row r="48" spans="1:13" outlineLevel="1">
      <c r="B48" s="347" t="s">
        <v>23</v>
      </c>
      <c r="C48" s="349">
        <f>'BS, CF and P&amp;L'!AM268</f>
        <v>780.61699799999997</v>
      </c>
      <c r="K48" s="14"/>
      <c r="M48" s="272"/>
    </row>
    <row r="49" spans="2:13" outlineLevel="1">
      <c r="B49" s="347" t="s">
        <v>348</v>
      </c>
      <c r="C49" s="350">
        <f>C48*C47</f>
        <v>2857.05821268</v>
      </c>
      <c r="K49" s="14"/>
      <c r="M49" s="272"/>
    </row>
    <row r="50" spans="2:13" outlineLevel="1">
      <c r="B50" s="347" t="s">
        <v>511</v>
      </c>
      <c r="C50" s="350">
        <f>+C49*O12</f>
        <v>1971.3701667491998</v>
      </c>
      <c r="K50" s="14"/>
      <c r="M50" s="272"/>
    </row>
    <row r="51" spans="2:13" outlineLevel="1">
      <c r="B51" s="347" t="s">
        <v>167</v>
      </c>
      <c r="C51" s="351">
        <f>'BS, CF and P&amp;L'!AM148</f>
        <v>329.423</v>
      </c>
      <c r="K51" s="14"/>
      <c r="M51" s="272"/>
    </row>
    <row r="52" spans="2:13" outlineLevel="1">
      <c r="B52" s="347" t="s">
        <v>460</v>
      </c>
      <c r="C52" s="351">
        <f>+'BS, CF and P&amp;L'!AM214+'BS, CF and P&amp;L'!AM213</f>
        <v>233.49299999999999</v>
      </c>
      <c r="K52" s="14"/>
      <c r="M52" s="272"/>
    </row>
    <row r="53" spans="2:13" outlineLevel="1">
      <c r="B53" s="352" t="s">
        <v>510</v>
      </c>
      <c r="C53" s="353">
        <f>C50+C51</f>
        <v>2300.7931667491998</v>
      </c>
      <c r="K53" s="14"/>
      <c r="M53" s="272"/>
    </row>
    <row r="54" spans="2:13" outlineLevel="1">
      <c r="B54" s="347" t="s">
        <v>349</v>
      </c>
      <c r="C54" s="354">
        <v>2.2499999999999999E-2</v>
      </c>
      <c r="K54" s="14"/>
      <c r="M54" s="272"/>
    </row>
    <row r="55" spans="2:13" outlineLevel="1">
      <c r="B55" s="347" t="s">
        <v>350</v>
      </c>
      <c r="C55" s="355">
        <v>0.45</v>
      </c>
    </row>
    <row r="56" spans="2:13" outlineLevel="1">
      <c r="B56" s="356" t="s">
        <v>351</v>
      </c>
      <c r="C56" s="296">
        <f>(1-C55)</f>
        <v>0.55000000000000004</v>
      </c>
    </row>
    <row r="57" spans="2:13" outlineLevel="1">
      <c r="B57" s="347" t="s">
        <v>352</v>
      </c>
      <c r="C57" s="357">
        <f>C55/C56</f>
        <v>0.81818181818181812</v>
      </c>
    </row>
    <row r="58" spans="2:13" outlineLevel="1">
      <c r="B58" s="347" t="s">
        <v>353</v>
      </c>
      <c r="C58" s="358">
        <v>1</v>
      </c>
    </row>
    <row r="59" spans="2:13" outlineLevel="1">
      <c r="B59" s="352" t="s">
        <v>137</v>
      </c>
      <c r="C59" s="359">
        <f>C62+C63</f>
        <v>6.5000000000000002E-2</v>
      </c>
    </row>
    <row r="60" spans="2:13" outlineLevel="1">
      <c r="B60" s="352" t="s">
        <v>136</v>
      </c>
      <c r="C60" s="359">
        <f>C58*C64+C62</f>
        <v>0.10250000000000001</v>
      </c>
    </row>
    <row r="61" spans="2:13" outlineLevel="1">
      <c r="B61" s="347" t="s">
        <v>447</v>
      </c>
      <c r="C61" s="299">
        <f>C60*C56</f>
        <v>5.6375000000000008E-2</v>
      </c>
    </row>
    <row r="62" spans="2:13" outlineLevel="1">
      <c r="B62" s="347" t="s">
        <v>354</v>
      </c>
      <c r="C62" s="354">
        <v>0.05</v>
      </c>
    </row>
    <row r="63" spans="2:13" outlineLevel="1">
      <c r="B63" s="347" t="s">
        <v>355</v>
      </c>
      <c r="C63" s="354">
        <v>1.4999999999999999E-2</v>
      </c>
    </row>
    <row r="64" spans="2:13" outlineLevel="1">
      <c r="B64" s="347" t="s">
        <v>356</v>
      </c>
      <c r="C64" s="354">
        <v>5.2499999999999998E-2</v>
      </c>
    </row>
    <row r="65" spans="2:14" outlineLevel="1">
      <c r="B65" s="347" t="s">
        <v>161</v>
      </c>
      <c r="C65" s="360">
        <v>0.23</v>
      </c>
    </row>
    <row r="66" spans="2:14" outlineLevel="1">
      <c r="B66" s="361" t="s">
        <v>26</v>
      </c>
      <c r="C66" s="362">
        <f>((1-C65)*C59)*C55+C61</f>
        <v>7.8897500000000009E-2</v>
      </c>
      <c r="E66" s="49"/>
      <c r="F66" s="49"/>
      <c r="G66" s="49"/>
      <c r="H66" s="49"/>
      <c r="I66" s="49"/>
      <c r="J66" s="49"/>
      <c r="K66" s="49"/>
      <c r="L66" s="49"/>
      <c r="M66" s="49"/>
      <c r="N66" s="295"/>
    </row>
    <row r="67" spans="2:14" outlineLevel="1">
      <c r="G67" s="493"/>
      <c r="H67" s="493"/>
      <c r="I67" s="493"/>
      <c r="J67" s="493"/>
      <c r="K67" s="493"/>
      <c r="L67" s="493"/>
      <c r="M67" s="493"/>
    </row>
    <row r="68" spans="2:14" outlineLevel="1">
      <c r="B68" s="340" t="s">
        <v>357</v>
      </c>
      <c r="C68" s="373"/>
      <c r="D68" s="373"/>
      <c r="E68" s="373"/>
      <c r="F68" s="373"/>
      <c r="G68" s="373"/>
      <c r="H68" s="373"/>
      <c r="I68" s="373" t="s">
        <v>485</v>
      </c>
      <c r="J68" s="373" t="s">
        <v>486</v>
      </c>
      <c r="K68" s="373" t="s">
        <v>487</v>
      </c>
      <c r="L68" s="373" t="s">
        <v>488</v>
      </c>
      <c r="M68" s="373" t="s">
        <v>489</v>
      </c>
      <c r="N68" s="374" t="s">
        <v>358</v>
      </c>
    </row>
    <row r="69" spans="2:14" outlineLevel="1">
      <c r="B69" s="366" t="s">
        <v>184</v>
      </c>
      <c r="C69" s="49"/>
      <c r="D69" s="49"/>
      <c r="E69" s="49"/>
      <c r="F69" s="49"/>
      <c r="G69" s="49"/>
      <c r="H69" s="49"/>
      <c r="I69" s="49">
        <f>'BS, CF and P&amp;L'!AP53</f>
        <v>175.51844909575942</v>
      </c>
      <c r="J69" s="49">
        <f>'BS, CF and P&amp;L'!AS53</f>
        <v>222.58415617172699</v>
      </c>
      <c r="K69" s="49">
        <f>'BS, CF and P&amp;L'!AV53</f>
        <v>245.96846055572362</v>
      </c>
      <c r="L69" s="49">
        <f>'BS, CF and P&amp;L'!AY53</f>
        <v>260.44565635737433</v>
      </c>
      <c r="M69" s="49">
        <f>'BS, CF and P&amp;L'!BB53</f>
        <v>274.86762829548144</v>
      </c>
      <c r="N69" s="295">
        <f>M69</f>
        <v>274.86762829548144</v>
      </c>
    </row>
    <row r="70" spans="2:14" outlineLevel="1">
      <c r="B70" s="366" t="s">
        <v>359</v>
      </c>
      <c r="C70" s="49"/>
      <c r="D70" s="49"/>
      <c r="E70" s="49"/>
      <c r="F70" s="49"/>
      <c r="G70" s="49"/>
      <c r="H70" s="49"/>
      <c r="I70" s="49">
        <f>'BS, CF and P&amp;L'!AP63</f>
        <v>0</v>
      </c>
      <c r="J70" s="49">
        <f>'BS, CF and P&amp;L'!AS63</f>
        <v>0</v>
      </c>
      <c r="K70" s="49">
        <f>'BS, CF and P&amp;L'!AV63</f>
        <v>0</v>
      </c>
      <c r="L70" s="49">
        <f>'BS, CF and P&amp;L'!AY63</f>
        <v>0</v>
      </c>
      <c r="M70" s="49">
        <f>'BS, CF and P&amp;L'!BB63</f>
        <v>0</v>
      </c>
      <c r="N70" s="295">
        <f>M70</f>
        <v>0</v>
      </c>
    </row>
    <row r="71" spans="2:14" outlineLevel="1">
      <c r="B71" s="366" t="s">
        <v>360</v>
      </c>
      <c r="C71" s="32"/>
      <c r="D71" s="32"/>
      <c r="E71" s="32"/>
      <c r="F71" s="32"/>
      <c r="G71" s="32"/>
      <c r="H71" s="32"/>
      <c r="I71" s="32">
        <v>0.3</v>
      </c>
      <c r="J71" s="32">
        <f>I71</f>
        <v>0.3</v>
      </c>
      <c r="K71" s="32">
        <f>J71</f>
        <v>0.3</v>
      </c>
      <c r="L71" s="32">
        <f>K71</f>
        <v>0.3</v>
      </c>
      <c r="M71" s="32">
        <f>L71</f>
        <v>0.3</v>
      </c>
      <c r="N71" s="296">
        <f>I71</f>
        <v>0.3</v>
      </c>
    </row>
    <row r="72" spans="2:14" outlineLevel="1">
      <c r="B72" s="366" t="s">
        <v>306</v>
      </c>
      <c r="C72" s="49"/>
      <c r="D72" s="49"/>
      <c r="E72" s="49"/>
      <c r="F72" s="49"/>
      <c r="G72" s="49"/>
      <c r="H72" s="49"/>
      <c r="I72" s="49">
        <f t="shared" ref="I72:M72" si="3">-(I69+I70)*I71</f>
        <v>-52.655534728727822</v>
      </c>
      <c r="J72" s="49">
        <f t="shared" si="3"/>
        <v>-66.775246851518091</v>
      </c>
      <c r="K72" s="49">
        <f t="shared" si="3"/>
        <v>-73.790538166717084</v>
      </c>
      <c r="L72" s="49">
        <f t="shared" si="3"/>
        <v>-78.133696907212297</v>
      </c>
      <c r="M72" s="49">
        <f t="shared" si="3"/>
        <v>-82.460288488644423</v>
      </c>
      <c r="N72" s="295">
        <f>-(N69+N70)*N71</f>
        <v>-82.460288488644423</v>
      </c>
    </row>
    <row r="73" spans="2:14" outlineLevel="1">
      <c r="B73" s="366" t="s">
        <v>61</v>
      </c>
      <c r="C73" s="49"/>
      <c r="D73" s="49"/>
      <c r="E73" s="49"/>
      <c r="F73" s="49"/>
      <c r="G73" s="49"/>
      <c r="H73" s="49"/>
      <c r="I73" s="49">
        <f>'BS, CF and P&amp;L'!AP31</f>
        <v>70.218000000000018</v>
      </c>
      <c r="J73" s="49">
        <f>'BS, CF and P&amp;L'!AS31</f>
        <v>71.588120000000018</v>
      </c>
      <c r="K73" s="49">
        <f>'BS, CF and P&amp;L'!AV31</f>
        <v>73.076157200000026</v>
      </c>
      <c r="L73" s="49">
        <f>'BS, CF and P&amp;L'!AY31</f>
        <v>74.503440344000026</v>
      </c>
      <c r="M73" s="49">
        <f>'BS, CF and P&amp;L'!BB31</f>
        <v>75.959269150880019</v>
      </c>
      <c r="N73" s="295">
        <f>M73</f>
        <v>75.959269150880019</v>
      </c>
    </row>
    <row r="74" spans="2:14" outlineLevel="1">
      <c r="B74" s="366" t="s">
        <v>361</v>
      </c>
      <c r="C74" s="49"/>
      <c r="D74" s="49"/>
      <c r="E74" s="49"/>
      <c r="F74" s="49"/>
      <c r="G74" s="49"/>
      <c r="H74" s="49"/>
      <c r="I74" s="49">
        <f>'BS, CF and P&amp;L'!AP120</f>
        <v>-20.632662322711383</v>
      </c>
      <c r="J74" s="49">
        <f>'BS, CF and P&amp;L'!AS120</f>
        <v>-20.517093931963871</v>
      </c>
      <c r="K74" s="49">
        <f>'BS, CF and P&amp;L'!AV120</f>
        <v>-21.110178249451053</v>
      </c>
      <c r="L74" s="49">
        <f>'BS, CF and P&amp;L'!AY120</f>
        <v>-16.86334547803034</v>
      </c>
      <c r="M74" s="49">
        <f>'BS, CF and P&amp;L'!BB120</f>
        <v>-16.624434126098436</v>
      </c>
      <c r="N74" s="295">
        <f>M74</f>
        <v>-16.624434126098436</v>
      </c>
    </row>
    <row r="75" spans="2:14" outlineLevel="1">
      <c r="B75" s="366" t="s">
        <v>362</v>
      </c>
      <c r="C75" s="49"/>
      <c r="D75" s="49"/>
      <c r="E75" s="49"/>
      <c r="F75" s="49"/>
      <c r="G75" s="49"/>
      <c r="H75" s="49"/>
      <c r="I75" s="49">
        <f>SUM('BS, CF and P&amp;L'!AP126:AP127)</f>
        <v>-27.038287026471941</v>
      </c>
      <c r="J75" s="49">
        <f>SUM('BS, CF and P&amp;L'!AS126:AS127)</f>
        <v>-59.952872000000013</v>
      </c>
      <c r="K75" s="49">
        <f>SUM('BS, CF and P&amp;L'!AV126:AV127)</f>
        <v>-65.349502180000002</v>
      </c>
      <c r="L75" s="49">
        <f>SUM('BS, CF and P&amp;L'!AY126:AY127)</f>
        <v>-85.795596309600029</v>
      </c>
      <c r="M75" s="49">
        <f>SUM('BS, CF and P&amp;L'!BB126:BB127)</f>
        <v>-88.04296723579202</v>
      </c>
      <c r="N75" s="295">
        <f>M75</f>
        <v>-88.04296723579202</v>
      </c>
    </row>
    <row r="76" spans="2:14" outlineLevel="1">
      <c r="B76" s="367" t="s">
        <v>217</v>
      </c>
      <c r="C76" s="49"/>
      <c r="D76" s="49"/>
      <c r="E76" s="49"/>
      <c r="F76" s="49"/>
      <c r="G76" s="49"/>
      <c r="H76" s="49"/>
      <c r="I76" s="49">
        <f>'BS, CF and P&amp;L'!AP121</f>
        <v>3.0740000000000691</v>
      </c>
      <c r="J76" s="49">
        <f>'BS, CF and P&amp;L'!AS121</f>
        <v>0</v>
      </c>
      <c r="K76" s="49">
        <f>'BS, CF and P&amp;L'!AV121</f>
        <v>0</v>
      </c>
      <c r="L76" s="49">
        <f>'BS, CF and P&amp;L'!AY121</f>
        <v>0</v>
      </c>
      <c r="M76" s="49">
        <f>'BS, CF and P&amp;L'!BB121</f>
        <v>0</v>
      </c>
      <c r="N76" s="295">
        <f>M76</f>
        <v>0</v>
      </c>
    </row>
    <row r="77" spans="2:14" outlineLevel="1">
      <c r="B77" s="366" t="s">
        <v>363</v>
      </c>
      <c r="C77" s="49"/>
      <c r="D77" s="49"/>
      <c r="E77" s="49"/>
      <c r="F77" s="49"/>
      <c r="G77" s="49"/>
      <c r="H77" s="49"/>
      <c r="I77" s="49"/>
      <c r="J77" s="49"/>
      <c r="K77" s="49"/>
      <c r="L77" s="49"/>
      <c r="M77" s="49"/>
      <c r="N77" s="49"/>
    </row>
    <row r="78" spans="2:14" outlineLevel="1">
      <c r="B78" s="368" t="s">
        <v>364</v>
      </c>
      <c r="C78" s="293"/>
      <c r="D78" s="293"/>
      <c r="E78" s="293"/>
      <c r="F78" s="293"/>
      <c r="G78" s="293"/>
      <c r="H78" s="293"/>
      <c r="I78" s="293">
        <f t="shared" ref="I78:N78" si="4">SUM(I69:I77)-I71</f>
        <v>148.48396501784836</v>
      </c>
      <c r="J78" s="293">
        <f t="shared" si="4"/>
        <v>146.92706338824502</v>
      </c>
      <c r="K78" s="293">
        <f t="shared" si="4"/>
        <v>158.7943991595555</v>
      </c>
      <c r="L78" s="293">
        <f t="shared" si="4"/>
        <v>154.15645800653166</v>
      </c>
      <c r="M78" s="293">
        <f t="shared" si="4"/>
        <v>163.69920759582655</v>
      </c>
      <c r="N78" s="297">
        <f t="shared" si="4"/>
        <v>163.69920759582655</v>
      </c>
    </row>
    <row r="79" spans="2:14" outlineLevel="1">
      <c r="B79" s="366" t="s">
        <v>365</v>
      </c>
      <c r="C79" s="30"/>
      <c r="D79" s="30"/>
      <c r="E79" s="30"/>
      <c r="F79" s="30"/>
      <c r="G79" s="30"/>
      <c r="H79" s="30"/>
      <c r="I79" s="30">
        <f ca="1">C44</f>
        <v>0.36164383561643837</v>
      </c>
      <c r="J79" s="30">
        <f ca="1">I79+1</f>
        <v>1.3616438356164384</v>
      </c>
      <c r="K79" s="30">
        <f ca="1">J79+1</f>
        <v>2.3616438356164382</v>
      </c>
      <c r="L79" s="30">
        <f ca="1">K79+1</f>
        <v>3.3616438356164382</v>
      </c>
      <c r="M79" s="30">
        <f ca="1">L79+1</f>
        <v>4.3616438356164382</v>
      </c>
      <c r="N79" s="298">
        <f ca="1">M79</f>
        <v>4.3616438356164382</v>
      </c>
    </row>
    <row r="80" spans="2:14" outlineLevel="1">
      <c r="B80" s="366" t="s">
        <v>26</v>
      </c>
      <c r="C80" s="105"/>
      <c r="D80" s="105"/>
      <c r="E80" s="105"/>
      <c r="F80" s="105"/>
      <c r="G80" s="105"/>
      <c r="H80" s="105"/>
      <c r="I80" s="105">
        <f t="shared" ref="I80:N80" si="5">$C$66</f>
        <v>7.8897500000000009E-2</v>
      </c>
      <c r="J80" s="105">
        <f t="shared" si="5"/>
        <v>7.8897500000000009E-2</v>
      </c>
      <c r="K80" s="105">
        <f t="shared" si="5"/>
        <v>7.8897500000000009E-2</v>
      </c>
      <c r="L80" s="105">
        <f t="shared" si="5"/>
        <v>7.8897500000000009E-2</v>
      </c>
      <c r="M80" s="105">
        <f t="shared" si="5"/>
        <v>7.8897500000000009E-2</v>
      </c>
      <c r="N80" s="299">
        <f t="shared" si="5"/>
        <v>7.8897500000000009E-2</v>
      </c>
    </row>
    <row r="81" spans="2:14" outlineLevel="1">
      <c r="B81" s="366" t="s">
        <v>366</v>
      </c>
      <c r="C81" s="281"/>
      <c r="D81" s="281"/>
      <c r="E81" s="281"/>
      <c r="F81" s="281"/>
      <c r="G81" s="281"/>
      <c r="H81" s="281"/>
      <c r="I81" s="281">
        <f t="shared" ref="I81:N81" ca="1" si="6">1/((1+I80)^I79)</f>
        <v>0.9729105633545363</v>
      </c>
      <c r="J81" s="281">
        <f t="shared" ca="1" si="6"/>
        <v>0.90176366462480095</v>
      </c>
      <c r="K81" s="281">
        <f t="shared" ca="1" si="6"/>
        <v>0.83581958863080208</v>
      </c>
      <c r="L81" s="281">
        <f t="shared" ca="1" si="6"/>
        <v>0.7746978639127462</v>
      </c>
      <c r="M81" s="281">
        <f t="shared" ca="1" si="6"/>
        <v>0.71804584208670996</v>
      </c>
      <c r="N81" s="300">
        <f t="shared" ca="1" si="6"/>
        <v>0.71804584208670996</v>
      </c>
    </row>
    <row r="82" spans="2:14" outlineLevel="1">
      <c r="B82" s="369" t="s">
        <v>508</v>
      </c>
      <c r="C82" s="162"/>
      <c r="D82" s="162"/>
      <c r="E82" s="162"/>
      <c r="F82" s="162"/>
      <c r="G82" s="162"/>
      <c r="H82" s="162"/>
      <c r="I82" s="162">
        <f t="shared" ref="I82:N82" ca="1" si="7">I81*I78</f>
        <v>144.46161805463012</v>
      </c>
      <c r="J82" s="162">
        <f t="shared" ca="1" si="7"/>
        <v>132.49348711354426</v>
      </c>
      <c r="K82" s="162">
        <f t="shared" ca="1" si="7"/>
        <v>132.72346938241506</v>
      </c>
      <c r="L82" s="162">
        <f t="shared" ca="1" si="7"/>
        <v>119.42467872601505</v>
      </c>
      <c r="M82" s="162">
        <f t="shared" ca="1" si="7"/>
        <v>117.54353536707242</v>
      </c>
      <c r="N82" s="370">
        <f t="shared" ca="1" si="7"/>
        <v>117.54353536707242</v>
      </c>
    </row>
    <row r="83" spans="2:14" outlineLevel="1">
      <c r="B83" s="371" t="s">
        <v>509</v>
      </c>
      <c r="C83" s="283"/>
      <c r="D83" s="283"/>
      <c r="E83" s="283"/>
      <c r="F83" s="283"/>
      <c r="G83" s="283"/>
      <c r="H83" s="283"/>
      <c r="I83" s="283"/>
      <c r="J83" s="283"/>
      <c r="K83" s="283"/>
      <c r="L83" s="283"/>
      <c r="M83" s="283"/>
      <c r="N83" s="372">
        <f ca="1">N82/(C66-C54)</f>
        <v>2084.1976216511798</v>
      </c>
    </row>
    <row r="84" spans="2:14" outlineLevel="1">
      <c r="B84" s="314" t="s">
        <v>504</v>
      </c>
      <c r="E84" s="91"/>
      <c r="F84" s="91"/>
      <c r="G84" s="91"/>
      <c r="H84" s="91"/>
      <c r="I84" s="91">
        <v>0.67</v>
      </c>
      <c r="J84" s="91">
        <v>0.67</v>
      </c>
      <c r="K84" s="91">
        <v>0.67</v>
      </c>
      <c r="L84" s="91">
        <v>0.67</v>
      </c>
      <c r="M84" s="91">
        <v>0.67</v>
      </c>
      <c r="N84" s="91">
        <v>0.7</v>
      </c>
    </row>
    <row r="85" spans="2:14" outlineLevel="1">
      <c r="B85" s="314" t="s">
        <v>507</v>
      </c>
      <c r="E85" s="162"/>
      <c r="F85" s="162"/>
      <c r="G85" s="162"/>
      <c r="H85" s="162"/>
      <c r="I85" s="162">
        <f ca="1">I82/I84</f>
        <v>215.61435530541809</v>
      </c>
      <c r="J85" s="162">
        <f ca="1">J82/J84</f>
        <v>197.75147330379738</v>
      </c>
      <c r="K85" s="162">
        <f ca="1">K82/K84</f>
        <v>198.09473042151501</v>
      </c>
      <c r="L85" s="162">
        <f ca="1">L82/L84</f>
        <v>178.24578914330604</v>
      </c>
      <c r="M85" s="162">
        <f ca="1">M82/M84</f>
        <v>175.43811248816777</v>
      </c>
      <c r="N85" s="162">
        <f ca="1">(N82+N83)/N84</f>
        <v>3145.3445100260747</v>
      </c>
    </row>
    <row r="86" spans="2:14" outlineLevel="1"/>
    <row r="87" spans="2:14" outlineLevel="1">
      <c r="B87" s="363" t="s">
        <v>340</v>
      </c>
      <c r="C87" s="364" t="s">
        <v>171</v>
      </c>
      <c r="D87" s="365" t="s">
        <v>506</v>
      </c>
    </row>
    <row r="88" spans="2:14" outlineLevel="1">
      <c r="B88" s="366" t="s">
        <v>367</v>
      </c>
      <c r="C88" s="294">
        <f ca="1">SUM(H85:M85)</f>
        <v>965.14446066220432</v>
      </c>
      <c r="D88" s="375">
        <f ca="1">C88/$C$100</f>
        <v>1.2363866827586099</v>
      </c>
    </row>
    <row r="89" spans="2:14" outlineLevel="1">
      <c r="B89" s="366" t="s">
        <v>368</v>
      </c>
      <c r="C89" s="165">
        <f ca="1">N85</f>
        <v>3145.3445100260747</v>
      </c>
      <c r="D89" s="375">
        <f t="shared" ref="D89:D99" ca="1" si="8">C89/$C$100</f>
        <v>4.029305687788872</v>
      </c>
    </row>
    <row r="90" spans="2:14" outlineLevel="1">
      <c r="B90" s="369" t="s">
        <v>369</v>
      </c>
      <c r="C90" s="166">
        <f ca="1">SUM(C88:C89)</f>
        <v>4110.4889706882786</v>
      </c>
      <c r="D90" s="376">
        <f t="shared" ca="1" si="8"/>
        <v>5.2656923705474821</v>
      </c>
    </row>
    <row r="91" spans="2:14" outlineLevel="1">
      <c r="B91" s="366" t="s">
        <v>370</v>
      </c>
      <c r="C91" s="379">
        <v>0</v>
      </c>
      <c r="D91" s="375">
        <f t="shared" si="8"/>
        <v>0</v>
      </c>
    </row>
    <row r="92" spans="2:14" outlineLevel="1">
      <c r="B92" s="347" t="s">
        <v>371</v>
      </c>
      <c r="C92" s="379">
        <v>0</v>
      </c>
      <c r="D92" s="375">
        <f t="shared" si="8"/>
        <v>0</v>
      </c>
    </row>
    <row r="93" spans="2:14" outlineLevel="1">
      <c r="B93" s="369" t="s">
        <v>372</v>
      </c>
      <c r="C93" s="166">
        <f ca="1">C90+C91+C92</f>
        <v>4110.4889706882786</v>
      </c>
      <c r="D93" s="376">
        <f t="shared" ca="1" si="8"/>
        <v>5.2656923705474821</v>
      </c>
      <c r="E93" s="40"/>
    </row>
    <row r="94" spans="2:14" outlineLevel="1">
      <c r="B94" s="366" t="s">
        <v>373</v>
      </c>
      <c r="C94" s="165">
        <f>C51/O12</f>
        <v>477.42463768115948</v>
      </c>
      <c r="D94" s="375">
        <f t="shared" si="8"/>
        <v>0.61159907983602413</v>
      </c>
    </row>
    <row r="95" spans="2:14" outlineLevel="1">
      <c r="B95" s="366" t="s">
        <v>374</v>
      </c>
      <c r="C95" s="165">
        <f>'BS, CF and P&amp;L'!AJ224/O12</f>
        <v>0</v>
      </c>
      <c r="D95" s="375">
        <f t="shared" si="8"/>
        <v>0</v>
      </c>
    </row>
    <row r="96" spans="2:14" outlineLevel="1">
      <c r="B96" s="366" t="s">
        <v>375</v>
      </c>
      <c r="C96" s="301">
        <f>+C52/O12</f>
        <v>338.39565217391305</v>
      </c>
      <c r="D96" s="375">
        <f t="shared" si="8"/>
        <v>0.43349767304697234</v>
      </c>
    </row>
    <row r="97" spans="2:8" outlineLevel="1">
      <c r="B97" s="369" t="s">
        <v>112</v>
      </c>
      <c r="C97" s="162">
        <f>C95+C94+C96</f>
        <v>815.82028985507259</v>
      </c>
      <c r="D97" s="376">
        <f t="shared" si="8"/>
        <v>1.0450967528829966</v>
      </c>
    </row>
    <row r="98" spans="2:8" outlineLevel="1">
      <c r="B98" s="342" t="s">
        <v>376</v>
      </c>
      <c r="C98" s="380">
        <v>0</v>
      </c>
      <c r="D98" s="375">
        <f t="shared" si="8"/>
        <v>0</v>
      </c>
    </row>
    <row r="99" spans="2:8" outlineLevel="1">
      <c r="B99" s="369" t="s">
        <v>377</v>
      </c>
      <c r="C99" s="166">
        <f ca="1">C93-C97-C98</f>
        <v>3294.6686808332061</v>
      </c>
      <c r="D99" s="376">
        <f t="shared" ca="1" si="8"/>
        <v>4.2205956176644852</v>
      </c>
      <c r="H99" s="91"/>
    </row>
    <row r="100" spans="2:8" outlineLevel="1">
      <c r="B100" s="366" t="s">
        <v>378</v>
      </c>
      <c r="C100" s="49">
        <f>C48</f>
        <v>780.61699799999997</v>
      </c>
      <c r="D100" s="282"/>
    </row>
    <row r="101" spans="2:8" outlineLevel="1">
      <c r="B101" s="377" t="s">
        <v>379</v>
      </c>
      <c r="C101" s="378"/>
      <c r="D101" s="381">
        <f ca="1">D99</f>
        <v>4.2205956176644852</v>
      </c>
      <c r="E101" s="40"/>
    </row>
  </sheetData>
  <mergeCells count="3">
    <mergeCell ref="A39:B39"/>
    <mergeCell ref="A25:B25"/>
    <mergeCell ref="E5:F5"/>
  </mergeCells>
  <phoneticPr fontId="12" type="noConversion"/>
  <pageMargins left="0.7" right="0.7" top="0.75" bottom="0.75" header="0.3" footer="0.3"/>
  <pageSetup paperSize="8" fitToHeight="0" orientation="landscape" horizontalDpi="90" verticalDpi="90" r:id="rId1"/>
  <rowBreaks count="1" manualBreakCount="1">
    <brk id="86" max="1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outlinePr summaryBelow="0"/>
    <pageSetUpPr fitToPage="1"/>
  </sheetPr>
  <dimension ref="A1:BJ335"/>
  <sheetViews>
    <sheetView zoomScale="115" zoomScaleNormal="115" workbookViewId="0">
      <pane xSplit="5" ySplit="6" topLeftCell="X258" activePane="bottomRight" state="frozen"/>
      <selection activeCell="X334" sqref="X334"/>
      <selection pane="topRight" activeCell="X334" sqref="X334"/>
      <selection pane="bottomLeft" activeCell="X334" sqref="X334"/>
      <selection pane="bottomRight" activeCell="AP296" sqref="AP296"/>
    </sheetView>
  </sheetViews>
  <sheetFormatPr defaultColWidth="9.109375" defaultRowHeight="13.2" outlineLevelRow="1" outlineLevelCol="1"/>
  <cols>
    <col min="1" max="1" width="3" style="7" customWidth="1"/>
    <col min="2" max="2" width="32" style="7" customWidth="1"/>
    <col min="3" max="3" width="6.6640625" style="7" customWidth="1"/>
    <col min="4" max="5" width="9.109375" style="7" hidden="1" customWidth="1"/>
    <col min="6" max="6" width="8" style="7" customWidth="1"/>
    <col min="7" max="8" width="8" style="7" hidden="1" customWidth="1" outlineLevel="1"/>
    <col min="9" max="9" width="8" style="7" customWidth="1" collapsed="1"/>
    <col min="10" max="11" width="8" style="7" hidden="1" customWidth="1" outlineLevel="1"/>
    <col min="12" max="12" width="8" style="7" customWidth="1" collapsed="1"/>
    <col min="13" max="14" width="8" style="7" hidden="1" customWidth="1" outlineLevel="1"/>
    <col min="15" max="15" width="8" style="7" customWidth="1" collapsed="1"/>
    <col min="16" max="17" width="8" style="7" hidden="1" customWidth="1" outlineLevel="1"/>
    <col min="18" max="18" width="8" style="7" customWidth="1" collapsed="1"/>
    <col min="19" max="20" width="8" style="7" hidden="1" customWidth="1" outlineLevel="1"/>
    <col min="21" max="21" width="8" style="7" customWidth="1" collapsed="1"/>
    <col min="22" max="23" width="8" style="7" hidden="1" customWidth="1" outlineLevel="1"/>
    <col min="24" max="24" width="8" style="7" customWidth="1" collapsed="1"/>
    <col min="25" max="26" width="8" style="7" hidden="1" customWidth="1" outlineLevel="1"/>
    <col min="27" max="27" width="8" style="394" customWidth="1" collapsed="1"/>
    <col min="28" max="29" width="8" style="7" hidden="1" customWidth="1" outlineLevel="1"/>
    <col min="30" max="30" width="8" style="7" customWidth="1" collapsed="1"/>
    <col min="31" max="32" width="8" style="7" hidden="1" customWidth="1" outlineLevel="1"/>
    <col min="33" max="33" width="8" style="7" customWidth="1" collapsed="1"/>
    <col min="34" max="35" width="8" style="7" hidden="1" customWidth="1" outlineLevel="1"/>
    <col min="36" max="36" width="8" style="7" customWidth="1" collapsed="1"/>
    <col min="37" max="38" width="8" style="7" customWidth="1" outlineLevel="1"/>
    <col min="39" max="39" width="8" style="61" customWidth="1"/>
    <col min="40" max="40" width="8" style="118" customWidth="1" outlineLevel="1"/>
    <col min="41" max="41" width="8" style="7" customWidth="1" outlineLevel="1"/>
    <col min="42" max="42" width="8" style="7" customWidth="1"/>
    <col min="43" max="44" width="8" style="7" customWidth="1" outlineLevel="1"/>
    <col min="45" max="45" width="8" style="7" customWidth="1"/>
    <col min="46" max="47" width="8" style="7" customWidth="1" outlineLevel="1"/>
    <col min="48" max="48" width="8" style="7" customWidth="1"/>
    <col min="49" max="50" width="8" style="7" customWidth="1" outlineLevel="1"/>
    <col min="51" max="51" width="8" style="7" customWidth="1"/>
    <col min="52" max="53" width="8" style="7" customWidth="1" outlineLevel="1"/>
    <col min="54" max="54" width="8" style="7" customWidth="1"/>
    <col min="55" max="56" width="8.6640625" style="7" customWidth="1"/>
    <col min="57" max="57" width="23.44140625" customWidth="1"/>
    <col min="63" max="16384" width="9.109375" style="7"/>
  </cols>
  <sheetData>
    <row r="1" spans="1:62" s="10" customFormat="1" ht="21" customHeight="1">
      <c r="B1" s="656" t="s">
        <v>279</v>
      </c>
      <c r="C1" s="657" t="s">
        <v>258</v>
      </c>
      <c r="D1" s="658"/>
      <c r="E1" s="658"/>
      <c r="F1" s="658"/>
      <c r="AA1" s="464"/>
      <c r="AM1" s="11"/>
      <c r="AN1" s="572"/>
      <c r="BE1"/>
      <c r="BF1"/>
      <c r="BG1"/>
      <c r="BH1"/>
      <c r="BI1"/>
      <c r="BJ1"/>
    </row>
    <row r="2" spans="1:62" s="10" customFormat="1" ht="11.25" customHeight="1">
      <c r="B2" s="656"/>
      <c r="C2" s="67" t="s">
        <v>264</v>
      </c>
      <c r="AA2" s="464"/>
      <c r="AM2" s="11"/>
      <c r="AN2" s="572"/>
      <c r="AP2" s="400"/>
      <c r="AS2" s="400"/>
      <c r="AV2" s="400"/>
      <c r="AY2" s="400"/>
      <c r="BB2" s="400"/>
      <c r="BE2"/>
      <c r="BF2"/>
      <c r="BG2"/>
      <c r="BH2"/>
      <c r="BI2"/>
      <c r="BJ2"/>
    </row>
    <row r="3" spans="1:62" s="4" customFormat="1" outlineLevel="1">
      <c r="B3" s="68"/>
      <c r="D3" s="4" t="s">
        <v>67</v>
      </c>
      <c r="E3" s="4" t="s">
        <v>68</v>
      </c>
      <c r="V3" s="4" t="s">
        <v>151</v>
      </c>
      <c r="W3" s="4" t="s">
        <v>152</v>
      </c>
      <c r="X3" s="4" t="s">
        <v>153</v>
      </c>
      <c r="Y3" s="4" t="s">
        <v>157</v>
      </c>
      <c r="Z3" s="4" t="s">
        <v>158</v>
      </c>
      <c r="AA3" s="465" t="s">
        <v>159</v>
      </c>
      <c r="AB3" s="4" t="s">
        <v>244</v>
      </c>
      <c r="AC3" s="4" t="s">
        <v>245</v>
      </c>
      <c r="AD3" s="4" t="s">
        <v>246</v>
      </c>
      <c r="AE3" s="4" t="s">
        <v>247</v>
      </c>
      <c r="AF3" s="4" t="s">
        <v>248</v>
      </c>
      <c r="AG3" s="4" t="s">
        <v>249</v>
      </c>
      <c r="AH3" s="4" t="s">
        <v>250</v>
      </c>
      <c r="AI3" s="4" t="s">
        <v>251</v>
      </c>
      <c r="AJ3" s="4" t="s">
        <v>252</v>
      </c>
      <c r="AK3" s="4" t="s">
        <v>253</v>
      </c>
      <c r="AL3" s="4" t="s">
        <v>254</v>
      </c>
      <c r="AM3" s="69" t="s">
        <v>255</v>
      </c>
      <c r="AN3" s="573" t="s">
        <v>406</v>
      </c>
      <c r="AO3" s="4" t="s">
        <v>471</v>
      </c>
      <c r="AP3" s="4" t="s">
        <v>472</v>
      </c>
      <c r="AQ3" s="4" t="s">
        <v>473</v>
      </c>
      <c r="AR3" s="4" t="s">
        <v>474</v>
      </c>
      <c r="AS3" s="4" t="s">
        <v>475</v>
      </c>
      <c r="AT3" s="4" t="s">
        <v>476</v>
      </c>
      <c r="AU3" s="4" t="s">
        <v>477</v>
      </c>
      <c r="AV3" s="4" t="s">
        <v>478</v>
      </c>
      <c r="AW3" s="4" t="s">
        <v>479</v>
      </c>
      <c r="AX3" s="4" t="s">
        <v>480</v>
      </c>
      <c r="AY3" s="4" t="s">
        <v>481</v>
      </c>
      <c r="AZ3" s="4" t="s">
        <v>482</v>
      </c>
      <c r="BA3" s="4" t="s">
        <v>483</v>
      </c>
      <c r="BB3" s="4" t="s">
        <v>484</v>
      </c>
      <c r="BE3"/>
      <c r="BF3"/>
      <c r="BG3"/>
      <c r="BH3"/>
      <c r="BI3"/>
      <c r="BJ3"/>
    </row>
    <row r="4" spans="1:62" s="4" customFormat="1" outlineLevel="1">
      <c r="B4" s="12" t="s">
        <v>265</v>
      </c>
      <c r="D4" s="4" t="s">
        <v>84</v>
      </c>
      <c r="E4" s="4" t="s">
        <v>84</v>
      </c>
      <c r="V4" s="4" t="s">
        <v>84</v>
      </c>
      <c r="W4" s="4" t="s">
        <v>84</v>
      </c>
      <c r="X4" s="4" t="s">
        <v>84</v>
      </c>
      <c r="Y4" s="4" t="s">
        <v>84</v>
      </c>
      <c r="Z4" s="4" t="s">
        <v>84</v>
      </c>
      <c r="AA4" s="465" t="s">
        <v>84</v>
      </c>
      <c r="AB4" s="4" t="s">
        <v>84</v>
      </c>
      <c r="AC4" s="4" t="s">
        <v>84</v>
      </c>
      <c r="AD4" s="4" t="s">
        <v>84</v>
      </c>
      <c r="AE4" s="4" t="s">
        <v>84</v>
      </c>
      <c r="AF4" s="4" t="s">
        <v>84</v>
      </c>
      <c r="AG4" s="4" t="s">
        <v>84</v>
      </c>
      <c r="AH4" s="4" t="s">
        <v>84</v>
      </c>
      <c r="AI4" s="4" t="s">
        <v>84</v>
      </c>
      <c r="AJ4" s="4" t="s">
        <v>84</v>
      </c>
      <c r="AK4" s="4" t="s">
        <v>84</v>
      </c>
      <c r="AL4" s="4" t="s">
        <v>84</v>
      </c>
      <c r="AM4" s="69" t="s">
        <v>84</v>
      </c>
      <c r="AN4" s="573" t="s">
        <v>84</v>
      </c>
      <c r="AO4" s="4" t="s">
        <v>233</v>
      </c>
      <c r="AP4" s="4" t="s">
        <v>233</v>
      </c>
      <c r="AQ4" s="4" t="s">
        <v>233</v>
      </c>
      <c r="AR4" s="4" t="s">
        <v>233</v>
      </c>
      <c r="AS4" s="4" t="s">
        <v>233</v>
      </c>
      <c r="AT4" s="4" t="s">
        <v>233</v>
      </c>
      <c r="AU4" s="4" t="s">
        <v>233</v>
      </c>
      <c r="AV4" s="4" t="s">
        <v>233</v>
      </c>
      <c r="AW4" s="4" t="s">
        <v>233</v>
      </c>
      <c r="AX4" s="4" t="s">
        <v>233</v>
      </c>
      <c r="AY4" s="4" t="s">
        <v>233</v>
      </c>
      <c r="AZ4" s="4" t="s">
        <v>233</v>
      </c>
      <c r="BA4" s="4" t="s">
        <v>233</v>
      </c>
      <c r="BB4" s="4" t="s">
        <v>233</v>
      </c>
      <c r="BE4"/>
      <c r="BF4"/>
      <c r="BG4"/>
      <c r="BH4"/>
      <c r="BI4"/>
      <c r="BJ4"/>
    </row>
    <row r="5" spans="1:62" customFormat="1" outlineLevel="1"/>
    <row r="6" spans="1:62" s="116" customFormat="1">
      <c r="A6" s="15"/>
      <c r="B6" s="16" t="s">
        <v>278</v>
      </c>
      <c r="C6" s="15"/>
      <c r="D6" s="15" t="str">
        <f>CONCATENATE(D3,"",D4)</f>
        <v>1H14A</v>
      </c>
      <c r="E6" s="15" t="str">
        <f>CONCATENATE(E3,"",E4)</f>
        <v>2H14A</v>
      </c>
      <c r="F6" s="15" t="str">
        <f>CONCATENATE(F3,"",F4)</f>
        <v/>
      </c>
      <c r="G6" s="15" t="str">
        <f t="shared" ref="G6:AA6" si="0">CONCATENATE(G3,"",G4)</f>
        <v/>
      </c>
      <c r="H6" s="15" t="str">
        <f t="shared" si="0"/>
        <v/>
      </c>
      <c r="I6" s="15" t="str">
        <f t="shared" si="0"/>
        <v/>
      </c>
      <c r="J6" s="15" t="str">
        <f t="shared" si="0"/>
        <v/>
      </c>
      <c r="K6" s="15" t="str">
        <f t="shared" si="0"/>
        <v/>
      </c>
      <c r="L6" s="15" t="str">
        <f t="shared" si="0"/>
        <v/>
      </c>
      <c r="M6" s="15" t="str">
        <f t="shared" si="0"/>
        <v/>
      </c>
      <c r="N6" s="15" t="str">
        <f t="shared" si="0"/>
        <v/>
      </c>
      <c r="O6" s="15" t="str">
        <f t="shared" si="0"/>
        <v/>
      </c>
      <c r="P6" s="15" t="str">
        <f t="shared" si="0"/>
        <v/>
      </c>
      <c r="Q6" s="15" t="str">
        <f t="shared" si="0"/>
        <v/>
      </c>
      <c r="R6" s="15" t="str">
        <f t="shared" si="0"/>
        <v/>
      </c>
      <c r="S6" s="15" t="str">
        <f t="shared" si="0"/>
        <v/>
      </c>
      <c r="T6" s="15" t="str">
        <f>CONCATENATE(T3,"",T4)</f>
        <v/>
      </c>
      <c r="U6" s="15" t="str">
        <f t="shared" si="0"/>
        <v/>
      </c>
      <c r="V6" s="15" t="str">
        <f t="shared" si="0"/>
        <v>1H20A</v>
      </c>
      <c r="W6" s="15" t="str">
        <f t="shared" si="0"/>
        <v>2H20A</v>
      </c>
      <c r="X6" s="15" t="str">
        <f t="shared" si="0"/>
        <v>FY20A</v>
      </c>
      <c r="Y6" s="15" t="str">
        <f t="shared" si="0"/>
        <v>1H21A</v>
      </c>
      <c r="Z6" s="15" t="str">
        <f t="shared" si="0"/>
        <v>2H21A</v>
      </c>
      <c r="AA6" s="467" t="str">
        <f t="shared" si="0"/>
        <v>FY21A</v>
      </c>
      <c r="AB6" s="15" t="str">
        <f t="shared" ref="AB6:AD6" si="1">CONCATENATE(AB3,"",AB4)</f>
        <v>1H22A</v>
      </c>
      <c r="AC6" s="15" t="str">
        <f t="shared" si="1"/>
        <v>2H22A</v>
      </c>
      <c r="AD6" s="15" t="str">
        <f t="shared" si="1"/>
        <v>FY22A</v>
      </c>
      <c r="AE6" s="15" t="str">
        <f t="shared" ref="AE6:AG6" si="2">CONCATENATE(AE3,"",AE4)</f>
        <v>1H23A</v>
      </c>
      <c r="AF6" s="15" t="str">
        <f t="shared" si="2"/>
        <v>2H23A</v>
      </c>
      <c r="AG6" s="15" t="str">
        <f t="shared" si="2"/>
        <v>FY23A</v>
      </c>
      <c r="AH6" s="15" t="str">
        <f t="shared" ref="AH6:AJ6" si="3">CONCATENATE(AH3,"",AH4)</f>
        <v>1H24A</v>
      </c>
      <c r="AI6" s="15" t="str">
        <f t="shared" si="3"/>
        <v>2H24A</v>
      </c>
      <c r="AJ6" s="15" t="str">
        <f t="shared" si="3"/>
        <v>FY24A</v>
      </c>
      <c r="AK6" s="15" t="str">
        <f t="shared" ref="AK6:AM6" si="4">CONCATENATE(AK3,"",AK4)</f>
        <v>1H25A</v>
      </c>
      <c r="AL6" s="15" t="str">
        <f t="shared" si="4"/>
        <v>2H25A</v>
      </c>
      <c r="AM6" s="17" t="str">
        <f t="shared" si="4"/>
        <v>FY25A</v>
      </c>
      <c r="AN6" s="62" t="str">
        <f t="shared" ref="AN6" si="5">CONCATENATE(AN3,"",AN4)</f>
        <v>1H26A</v>
      </c>
      <c r="AO6" s="15" t="str">
        <f t="shared" ref="AO6:BB6" si="6">CONCATENATE(AO3,"",AO4)</f>
        <v>2H26E</v>
      </c>
      <c r="AP6" s="15" t="str">
        <f t="shared" si="6"/>
        <v>FY26E</v>
      </c>
      <c r="AQ6" s="15" t="str">
        <f t="shared" si="6"/>
        <v>1H27E</v>
      </c>
      <c r="AR6" s="15" t="str">
        <f t="shared" si="6"/>
        <v>2H27E</v>
      </c>
      <c r="AS6" s="15" t="str">
        <f t="shared" si="6"/>
        <v>FY27E</v>
      </c>
      <c r="AT6" s="15" t="str">
        <f t="shared" si="6"/>
        <v>1H28E</v>
      </c>
      <c r="AU6" s="15" t="str">
        <f t="shared" si="6"/>
        <v>2H28E</v>
      </c>
      <c r="AV6" s="15" t="str">
        <f t="shared" si="6"/>
        <v>FY28E</v>
      </c>
      <c r="AW6" s="15" t="str">
        <f t="shared" si="6"/>
        <v>1H29E</v>
      </c>
      <c r="AX6" s="15" t="str">
        <f t="shared" si="6"/>
        <v>2H29E</v>
      </c>
      <c r="AY6" s="15" t="str">
        <f t="shared" si="6"/>
        <v>FY29E</v>
      </c>
      <c r="AZ6" s="15" t="str">
        <f t="shared" si="6"/>
        <v>1H30E</v>
      </c>
      <c r="BA6" s="15" t="str">
        <f t="shared" si="6"/>
        <v>2H30E</v>
      </c>
      <c r="BB6" s="15" t="str">
        <f t="shared" si="6"/>
        <v>FY30E</v>
      </c>
      <c r="BC6" s="15"/>
      <c r="BE6"/>
      <c r="BF6"/>
      <c r="BG6"/>
      <c r="BH6"/>
      <c r="BI6"/>
      <c r="BJ6"/>
    </row>
    <row r="7" spans="1:62" s="19" customFormat="1">
      <c r="A7" s="18"/>
      <c r="B7" s="20"/>
      <c r="C7" s="18"/>
      <c r="D7" s="18"/>
      <c r="E7" s="18"/>
      <c r="F7" s="18"/>
      <c r="G7" s="18"/>
      <c r="H7" s="18"/>
      <c r="I7" s="18"/>
      <c r="J7" s="18"/>
      <c r="K7" s="18"/>
      <c r="L7" s="18"/>
      <c r="M7" s="18"/>
      <c r="N7" s="18"/>
      <c r="O7" s="18"/>
      <c r="P7" s="18"/>
      <c r="Q7" s="18"/>
      <c r="R7" s="18"/>
      <c r="S7" s="18"/>
      <c r="T7" s="18"/>
      <c r="U7" s="18"/>
      <c r="V7" s="18"/>
      <c r="W7" s="18"/>
      <c r="X7" s="18"/>
      <c r="Y7" s="18"/>
      <c r="Z7" s="18"/>
      <c r="AA7" s="468"/>
      <c r="AB7" s="18"/>
      <c r="AC7" s="18"/>
      <c r="AD7" s="18"/>
      <c r="AE7" s="18"/>
      <c r="AF7" s="18"/>
      <c r="AG7" s="18"/>
      <c r="AH7" s="18"/>
      <c r="AI7" s="18"/>
      <c r="AJ7" s="18"/>
      <c r="AK7" s="18"/>
      <c r="AL7" s="18"/>
      <c r="AM7" s="21"/>
      <c r="AN7" s="574"/>
      <c r="AO7" s="18"/>
      <c r="AP7" s="18"/>
      <c r="AQ7" s="18"/>
      <c r="AR7" s="18"/>
      <c r="AS7" s="18"/>
      <c r="AT7" s="18"/>
      <c r="AU7" s="18"/>
      <c r="AV7" s="18"/>
      <c r="AW7" s="18"/>
      <c r="AX7" s="18"/>
      <c r="AY7" s="18"/>
      <c r="AZ7" s="18"/>
      <c r="BA7" s="18"/>
      <c r="BB7" s="18"/>
      <c r="BC7" s="18"/>
      <c r="BE7"/>
      <c r="BF7"/>
      <c r="BG7"/>
      <c r="BH7"/>
      <c r="BI7"/>
      <c r="BJ7"/>
    </row>
    <row r="8" spans="1:62" s="22" customFormat="1">
      <c r="A8" s="22" t="s">
        <v>109</v>
      </c>
      <c r="F8" s="23"/>
      <c r="AA8" s="469"/>
      <c r="AM8" s="24"/>
      <c r="AN8" s="575"/>
      <c r="BE8"/>
      <c r="BF8"/>
      <c r="BG8"/>
      <c r="BH8"/>
      <c r="BI8"/>
      <c r="BJ8"/>
    </row>
    <row r="9" spans="1:62" s="25" customFormat="1">
      <c r="F9" s="71"/>
      <c r="AA9" s="470"/>
      <c r="AM9" s="72"/>
      <c r="AN9" s="576"/>
      <c r="BE9"/>
      <c r="BF9"/>
      <c r="BG9"/>
      <c r="BH9"/>
      <c r="BI9"/>
      <c r="BJ9"/>
    </row>
    <row r="10" spans="1:62">
      <c r="B10" s="14" t="s">
        <v>182</v>
      </c>
    </row>
    <row r="11" spans="1:62">
      <c r="B11" s="161" t="s">
        <v>274</v>
      </c>
      <c r="C11" s="73" t="s">
        <v>269</v>
      </c>
      <c r="F11" s="165"/>
      <c r="G11" s="165"/>
      <c r="H11" s="165"/>
      <c r="I11" s="165"/>
      <c r="J11" s="165"/>
      <c r="K11" s="165"/>
      <c r="L11" s="165"/>
      <c r="M11" s="165"/>
      <c r="N11" s="165"/>
      <c r="O11" s="165"/>
      <c r="P11" s="165"/>
      <c r="Q11" s="165"/>
      <c r="R11" s="165"/>
      <c r="S11" s="165"/>
      <c r="T11" s="165"/>
      <c r="U11" s="165"/>
      <c r="V11" s="165">
        <f>'Asia Pacific'!V$10</f>
        <v>85.828000000000003</v>
      </c>
      <c r="W11" s="165">
        <f>'Asia Pacific'!W$10</f>
        <v>158.928</v>
      </c>
      <c r="X11" s="165">
        <f>SUM(V11:W11)</f>
        <v>244.756</v>
      </c>
      <c r="Y11" s="165">
        <f>'Asia Pacific'!Y$10</f>
        <v>99.747000000000014</v>
      </c>
      <c r="Z11" s="165">
        <f>'Asia Pacific'!Z$10</f>
        <v>107.31699999999998</v>
      </c>
      <c r="AA11" s="394">
        <f>SUM(Y11:Z11)</f>
        <v>207.06399999999999</v>
      </c>
      <c r="AB11" s="165">
        <f>'Asia Pacific'!AB$10</f>
        <v>110.928</v>
      </c>
      <c r="AC11" s="165">
        <f>'Asia Pacific'!AC$10</f>
        <v>102.35200000000003</v>
      </c>
      <c r="AD11" s="165">
        <f>SUM(AB11:AC11)</f>
        <v>213.28000000000003</v>
      </c>
      <c r="AE11" s="165">
        <f>'Asia Pacific'!AE$10</f>
        <v>103.108</v>
      </c>
      <c r="AF11" s="165">
        <f>'Asia Pacific'!AF$10</f>
        <v>87.25200000000001</v>
      </c>
      <c r="AG11" s="165">
        <f>SUM(AE11:AF11)</f>
        <v>190.36</v>
      </c>
      <c r="AH11" s="165">
        <f>'Asia Pacific'!AH$10</f>
        <v>78.938999999999993</v>
      </c>
      <c r="AI11" s="165">
        <f>'Asia Pacific'!AI$10</f>
        <v>136.99699999999999</v>
      </c>
      <c r="AJ11" s="165">
        <f>SUM(AH11:AI11)</f>
        <v>215.93599999999998</v>
      </c>
      <c r="AK11" s="165">
        <f>'Asia Pacific'!AK$10</f>
        <v>150.255</v>
      </c>
      <c r="AL11" s="165">
        <f>'Asia Pacific'!AL$10</f>
        <v>122.25199999999998</v>
      </c>
      <c r="AM11" s="428">
        <f>SUM(AK11:AL11)</f>
        <v>272.50699999999995</v>
      </c>
      <c r="AN11" s="577">
        <f>'Asia Pacific'!AN$10</f>
        <v>149.16</v>
      </c>
      <c r="AO11" s="165">
        <f>'Asia Pacific'!AO$10</f>
        <v>128.42581721130375</v>
      </c>
      <c r="AP11" s="165">
        <f>SUM(AN11:AO11)</f>
        <v>277.58581721130372</v>
      </c>
      <c r="AQ11" s="165">
        <f>'Asia Pacific'!AQ$10</f>
        <v>179.82130853907177</v>
      </c>
      <c r="AR11" s="165">
        <f>'Asia Pacific'!AR$10</f>
        <v>132.93599073709723</v>
      </c>
      <c r="AS11" s="165">
        <f>SUM(AQ11:AR11)</f>
        <v>312.75729927616896</v>
      </c>
      <c r="AT11" s="165">
        <f>'Asia Pacific'!AT$10</f>
        <v>193.27184130195815</v>
      </c>
      <c r="AU11" s="165">
        <f>'Asia Pacific'!AU$10</f>
        <v>139.79105216486607</v>
      </c>
      <c r="AV11" s="165">
        <f>SUM(AT11:AU11)</f>
        <v>333.06289346682422</v>
      </c>
      <c r="AW11" s="165">
        <f>'Asia Pacific'!AW$10</f>
        <v>200.49268526277294</v>
      </c>
      <c r="AX11" s="165">
        <f>'Asia Pacific'!AX$10</f>
        <v>144.87116598176468</v>
      </c>
      <c r="AY11" s="165">
        <f>SUM(AW11:AX11)</f>
        <v>345.36385124453761</v>
      </c>
      <c r="AZ11" s="165">
        <f>'Asia Pacific'!AZ$10</f>
        <v>206.18724343941946</v>
      </c>
      <c r="BA11" s="165">
        <f>'Asia Pacific'!BA$10</f>
        <v>149.2202213294228</v>
      </c>
      <c r="BB11" s="165">
        <f>SUM(AZ11:BA11)</f>
        <v>355.40746476884226</v>
      </c>
    </row>
    <row r="12" spans="1:62">
      <c r="B12" s="161" t="s">
        <v>275</v>
      </c>
      <c r="C12" s="73" t="s">
        <v>269</v>
      </c>
      <c r="D12" s="30"/>
      <c r="E12" s="30"/>
      <c r="F12" s="165"/>
      <c r="G12" s="165"/>
      <c r="H12" s="165"/>
      <c r="I12" s="165"/>
      <c r="J12" s="165"/>
      <c r="K12" s="165"/>
      <c r="L12" s="165"/>
      <c r="M12" s="165"/>
      <c r="N12" s="165"/>
      <c r="O12" s="165"/>
      <c r="P12" s="165"/>
      <c r="Q12" s="165"/>
      <c r="R12" s="165"/>
      <c r="S12" s="165"/>
      <c r="T12" s="165"/>
      <c r="U12" s="165"/>
      <c r="V12" s="165">
        <f>Americas!V$12</f>
        <v>237.446</v>
      </c>
      <c r="W12" s="165">
        <f>Americas!W$12</f>
        <v>501.67099999999994</v>
      </c>
      <c r="X12" s="165">
        <f>SUM(V12:W12)</f>
        <v>739.11699999999996</v>
      </c>
      <c r="Y12" s="165">
        <f>Americas!Y$12</f>
        <v>289.642</v>
      </c>
      <c r="Z12" s="165">
        <f>Americas!Z$12</f>
        <v>340.31199999999995</v>
      </c>
      <c r="AA12" s="394">
        <f>SUM(Y12:Z12)</f>
        <v>629.95399999999995</v>
      </c>
      <c r="AB12" s="165">
        <f>Americas!AB$12</f>
        <v>333.577</v>
      </c>
      <c r="AC12" s="165">
        <f>Americas!AC$12</f>
        <v>457.39499999999998</v>
      </c>
      <c r="AD12" s="165">
        <f>SUM(AB12:AC12)</f>
        <v>790.97199999999998</v>
      </c>
      <c r="AE12" s="165">
        <f>Americas!AE$12</f>
        <v>427.334</v>
      </c>
      <c r="AF12" s="165">
        <f>Americas!AF$12</f>
        <v>462.73499999999996</v>
      </c>
      <c r="AG12" s="165">
        <f>SUM(AE12:AF12)</f>
        <v>890.06899999999996</v>
      </c>
      <c r="AH12" s="165">
        <f>Americas!AH$12</f>
        <v>426.45</v>
      </c>
      <c r="AI12" s="165">
        <f>Americas!AI$12</f>
        <v>451.22699999999998</v>
      </c>
      <c r="AJ12" s="165">
        <f>SUM(AH12:AI12)</f>
        <v>877.67699999999991</v>
      </c>
      <c r="AK12" s="165">
        <f>Americas!AK$12</f>
        <v>440.62</v>
      </c>
      <c r="AL12" s="165">
        <f>Americas!AL$12</f>
        <v>418.25999999999993</v>
      </c>
      <c r="AM12" s="428">
        <f>SUM(AK12:AL12)</f>
        <v>858.87999999999988</v>
      </c>
      <c r="AN12" s="577">
        <f>Americas!AN$12</f>
        <v>408.93700000000001</v>
      </c>
      <c r="AO12" s="165">
        <f>Americas!AO$12</f>
        <v>447.41575914563583</v>
      </c>
      <c r="AP12" s="165">
        <f>SUM(AN12:AO12)</f>
        <v>856.3527591456359</v>
      </c>
      <c r="AQ12" s="165">
        <f>Americas!AQ$12</f>
        <v>433.55728705155087</v>
      </c>
      <c r="AR12" s="165">
        <f>Americas!AR$12</f>
        <v>474.25669973933918</v>
      </c>
      <c r="AS12" s="165">
        <f>SUM(AQ12:AR12)</f>
        <v>907.81398679089011</v>
      </c>
      <c r="AT12" s="165">
        <f>Americas!AT$12</f>
        <v>455.22124377225288</v>
      </c>
      <c r="AU12" s="165">
        <f>Americas!AU$12</f>
        <v>497.96192047566979</v>
      </c>
      <c r="AV12" s="165">
        <f>SUM(AT12:AU12)</f>
        <v>953.1831642479226</v>
      </c>
      <c r="AW12" s="165">
        <f>Americas!AW$12</f>
        <v>473.4216124705502</v>
      </c>
      <c r="AX12" s="165">
        <f>Americas!AX$12</f>
        <v>517.89148464806226</v>
      </c>
      <c r="AY12" s="165">
        <f>SUM(AW12:AX12)</f>
        <v>991.3130971186124</v>
      </c>
      <c r="AZ12" s="165">
        <f>Americas!AZ$12</f>
        <v>492.35682046090875</v>
      </c>
      <c r="BA12" s="165">
        <f>Americas!BA$12</f>
        <v>538.60546608081825</v>
      </c>
      <c r="BB12" s="165">
        <f>SUM(AZ12:BA12)</f>
        <v>1030.9622865417271</v>
      </c>
    </row>
    <row r="13" spans="1:62">
      <c r="B13" s="161" t="s">
        <v>276</v>
      </c>
      <c r="C13" s="73" t="s">
        <v>269</v>
      </c>
      <c r="D13" s="30"/>
      <c r="E13" s="30"/>
      <c r="F13" s="165"/>
      <c r="G13" s="165"/>
      <c r="H13" s="165"/>
      <c r="I13" s="165"/>
      <c r="J13" s="165"/>
      <c r="K13" s="165"/>
      <c r="L13" s="165"/>
      <c r="M13" s="165"/>
      <c r="N13" s="165"/>
      <c r="O13" s="165"/>
      <c r="P13" s="165"/>
      <c r="Q13" s="165"/>
      <c r="R13" s="165"/>
      <c r="S13" s="165"/>
      <c r="T13" s="165"/>
      <c r="U13" s="165"/>
      <c r="V13" s="165">
        <f>EMEA!V$9</f>
        <v>118.834</v>
      </c>
      <c r="W13" s="165">
        <f>EMEA!W$9</f>
        <v>205.465</v>
      </c>
      <c r="X13" s="165">
        <f>SUM(V13:W13)</f>
        <v>324.29899999999998</v>
      </c>
      <c r="Y13" s="165">
        <f>EMEA!Y$9</f>
        <v>136.49299999999999</v>
      </c>
      <c r="Z13" s="165">
        <f>EMEA!Z$9</f>
        <v>155.499</v>
      </c>
      <c r="AA13" s="394">
        <f>SUM(Y13:Z13)</f>
        <v>291.99199999999996</v>
      </c>
      <c r="AB13" s="165">
        <f>EMEA!AB$9</f>
        <v>144.58199999999999</v>
      </c>
      <c r="AC13" s="165">
        <f>EMEA!AC$9</f>
        <v>146.75900000000001</v>
      </c>
      <c r="AD13" s="165">
        <f>SUM(AB13:AC13)</f>
        <v>291.34100000000001</v>
      </c>
      <c r="AE13" s="165">
        <f>EMEA!AE$9</f>
        <v>127.68300000000001</v>
      </c>
      <c r="AF13" s="165">
        <f>EMEA!AF$9</f>
        <v>144.459</v>
      </c>
      <c r="AG13" s="165">
        <f>SUM(AE13:AF13)</f>
        <v>272.142</v>
      </c>
      <c r="AH13" s="165">
        <f>EMEA!AH$9</f>
        <v>126.989</v>
      </c>
      <c r="AI13" s="165">
        <f>EMEA!AI$9</f>
        <v>136.655</v>
      </c>
      <c r="AJ13" s="165">
        <f>SUM(AH13:AI13)</f>
        <v>263.64400000000001</v>
      </c>
      <c r="AK13" s="165">
        <f>EMEA!AK$9</f>
        <v>121.851</v>
      </c>
      <c r="AL13" s="165">
        <f>EMEA!AL$9</f>
        <v>137.57</v>
      </c>
      <c r="AM13" s="428">
        <f>SUM(AK13:AL13)</f>
        <v>259.42099999999999</v>
      </c>
      <c r="AN13" s="577">
        <f>EMEA!AN$9</f>
        <v>124.804</v>
      </c>
      <c r="AO13" s="165">
        <f>EMEA!AO$9</f>
        <v>141.6</v>
      </c>
      <c r="AP13" s="165">
        <f>SUM(AN13:AO13)</f>
        <v>266.404</v>
      </c>
      <c r="AQ13" s="165">
        <f>EMEA!AQ$9</f>
        <v>129.09866666666667</v>
      </c>
      <c r="AR13" s="165">
        <f>EMEA!AR$9</f>
        <v>149.38800000000001</v>
      </c>
      <c r="AS13" s="165">
        <f>SUM(AQ13:AR13)</f>
        <v>278.48666666666668</v>
      </c>
      <c r="AT13" s="165">
        <f>EMEA!AT$9</f>
        <v>138.78106666666665</v>
      </c>
      <c r="AU13" s="165">
        <f>EMEA!AU$9</f>
        <v>159.09822</v>
      </c>
      <c r="AV13" s="165">
        <f>SUM(AT13:AU13)</f>
        <v>297.87928666666664</v>
      </c>
      <c r="AW13" s="165">
        <f>EMEA!AW$9</f>
        <v>145.02621466666665</v>
      </c>
      <c r="AX13" s="165">
        <f>EMEA!AX$9</f>
        <v>166.25763989999999</v>
      </c>
      <c r="AY13" s="165">
        <f>SUM(AW13:AX13)</f>
        <v>311.28385456666661</v>
      </c>
      <c r="AZ13" s="165">
        <f>EMEA!AZ$9</f>
        <v>150.82726325333331</v>
      </c>
      <c r="BA13" s="165">
        <f>EMEA!BA$9</f>
        <v>172.907945496</v>
      </c>
      <c r="BB13" s="165">
        <f>SUM(AZ13:BA13)</f>
        <v>323.73520874933331</v>
      </c>
    </row>
    <row r="14" spans="1:62" s="14" customFormat="1">
      <c r="B14" s="75" t="s">
        <v>160</v>
      </c>
      <c r="C14" s="76" t="s">
        <v>269</v>
      </c>
      <c r="D14" s="28"/>
      <c r="E14" s="28"/>
      <c r="F14" s="166"/>
      <c r="G14" s="166"/>
      <c r="H14" s="166"/>
      <c r="I14" s="166"/>
      <c r="J14" s="166"/>
      <c r="K14" s="166"/>
      <c r="L14" s="166"/>
      <c r="M14" s="166"/>
      <c r="N14" s="166"/>
      <c r="O14" s="166"/>
      <c r="P14" s="166"/>
      <c r="Q14" s="166"/>
      <c r="R14" s="166"/>
      <c r="S14" s="166"/>
      <c r="T14" s="166"/>
      <c r="U14" s="166"/>
      <c r="V14" s="166">
        <f t="shared" ref="V14:AJ14" si="7">SUM(V11:V13)</f>
        <v>442.108</v>
      </c>
      <c r="W14" s="166">
        <f t="shared" si="7"/>
        <v>866.06399999999996</v>
      </c>
      <c r="X14" s="166">
        <f t="shared" si="7"/>
        <v>1308.172</v>
      </c>
      <c r="Y14" s="166">
        <f t="shared" si="7"/>
        <v>525.88200000000006</v>
      </c>
      <c r="Z14" s="166">
        <f t="shared" si="7"/>
        <v>603.12799999999993</v>
      </c>
      <c r="AA14" s="466">
        <f t="shared" si="7"/>
        <v>1129.0099999999998</v>
      </c>
      <c r="AB14" s="166">
        <f t="shared" ref="AB14:AD14" si="8">SUM(AB11:AB13)</f>
        <v>589.08699999999999</v>
      </c>
      <c r="AC14" s="166">
        <f t="shared" si="8"/>
        <v>706.50600000000009</v>
      </c>
      <c r="AD14" s="166">
        <f t="shared" si="8"/>
        <v>1295.5929999999998</v>
      </c>
      <c r="AE14" s="166">
        <f t="shared" ref="AE14:AG14" si="9">SUM(AE11:AE13)</f>
        <v>658.125</v>
      </c>
      <c r="AF14" s="166">
        <f t="shared" si="9"/>
        <v>694.44599999999991</v>
      </c>
      <c r="AG14" s="166">
        <f t="shared" si="9"/>
        <v>1352.5710000000001</v>
      </c>
      <c r="AH14" s="166">
        <f t="shared" si="7"/>
        <v>632.37800000000004</v>
      </c>
      <c r="AI14" s="166">
        <f t="shared" si="7"/>
        <v>724.87899999999991</v>
      </c>
      <c r="AJ14" s="166">
        <f t="shared" si="7"/>
        <v>1357.2569999999998</v>
      </c>
      <c r="AK14" s="166">
        <f t="shared" ref="AK14:AM14" si="10">SUM(AK11:AK13)</f>
        <v>712.726</v>
      </c>
      <c r="AL14" s="166">
        <f t="shared" si="10"/>
        <v>678.08199999999988</v>
      </c>
      <c r="AM14" s="430">
        <f t="shared" si="10"/>
        <v>1390.8079999999998</v>
      </c>
      <c r="AN14" s="578">
        <f t="shared" ref="AN14" si="11">SUM(AN11:AN13)</f>
        <v>682.90099999999995</v>
      </c>
      <c r="AO14" s="166">
        <f t="shared" ref="AO14:BB14" si="12">SUM(AO11:AO13)</f>
        <v>717.44157635693966</v>
      </c>
      <c r="AP14" s="166">
        <f t="shared" si="12"/>
        <v>1400.3425763569396</v>
      </c>
      <c r="AQ14" s="166">
        <f t="shared" si="12"/>
        <v>742.47726225728923</v>
      </c>
      <c r="AR14" s="166">
        <f t="shared" si="12"/>
        <v>756.58069047643642</v>
      </c>
      <c r="AS14" s="166">
        <f t="shared" si="12"/>
        <v>1499.0579527337259</v>
      </c>
      <c r="AT14" s="166">
        <f t="shared" si="12"/>
        <v>787.27415174087764</v>
      </c>
      <c r="AU14" s="166">
        <f t="shared" si="12"/>
        <v>796.85119264053583</v>
      </c>
      <c r="AV14" s="166">
        <f t="shared" si="12"/>
        <v>1584.1253443814135</v>
      </c>
      <c r="AW14" s="166">
        <f t="shared" si="12"/>
        <v>818.94051239998976</v>
      </c>
      <c r="AX14" s="166">
        <f t="shared" si="12"/>
        <v>829.02029052982687</v>
      </c>
      <c r="AY14" s="166">
        <f t="shared" si="12"/>
        <v>1647.9608029298167</v>
      </c>
      <c r="AZ14" s="166">
        <f t="shared" si="12"/>
        <v>849.37132715366147</v>
      </c>
      <c r="BA14" s="166">
        <f t="shared" si="12"/>
        <v>860.73363290624104</v>
      </c>
      <c r="BB14" s="166">
        <f t="shared" si="12"/>
        <v>1710.1049600599026</v>
      </c>
      <c r="BE14"/>
      <c r="BF14"/>
      <c r="BG14"/>
      <c r="BH14"/>
      <c r="BI14"/>
      <c r="BJ14"/>
    </row>
    <row r="15" spans="1:62" s="14" customFormat="1">
      <c r="D15" s="29"/>
      <c r="E15" s="28"/>
      <c r="F15" s="167"/>
      <c r="G15" s="167"/>
      <c r="H15" s="166"/>
      <c r="I15" s="167"/>
      <c r="J15" s="167"/>
      <c r="K15" s="166"/>
      <c r="L15" s="167"/>
      <c r="M15" s="167"/>
      <c r="N15" s="166"/>
      <c r="O15" s="166"/>
      <c r="P15" s="166"/>
      <c r="Q15" s="166"/>
      <c r="R15" s="168"/>
      <c r="S15" s="166"/>
      <c r="T15" s="166"/>
      <c r="U15" s="168"/>
      <c r="V15" s="166"/>
      <c r="W15" s="166"/>
      <c r="X15" s="168"/>
      <c r="Y15" s="166"/>
      <c r="Z15" s="166"/>
      <c r="AA15" s="471"/>
      <c r="AB15" s="166"/>
      <c r="AC15" s="166"/>
      <c r="AD15" s="168"/>
      <c r="AE15" s="166"/>
      <c r="AF15" s="166"/>
      <c r="AG15" s="168"/>
      <c r="AH15" s="166"/>
      <c r="AI15" s="166"/>
      <c r="AJ15" s="168"/>
      <c r="AK15" s="166"/>
      <c r="AL15" s="166"/>
      <c r="AM15" s="550"/>
      <c r="AN15" s="578"/>
      <c r="AO15" s="166"/>
      <c r="AP15" s="166"/>
      <c r="AQ15" s="166"/>
      <c r="AR15" s="166"/>
      <c r="AS15" s="166"/>
      <c r="AT15" s="166"/>
      <c r="AU15" s="166"/>
      <c r="AV15" s="166"/>
      <c r="AW15" s="166"/>
      <c r="AX15" s="166"/>
      <c r="AY15" s="166"/>
      <c r="AZ15" s="166"/>
      <c r="BA15" s="166"/>
      <c r="BB15" s="166"/>
      <c r="BE15"/>
      <c r="BF15"/>
      <c r="BG15"/>
      <c r="BH15"/>
      <c r="BI15"/>
      <c r="BJ15"/>
    </row>
    <row r="16" spans="1:62" s="14" customFormat="1">
      <c r="B16" s="14" t="s">
        <v>260</v>
      </c>
      <c r="C16" s="76" t="s">
        <v>269</v>
      </c>
      <c r="D16" s="28"/>
      <c r="E16" s="28"/>
      <c r="F16" s="166"/>
      <c r="G16" s="166"/>
      <c r="H16" s="166"/>
      <c r="I16" s="166"/>
      <c r="J16" s="167"/>
      <c r="K16" s="166"/>
      <c r="L16" s="167"/>
      <c r="M16" s="166"/>
      <c r="N16" s="166"/>
      <c r="O16" s="166"/>
      <c r="P16" s="166"/>
      <c r="Q16" s="166"/>
      <c r="R16" s="166"/>
      <c r="S16" s="166"/>
      <c r="T16" s="169"/>
      <c r="U16" s="166"/>
      <c r="V16" s="166">
        <f>'Asia Pacific'!V8+Americas!V11+EMEA!V8</f>
        <v>52.358000000000004</v>
      </c>
      <c r="W16" s="169">
        <f>'Asia Pacific'!W8+Americas!W11+EMEA!W8</f>
        <v>93.402999999999992</v>
      </c>
      <c r="X16" s="166">
        <f>'Asia Pacific'!X8+Americas!X11+EMEA!X8</f>
        <v>145.761</v>
      </c>
      <c r="Y16" s="166">
        <f>'Asia Pacific'!Y8+Americas!Y11+EMEA!Y8</f>
        <v>61.694000000000003</v>
      </c>
      <c r="Z16" s="169">
        <f>'Asia Pacific'!Z8+Americas!Z11+EMEA!Z8</f>
        <v>65.759999999999991</v>
      </c>
      <c r="AA16" s="466">
        <f>'Asia Pacific'!AA8+Americas!AA11+EMEA!AA8</f>
        <v>127.45400000000001</v>
      </c>
      <c r="AB16" s="166">
        <f>'Asia Pacific'!AB8+Americas!AB11+EMEA!AB8</f>
        <v>67.251999999999995</v>
      </c>
      <c r="AC16" s="169">
        <f>'Asia Pacific'!AC8+Americas!AC11+EMEA!AC8</f>
        <v>56.180999999999997</v>
      </c>
      <c r="AD16" s="166">
        <f>'Asia Pacific'!AD8+Americas!AD11+EMEA!AD8</f>
        <v>123.43299999999999</v>
      </c>
      <c r="AE16" s="166">
        <f>'Asia Pacific'!AE8+Americas!AE11+EMEA!AE8</f>
        <v>56.824999999999996</v>
      </c>
      <c r="AF16" s="169">
        <f>'Asia Pacific'!AF8+Americas!AF11+EMEA!AF8</f>
        <v>51.944000000000003</v>
      </c>
      <c r="AG16" s="166">
        <f>'Asia Pacific'!AG8+Americas!AG11+EMEA!AG8</f>
        <v>108.76900000000001</v>
      </c>
      <c r="AH16" s="166">
        <f>'Asia Pacific'!AH8+Americas!AH11+EMEA!AH8</f>
        <v>42.848999999999997</v>
      </c>
      <c r="AI16" s="169">
        <f>'Asia Pacific'!AI8+Americas!AI11+EMEA!AI8</f>
        <v>68.653999999999996</v>
      </c>
      <c r="AJ16" s="166">
        <f>'Asia Pacific'!AJ8+Americas!AJ11+EMEA!AJ8</f>
        <v>111.50300000000001</v>
      </c>
      <c r="AK16" s="166">
        <f>'Asia Pacific'!AK8+Americas!AK11+EMEA!AK8</f>
        <v>36.200999999999993</v>
      </c>
      <c r="AL16" s="169">
        <f>'Asia Pacific'!AL8+Americas!AL11+EMEA!AL8</f>
        <v>39.923000000000002</v>
      </c>
      <c r="AM16" s="430">
        <f>'Asia Pacific'!AM8+Americas!AM11+EMEA!AM8</f>
        <v>76.123999999999995</v>
      </c>
      <c r="AN16" s="578">
        <f>'Asia Pacific'!AN8+Americas!AN11+EMEA!AN8</f>
        <v>37.519999999999996</v>
      </c>
      <c r="AO16" s="166">
        <f>'Asia Pacific'!AO8+Americas!AO11+EMEA!AO8</f>
        <v>41.218293267900904</v>
      </c>
      <c r="AP16" s="166">
        <f>'Asia Pacific'!AP8+Americas!AP11+EMEA!AP8</f>
        <v>78.7382932679009</v>
      </c>
      <c r="AQ16" s="166">
        <f>'Asia Pacific'!AQ8+Americas!AQ11+EMEA!AQ8</f>
        <v>38.835011469357951</v>
      </c>
      <c r="AR16" s="166">
        <f>'Asia Pacific'!AR8+Americas!AR11+EMEA!AR8</f>
        <v>42.989146038328826</v>
      </c>
      <c r="AS16" s="166">
        <f>'Asia Pacific'!AS8+Americas!AS11+EMEA!AS8</f>
        <v>81.824157507686778</v>
      </c>
      <c r="AT16" s="166">
        <f>'Asia Pacific'!AT8+Americas!AT11+EMEA!AT8</f>
        <v>40.842476921395438</v>
      </c>
      <c r="AU16" s="166">
        <f>'Asia Pacific'!AU8+Americas!AU11+EMEA!AU8</f>
        <v>45.042628780093708</v>
      </c>
      <c r="AV16" s="166">
        <f>'Asia Pacific'!AV8+Americas!AV11+EMEA!AV8</f>
        <v>85.885105701489152</v>
      </c>
      <c r="AW16" s="166">
        <f>'Asia Pacific'!AW8+Americas!AW11+EMEA!AW8</f>
        <v>42.171094531404194</v>
      </c>
      <c r="AX16" s="166">
        <f>'Asia Pacific'!AX8+Americas!AX11+EMEA!AX8</f>
        <v>46.547482924785243</v>
      </c>
      <c r="AY16" s="166">
        <f>'Asia Pacific'!AY8+Americas!AY11+EMEA!AY8</f>
        <v>88.718577456189422</v>
      </c>
      <c r="AZ16" s="166">
        <f>'Asia Pacific'!AZ8+Americas!AZ11+EMEA!AZ8</f>
        <v>43.451872665236877</v>
      </c>
      <c r="BA16" s="166">
        <f>'Asia Pacific'!BA8+Americas!BA11+EMEA!BA8</f>
        <v>47.977237748210101</v>
      </c>
      <c r="BB16" s="166">
        <f>'Asia Pacific'!BB8+Americas!BB11+EMEA!BB8</f>
        <v>91.429110413446978</v>
      </c>
      <c r="BE16"/>
      <c r="BF16"/>
      <c r="BG16"/>
      <c r="BH16"/>
      <c r="BI16"/>
      <c r="BJ16"/>
    </row>
    <row r="17" spans="1:62" s="14" customFormat="1">
      <c r="D17" s="29"/>
      <c r="E17" s="28"/>
      <c r="F17" s="167"/>
      <c r="G17" s="167"/>
      <c r="H17" s="166"/>
      <c r="I17" s="167"/>
      <c r="J17" s="167"/>
      <c r="K17" s="166"/>
      <c r="L17" s="167"/>
      <c r="M17" s="167"/>
      <c r="N17" s="166"/>
      <c r="O17" s="166"/>
      <c r="P17" s="166"/>
      <c r="Q17" s="166"/>
      <c r="R17" s="166"/>
      <c r="S17" s="166"/>
      <c r="T17" s="166"/>
      <c r="U17" s="166"/>
      <c r="V17" s="166"/>
      <c r="W17" s="166"/>
      <c r="X17" s="166"/>
      <c r="Y17" s="166"/>
      <c r="Z17" s="166"/>
      <c r="AA17" s="466"/>
      <c r="AB17" s="166"/>
      <c r="AC17" s="166"/>
      <c r="AD17" s="166"/>
      <c r="AE17" s="166"/>
      <c r="AF17" s="166"/>
      <c r="AG17" s="166"/>
      <c r="AH17" s="166"/>
      <c r="AI17" s="166"/>
      <c r="AJ17" s="166"/>
      <c r="AK17" s="166"/>
      <c r="AL17" s="166"/>
      <c r="AM17" s="430"/>
      <c r="AN17" s="578"/>
      <c r="AO17" s="166"/>
      <c r="AP17" s="166"/>
      <c r="AQ17" s="166"/>
      <c r="AR17" s="166"/>
      <c r="AS17" s="166"/>
      <c r="AT17" s="166"/>
      <c r="AU17" s="166"/>
      <c r="AV17" s="166"/>
      <c r="AW17" s="166"/>
      <c r="AX17" s="166"/>
      <c r="AY17" s="166"/>
      <c r="AZ17" s="166"/>
      <c r="BA17" s="166"/>
      <c r="BB17" s="166"/>
      <c r="BE17"/>
      <c r="BF17"/>
      <c r="BG17"/>
      <c r="BH17"/>
      <c r="BI17"/>
      <c r="BJ17"/>
    </row>
    <row r="18" spans="1:62" s="14" customFormat="1">
      <c r="B18" s="79" t="s">
        <v>261</v>
      </c>
      <c r="C18" s="80" t="s">
        <v>269</v>
      </c>
      <c r="D18" s="35"/>
      <c r="E18" s="35"/>
      <c r="F18" s="170"/>
      <c r="G18" s="170"/>
      <c r="H18" s="170"/>
      <c r="I18" s="170"/>
      <c r="J18" s="170"/>
      <c r="K18" s="170"/>
      <c r="L18" s="170"/>
      <c r="M18" s="170"/>
      <c r="N18" s="170"/>
      <c r="O18" s="170"/>
      <c r="P18" s="170"/>
      <c r="Q18" s="170"/>
      <c r="R18" s="170"/>
      <c r="S18" s="170"/>
      <c r="T18" s="170"/>
      <c r="U18" s="170"/>
      <c r="V18" s="170">
        <f t="shared" ref="V18:AJ18" si="13">V14-V16</f>
        <v>389.75</v>
      </c>
      <c r="W18" s="170">
        <f t="shared" si="13"/>
        <v>772.66099999999994</v>
      </c>
      <c r="X18" s="519">
        <f t="shared" si="13"/>
        <v>1162.4110000000001</v>
      </c>
      <c r="Y18" s="170">
        <f t="shared" si="13"/>
        <v>464.18800000000005</v>
      </c>
      <c r="Z18" s="170">
        <f t="shared" si="13"/>
        <v>537.36799999999994</v>
      </c>
      <c r="AA18" s="472">
        <f t="shared" si="13"/>
        <v>1001.5559999999998</v>
      </c>
      <c r="AB18" s="463">
        <f t="shared" ref="AB18:AD18" si="14">AB14-AB16</f>
        <v>521.83500000000004</v>
      </c>
      <c r="AC18" s="170">
        <f t="shared" si="14"/>
        <v>650.32500000000005</v>
      </c>
      <c r="AD18" s="170">
        <f t="shared" si="14"/>
        <v>1172.1599999999999</v>
      </c>
      <c r="AE18" s="463">
        <f t="shared" ref="AE18:AG18" si="15">AE14-AE16</f>
        <v>601.29999999999995</v>
      </c>
      <c r="AF18" s="170">
        <f t="shared" si="15"/>
        <v>642.50199999999995</v>
      </c>
      <c r="AG18" s="463">
        <f t="shared" si="15"/>
        <v>1243.8020000000001</v>
      </c>
      <c r="AH18" s="166">
        <f t="shared" si="13"/>
        <v>589.529</v>
      </c>
      <c r="AI18" s="170">
        <f t="shared" si="13"/>
        <v>656.22499999999991</v>
      </c>
      <c r="AJ18" s="463">
        <f t="shared" si="13"/>
        <v>1245.7539999999999</v>
      </c>
      <c r="AK18" s="166">
        <f t="shared" ref="AK18:AM18" si="16">AK14-AK16</f>
        <v>676.52499999999998</v>
      </c>
      <c r="AL18" s="170">
        <f t="shared" si="16"/>
        <v>638.15899999999988</v>
      </c>
      <c r="AM18" s="551">
        <f t="shared" si="16"/>
        <v>1314.6839999999997</v>
      </c>
      <c r="AN18" s="578">
        <f t="shared" ref="AN18" si="17">AN14-AN16</f>
        <v>645.38099999999997</v>
      </c>
      <c r="AO18" s="170">
        <f t="shared" ref="AO18:BB18" si="18">AO14-AO16</f>
        <v>676.22328308903877</v>
      </c>
      <c r="AP18" s="170">
        <f t="shared" si="18"/>
        <v>1321.6042830890387</v>
      </c>
      <c r="AQ18" s="170">
        <f t="shared" si="18"/>
        <v>703.64225078793129</v>
      </c>
      <c r="AR18" s="170">
        <f t="shared" si="18"/>
        <v>713.59154443810758</v>
      </c>
      <c r="AS18" s="170">
        <f t="shared" si="18"/>
        <v>1417.2337952260391</v>
      </c>
      <c r="AT18" s="170">
        <f t="shared" si="18"/>
        <v>746.43167481948217</v>
      </c>
      <c r="AU18" s="170">
        <f t="shared" si="18"/>
        <v>751.80856386044206</v>
      </c>
      <c r="AV18" s="170">
        <f t="shared" si="18"/>
        <v>1498.2402386799242</v>
      </c>
      <c r="AW18" s="170">
        <f t="shared" si="18"/>
        <v>776.76941786858561</v>
      </c>
      <c r="AX18" s="170">
        <f t="shared" si="18"/>
        <v>782.47280760504168</v>
      </c>
      <c r="AY18" s="170">
        <f t="shared" si="18"/>
        <v>1559.2422254736273</v>
      </c>
      <c r="AZ18" s="170">
        <f t="shared" si="18"/>
        <v>805.91945448842455</v>
      </c>
      <c r="BA18" s="170">
        <f t="shared" si="18"/>
        <v>812.75639515803095</v>
      </c>
      <c r="BB18" s="170">
        <f t="shared" si="18"/>
        <v>1618.6758496464556</v>
      </c>
      <c r="BE18"/>
      <c r="BF18"/>
      <c r="BG18"/>
      <c r="BH18"/>
      <c r="BI18"/>
      <c r="BJ18"/>
    </row>
    <row r="19" spans="1:62" s="14" customFormat="1">
      <c r="D19" s="29"/>
      <c r="E19" s="28"/>
      <c r="F19" s="167"/>
      <c r="G19" s="167"/>
      <c r="H19" s="166"/>
      <c r="I19" s="167"/>
      <c r="J19" s="167"/>
      <c r="K19" s="166"/>
      <c r="L19" s="167"/>
      <c r="M19" s="167"/>
      <c r="N19" s="166"/>
      <c r="O19" s="168"/>
      <c r="P19" s="166"/>
      <c r="Q19" s="166"/>
      <c r="R19" s="166"/>
      <c r="S19" s="166"/>
      <c r="T19" s="166"/>
      <c r="U19" s="166"/>
      <c r="V19" s="166"/>
      <c r="W19" s="166"/>
      <c r="X19" s="166"/>
      <c r="Y19" s="166"/>
      <c r="Z19" s="166"/>
      <c r="AA19" s="466"/>
      <c r="AB19" s="166"/>
      <c r="AC19" s="166"/>
      <c r="AD19" s="166"/>
      <c r="AE19" s="166"/>
      <c r="AF19" s="166"/>
      <c r="AG19" s="166"/>
      <c r="AH19" s="166"/>
      <c r="AI19" s="166"/>
      <c r="AJ19" s="546">
        <f>AJ18/AG18-1</f>
        <v>1.569381621833621E-3</v>
      </c>
      <c r="AK19" s="546">
        <f t="shared" ref="AK19:BB19" si="19">AK18/AH18-1</f>
        <v>0.14756865226307769</v>
      </c>
      <c r="AL19" s="166"/>
      <c r="AM19" s="552">
        <f>AM18/AJ18-1</f>
        <v>5.5331951573103444E-2</v>
      </c>
      <c r="AN19" s="579">
        <f t="shared" si="19"/>
        <v>-4.6035253686116606E-2</v>
      </c>
      <c r="AO19" s="546">
        <f t="shared" si="19"/>
        <v>5.9647020709633347E-2</v>
      </c>
      <c r="AP19" s="546">
        <f t="shared" si="19"/>
        <v>5.2638376134790388E-3</v>
      </c>
      <c r="AQ19" s="546">
        <f t="shared" si="19"/>
        <v>9.0274195843898841E-2</v>
      </c>
      <c r="AR19" s="546">
        <f t="shared" si="19"/>
        <v>5.5260240638813629E-2</v>
      </c>
      <c r="AS19" s="546">
        <f t="shared" si="19"/>
        <v>7.2358657852925168E-2</v>
      </c>
      <c r="AT19" s="546">
        <f t="shared" si="19"/>
        <v>6.0811334145491891E-2</v>
      </c>
      <c r="AU19" s="546">
        <f t="shared" si="19"/>
        <v>5.3555874814109616E-2</v>
      </c>
      <c r="AV19" s="546">
        <f t="shared" si="19"/>
        <v>5.7158137017869537E-2</v>
      </c>
      <c r="AW19" s="546">
        <f t="shared" si="19"/>
        <v>4.0643697303494486E-2</v>
      </c>
      <c r="AX19" s="546">
        <f t="shared" si="19"/>
        <v>4.0787303069736991E-2</v>
      </c>
      <c r="AY19" s="546">
        <f t="shared" si="19"/>
        <v>4.0715757873017067E-2</v>
      </c>
      <c r="AZ19" s="546">
        <f t="shared" si="19"/>
        <v>3.7527271220106906E-2</v>
      </c>
      <c r="BA19" s="546">
        <f t="shared" si="19"/>
        <v>3.8702415289906256E-2</v>
      </c>
      <c r="BB19" s="546">
        <f t="shared" si="19"/>
        <v>3.81169924735556E-2</v>
      </c>
      <c r="BE19"/>
      <c r="BF19"/>
      <c r="BG19"/>
      <c r="BH19"/>
      <c r="BI19"/>
      <c r="BJ19"/>
    </row>
    <row r="20" spans="1:62">
      <c r="B20" s="7" t="s">
        <v>193</v>
      </c>
      <c r="C20" s="73" t="s">
        <v>269</v>
      </c>
      <c r="D20" s="30"/>
      <c r="E20" s="30"/>
      <c r="F20" s="165"/>
      <c r="G20" s="165"/>
      <c r="H20" s="165"/>
      <c r="I20" s="165"/>
      <c r="J20" s="165"/>
      <c r="K20" s="165"/>
      <c r="L20" s="165"/>
      <c r="M20" s="165"/>
      <c r="N20" s="165"/>
      <c r="O20" s="165"/>
      <c r="P20" s="165"/>
      <c r="Q20" s="165"/>
      <c r="R20" s="165"/>
      <c r="S20" s="165"/>
      <c r="T20" s="165"/>
      <c r="U20" s="165"/>
      <c r="V20" s="165">
        <f>V18-V22</f>
        <v>222.642</v>
      </c>
      <c r="W20" s="165">
        <f>W18-W22</f>
        <v>462.49799999999993</v>
      </c>
      <c r="X20" s="165">
        <f>SUM(V20:W20)</f>
        <v>685.13999999999987</v>
      </c>
      <c r="Y20" s="165">
        <f>Y18-Y22</f>
        <v>258.16200000000003</v>
      </c>
      <c r="Z20" s="165">
        <f>Z18-Z22</f>
        <v>302.40499999999997</v>
      </c>
      <c r="AA20" s="394">
        <f>SUM(Y20:Z20)</f>
        <v>560.56700000000001</v>
      </c>
      <c r="AB20" s="165">
        <f>AB18-AB22</f>
        <v>308.42500000000007</v>
      </c>
      <c r="AC20" s="165">
        <f>AC18-AC22</f>
        <v>403.173</v>
      </c>
      <c r="AD20" s="165">
        <f>SUM(AB20:AC20)</f>
        <v>711.59800000000007</v>
      </c>
      <c r="AE20" s="165">
        <f>AE18-AE22</f>
        <v>375.26399999999995</v>
      </c>
      <c r="AF20" s="165">
        <f>AF18-AF22</f>
        <v>390.33199999999994</v>
      </c>
      <c r="AG20" s="165">
        <f>SUM(AE20:AF20)</f>
        <v>765.59599999999989</v>
      </c>
      <c r="AH20" s="165">
        <f>AH18-AH22</f>
        <v>358.93700000000001</v>
      </c>
      <c r="AI20" s="165">
        <f>AI18-AI22</f>
        <v>398.05499999999995</v>
      </c>
      <c r="AJ20" s="165">
        <f>SUM(AH20:AI20)</f>
        <v>756.99199999999996</v>
      </c>
      <c r="AK20" s="165">
        <f>AK18-AK22</f>
        <v>410.846</v>
      </c>
      <c r="AL20" s="165">
        <f>AL18-AL22</f>
        <v>392.97099999999983</v>
      </c>
      <c r="AM20" s="428">
        <f>SUM(AK20:AL20)</f>
        <v>803.81699999999978</v>
      </c>
      <c r="AN20" s="577">
        <f>AN18-AN22</f>
        <v>416.60699999999997</v>
      </c>
      <c r="AO20" s="165">
        <f>AO18-AO22</f>
        <v>416.80323474119086</v>
      </c>
      <c r="AP20" s="165">
        <f>SUM(AN20:AO20)</f>
        <v>833.41023474119083</v>
      </c>
      <c r="AQ20" s="165">
        <f>AQ18-AQ22</f>
        <v>454.9100140572059</v>
      </c>
      <c r="AR20" s="165">
        <f>AR18-AR22</f>
        <v>440.01916479001699</v>
      </c>
      <c r="AS20" s="165">
        <f>SUM(AQ20:AR20)</f>
        <v>894.92917884722283</v>
      </c>
      <c r="AT20" s="165">
        <f>AT18-AT22</f>
        <v>482.6923380922442</v>
      </c>
      <c r="AU20" s="165">
        <f>AU18-AU22</f>
        <v>463.67475375908589</v>
      </c>
      <c r="AV20" s="165">
        <f>SUM(AT20:AU20)</f>
        <v>946.36709185133009</v>
      </c>
      <c r="AW20" s="165">
        <f>AW18-AW22</f>
        <v>502.42174992873009</v>
      </c>
      <c r="AX20" s="165">
        <f>AX18-AX22</f>
        <v>482.70695776029243</v>
      </c>
      <c r="AY20" s="165">
        <f>SUM(AW20:AX20)</f>
        <v>985.12870768902258</v>
      </c>
      <c r="AZ20" s="165">
        <f>AZ18-AZ22</f>
        <v>521.37736713132335</v>
      </c>
      <c r="BA20" s="165">
        <f>BA18-BA22</f>
        <v>501.52330242733535</v>
      </c>
      <c r="BB20" s="165">
        <f>SUM(AZ20:BA20)</f>
        <v>1022.9006695586587</v>
      </c>
    </row>
    <row r="21" spans="1:62">
      <c r="D21" s="30"/>
      <c r="E21" s="30"/>
      <c r="F21" s="165"/>
      <c r="G21" s="165"/>
      <c r="H21" s="165"/>
      <c r="I21" s="165"/>
      <c r="J21" s="165"/>
      <c r="K21" s="165"/>
      <c r="L21" s="165"/>
      <c r="M21" s="165"/>
      <c r="N21" s="165"/>
      <c r="O21" s="165"/>
      <c r="P21" s="165"/>
      <c r="Q21" s="165"/>
      <c r="R21" s="165"/>
      <c r="S21" s="165"/>
      <c r="T21" s="165"/>
      <c r="U21" s="165"/>
      <c r="V21" s="165"/>
      <c r="W21" s="165"/>
      <c r="X21" s="165"/>
      <c r="Y21" s="165"/>
      <c r="Z21" s="165"/>
      <c r="AB21" s="165"/>
      <c r="AC21" s="165"/>
      <c r="AD21" s="165"/>
      <c r="AE21" s="165"/>
      <c r="AF21" s="165"/>
      <c r="AG21" s="165"/>
      <c r="AH21" s="165"/>
      <c r="AI21" s="165"/>
      <c r="AJ21" s="165"/>
      <c r="AK21" s="165"/>
      <c r="AL21" s="165"/>
      <c r="AM21" s="428"/>
      <c r="AN21" s="577"/>
      <c r="AO21" s="165"/>
      <c r="AP21" s="165"/>
      <c r="AQ21" s="165"/>
      <c r="AR21" s="165"/>
      <c r="AS21" s="165"/>
      <c r="AT21" s="165"/>
      <c r="AU21" s="165"/>
      <c r="AV21" s="165"/>
      <c r="AW21" s="165"/>
      <c r="AX21" s="165"/>
      <c r="AY21" s="165"/>
      <c r="AZ21" s="165"/>
      <c r="BA21" s="165"/>
      <c r="BB21" s="165"/>
    </row>
    <row r="22" spans="1:62">
      <c r="B22" s="7" t="s">
        <v>97</v>
      </c>
      <c r="C22" s="73" t="s">
        <v>269</v>
      </c>
      <c r="D22" s="30"/>
      <c r="E22" s="30"/>
      <c r="F22" s="171"/>
      <c r="G22" s="171"/>
      <c r="H22" s="165"/>
      <c r="I22" s="171"/>
      <c r="J22" s="171"/>
      <c r="K22" s="165"/>
      <c r="L22" s="165"/>
      <c r="M22" s="171"/>
      <c r="N22" s="165"/>
      <c r="O22" s="171"/>
      <c r="P22" s="171"/>
      <c r="Q22" s="165"/>
      <c r="R22" s="171"/>
      <c r="S22" s="171"/>
      <c r="T22" s="165"/>
      <c r="U22" s="171"/>
      <c r="V22" s="171">
        <v>167.108</v>
      </c>
      <c r="W22" s="165">
        <f>X22-V22</f>
        <v>310.16300000000001</v>
      </c>
      <c r="X22" s="171">
        <v>477.27100000000002</v>
      </c>
      <c r="Y22" s="171">
        <v>206.02600000000001</v>
      </c>
      <c r="Z22" s="165">
        <f>AA22-Y22</f>
        <v>234.96299999999997</v>
      </c>
      <c r="AA22" s="473">
        <v>440.98899999999998</v>
      </c>
      <c r="AB22" s="171">
        <v>213.41</v>
      </c>
      <c r="AC22" s="165">
        <f>AD22-AB22</f>
        <v>247.15200000000002</v>
      </c>
      <c r="AD22" s="171">
        <v>460.56200000000001</v>
      </c>
      <c r="AE22" s="171">
        <v>226.036</v>
      </c>
      <c r="AF22" s="165">
        <f>AG22-AE22</f>
        <v>252.17000000000002</v>
      </c>
      <c r="AG22" s="171">
        <v>478.20600000000002</v>
      </c>
      <c r="AH22" s="171">
        <v>230.59200000000001</v>
      </c>
      <c r="AI22" s="165">
        <f>AJ22-AH22</f>
        <v>258.16999999999996</v>
      </c>
      <c r="AJ22" s="171">
        <v>488.762</v>
      </c>
      <c r="AK22" s="171">
        <v>265.67899999999997</v>
      </c>
      <c r="AL22" s="165">
        <f>AM22-AK22</f>
        <v>245.18800000000005</v>
      </c>
      <c r="AM22" s="425">
        <v>510.86700000000002</v>
      </c>
      <c r="AN22" s="580">
        <v>228.774</v>
      </c>
      <c r="AO22" s="165">
        <f>AO14*AO23</f>
        <v>259.42004834784791</v>
      </c>
      <c r="AP22" s="165">
        <f>SUM(AN22:AO22)</f>
        <v>488.19404834784791</v>
      </c>
      <c r="AQ22" s="165">
        <f>AQ14*AQ23</f>
        <v>248.73223673072536</v>
      </c>
      <c r="AR22" s="165">
        <f>AR14*AR23</f>
        <v>273.57237964809059</v>
      </c>
      <c r="AS22" s="165">
        <f>SUM(AQ22:AR22)</f>
        <v>522.30461637881592</v>
      </c>
      <c r="AT22" s="165">
        <f>AT14*AT23</f>
        <v>263.73933672723797</v>
      </c>
      <c r="AU22" s="165">
        <f>AU14*AU23</f>
        <v>288.13381010135618</v>
      </c>
      <c r="AV22" s="165">
        <f>SUM(AT22:AU22)</f>
        <v>551.87314682859414</v>
      </c>
      <c r="AW22" s="165">
        <f>AW14*AW23</f>
        <v>274.34766793985551</v>
      </c>
      <c r="AX22" s="165">
        <f>AX14*AX23</f>
        <v>299.76584984474925</v>
      </c>
      <c r="AY22" s="165">
        <f>SUM(AW22:AX22)</f>
        <v>574.11351778460471</v>
      </c>
      <c r="AZ22" s="165">
        <f>AZ14*AZ23</f>
        <v>284.5420873571012</v>
      </c>
      <c r="BA22" s="165">
        <f>BA14*BA23</f>
        <v>311.2330927306956</v>
      </c>
      <c r="BB22" s="165">
        <f>SUM(AZ22:BA22)</f>
        <v>595.7751800877968</v>
      </c>
    </row>
    <row r="23" spans="1:62">
      <c r="B23" s="40" t="s">
        <v>280</v>
      </c>
      <c r="C23" s="73" t="s">
        <v>82</v>
      </c>
      <c r="D23" s="30"/>
      <c r="E23" s="30"/>
      <c r="F23" s="32"/>
      <c r="G23" s="32"/>
      <c r="H23" s="32"/>
      <c r="I23" s="32"/>
      <c r="J23" s="32"/>
      <c r="K23" s="32"/>
      <c r="L23" s="32"/>
      <c r="M23" s="32"/>
      <c r="N23" s="32"/>
      <c r="O23" s="32"/>
      <c r="P23" s="32"/>
      <c r="Q23" s="32"/>
      <c r="R23" s="32"/>
      <c r="S23" s="32"/>
      <c r="T23" s="32"/>
      <c r="U23" s="32"/>
      <c r="V23" s="32">
        <f t="shared" ref="V23:AA23" si="20">V22/V14</f>
        <v>0.37798004107593619</v>
      </c>
      <c r="W23" s="32">
        <f t="shared" si="20"/>
        <v>0.35812942230597278</v>
      </c>
      <c r="X23" s="32">
        <f t="shared" si="20"/>
        <v>0.36483810997330629</v>
      </c>
      <c r="Y23" s="32">
        <f t="shared" si="20"/>
        <v>0.39177229872861208</v>
      </c>
      <c r="Z23" s="32">
        <f t="shared" si="20"/>
        <v>0.38957402077171016</v>
      </c>
      <c r="AA23" s="32">
        <f t="shared" si="20"/>
        <v>0.39059795750259085</v>
      </c>
      <c r="AB23" s="32">
        <f t="shared" ref="AB23:AD23" si="21">AB22/AB14</f>
        <v>0.36227246569691746</v>
      </c>
      <c r="AC23" s="32">
        <f t="shared" si="21"/>
        <v>0.34982293144007265</v>
      </c>
      <c r="AD23" s="32">
        <f t="shared" si="21"/>
        <v>0.35548355077559085</v>
      </c>
      <c r="AE23" s="32">
        <f>AE22/AE14</f>
        <v>0.34345451092117757</v>
      </c>
      <c r="AF23" s="32">
        <f t="shared" ref="AF23:AG23" si="22">AF22/AF14</f>
        <v>0.36312398660227008</v>
      </c>
      <c r="AG23" s="32">
        <f t="shared" si="22"/>
        <v>0.35355334396493787</v>
      </c>
      <c r="AH23" s="32">
        <f>AH22/AH14</f>
        <v>0.36464266625341174</v>
      </c>
      <c r="AI23" s="32">
        <f t="shared" ref="AI23:AJ23" si="23">AI22/AI14</f>
        <v>0.35615599293123401</v>
      </c>
      <c r="AJ23" s="32">
        <f t="shared" si="23"/>
        <v>0.36011013389505453</v>
      </c>
      <c r="AK23" s="32">
        <f>AK22/AK14</f>
        <v>0.37276456871224001</v>
      </c>
      <c r="AL23" s="32">
        <f t="shared" ref="AL23:AM23" si="24">AL22/AL14</f>
        <v>0.36159048610640027</v>
      </c>
      <c r="AM23" s="33">
        <f t="shared" si="24"/>
        <v>0.36731669648146986</v>
      </c>
      <c r="AN23" s="581">
        <f>AN22/AN14</f>
        <v>0.33500317029847665</v>
      </c>
      <c r="AO23" s="34">
        <f>AL23</f>
        <v>0.36159048610640027</v>
      </c>
      <c r="AP23" s="32">
        <f>AP22/AP14</f>
        <v>0.34862472697067376</v>
      </c>
      <c r="AQ23" s="34">
        <f>AN23</f>
        <v>0.33500317029847665</v>
      </c>
      <c r="AR23" s="34">
        <f>AO23</f>
        <v>0.36159048610640027</v>
      </c>
      <c r="AS23" s="32">
        <f>AS22/AS14</f>
        <v>0.34842189751658764</v>
      </c>
      <c r="AT23" s="34">
        <f>AQ23</f>
        <v>0.33500317029847665</v>
      </c>
      <c r="AU23" s="34">
        <f>AR23</f>
        <v>0.36159048610640027</v>
      </c>
      <c r="AV23" s="32">
        <f>AV22/AV14</f>
        <v>0.34837719678305862</v>
      </c>
      <c r="AW23" s="34">
        <f>AT23</f>
        <v>0.33500317029847665</v>
      </c>
      <c r="AX23" s="34">
        <f>AU23</f>
        <v>0.36159048610640027</v>
      </c>
      <c r="AY23" s="32">
        <f>AY22/AY14</f>
        <v>0.34837813906976467</v>
      </c>
      <c r="AZ23" s="34">
        <f>AW23</f>
        <v>0.33500317029847665</v>
      </c>
      <c r="BA23" s="34">
        <f>AX23</f>
        <v>0.36159048610640027</v>
      </c>
      <c r="BB23" s="32">
        <f>BB22/BB14</f>
        <v>0.34838515412932758</v>
      </c>
    </row>
    <row r="24" spans="1:62">
      <c r="B24" s="40"/>
      <c r="D24" s="30"/>
      <c r="E24" s="30"/>
      <c r="F24" s="32"/>
      <c r="G24" s="32"/>
      <c r="H24" s="32"/>
      <c r="I24" s="32"/>
      <c r="J24" s="32"/>
      <c r="K24" s="32"/>
      <c r="L24" s="32"/>
      <c r="M24" s="32"/>
      <c r="N24" s="32"/>
      <c r="O24" s="32"/>
      <c r="P24" s="34"/>
      <c r="Q24" s="34"/>
      <c r="R24" s="34"/>
      <c r="S24" s="34"/>
      <c r="T24" s="34"/>
      <c r="U24" s="34"/>
      <c r="V24" s="34"/>
      <c r="W24" s="34"/>
      <c r="X24" s="34"/>
      <c r="Y24" s="34"/>
      <c r="Z24" s="34"/>
      <c r="AA24" s="475"/>
      <c r="AB24" s="34"/>
      <c r="AC24" s="34"/>
      <c r="AD24" s="34"/>
      <c r="AE24" s="34"/>
      <c r="AF24" s="34"/>
      <c r="AG24" s="34"/>
      <c r="AH24" s="34"/>
      <c r="AI24" s="34"/>
      <c r="AJ24" s="34"/>
      <c r="AK24" s="34"/>
      <c r="AL24" s="34"/>
      <c r="AM24" s="433"/>
      <c r="AN24" s="582"/>
      <c r="AO24" s="34"/>
      <c r="AP24" s="34"/>
      <c r="AQ24" s="34"/>
      <c r="AR24" s="34"/>
      <c r="AS24" s="34"/>
      <c r="AT24" s="34"/>
      <c r="AU24" s="34"/>
      <c r="AV24" s="34"/>
      <c r="AW24" s="34"/>
      <c r="AX24" s="34"/>
      <c r="AY24" s="34"/>
      <c r="AZ24" s="34"/>
      <c r="BA24" s="34"/>
      <c r="BB24" s="34"/>
    </row>
    <row r="25" spans="1:62">
      <c r="B25" s="7" t="s">
        <v>41</v>
      </c>
      <c r="C25" s="73" t="s">
        <v>269</v>
      </c>
      <c r="D25" s="30"/>
      <c r="E25" s="30"/>
      <c r="F25" s="165"/>
      <c r="G25" s="165"/>
      <c r="H25" s="165"/>
      <c r="I25" s="165"/>
      <c r="J25" s="165"/>
      <c r="K25" s="165"/>
      <c r="L25" s="165"/>
      <c r="M25" s="165"/>
      <c r="N25" s="165"/>
      <c r="O25" s="165"/>
      <c r="P25" s="165"/>
      <c r="Q25" s="165"/>
      <c r="R25" s="165"/>
      <c r="S25" s="165"/>
      <c r="T25" s="165"/>
      <c r="U25" s="165"/>
      <c r="V25" s="165">
        <f t="shared" ref="V25:AA25" si="25">V18-(V20+V37)</f>
        <v>80.612000000000023</v>
      </c>
      <c r="W25" s="165">
        <f t="shared" si="25"/>
        <v>177.255</v>
      </c>
      <c r="X25" s="165">
        <f t="shared" si="25"/>
        <v>257.86700000000019</v>
      </c>
      <c r="Y25" s="165">
        <f t="shared" si="25"/>
        <v>86.021999999999991</v>
      </c>
      <c r="Z25" s="165">
        <f t="shared" si="25"/>
        <v>94.241999999999962</v>
      </c>
      <c r="AA25" s="394">
        <f t="shared" si="25"/>
        <v>180.2639999999999</v>
      </c>
      <c r="AB25" s="165">
        <f t="shared" ref="AB25:AD25" si="26">AB18-(AB20+AB37)</f>
        <v>87.951000000000022</v>
      </c>
      <c r="AC25" s="165">
        <f t="shared" si="26"/>
        <v>104.00900000000001</v>
      </c>
      <c r="AD25" s="165">
        <f t="shared" si="26"/>
        <v>191.95999999999981</v>
      </c>
      <c r="AE25" s="165">
        <f>AE18-(AE20+AE37)</f>
        <v>97.936000000000035</v>
      </c>
      <c r="AF25" s="165">
        <f t="shared" ref="AF25:AG25" si="27">AF18-(AF20+AF37)</f>
        <v>105.67900000000009</v>
      </c>
      <c r="AG25" s="165">
        <f t="shared" si="27"/>
        <v>203.61500000000024</v>
      </c>
      <c r="AH25" s="165">
        <f>AH18-(AH20+AH37)</f>
        <v>105.79199999999997</v>
      </c>
      <c r="AI25" s="165">
        <f t="shared" ref="AI25:AJ25" si="28">AI18-(AI20+AI37)</f>
        <v>108.34099999999989</v>
      </c>
      <c r="AJ25" s="165">
        <f t="shared" si="28"/>
        <v>214.13299999999981</v>
      </c>
      <c r="AK25" s="165">
        <f>AK18-(AK20+AK37)</f>
        <v>121.87900000000002</v>
      </c>
      <c r="AL25" s="165">
        <f t="shared" ref="AL25:AM25" si="29">AL18-(AL20+AL37)</f>
        <v>111.28800000000001</v>
      </c>
      <c r="AM25" s="428">
        <f t="shared" si="29"/>
        <v>233.16699999999992</v>
      </c>
      <c r="AN25" s="577">
        <f>AN18-(AN20+AN37)</f>
        <v>117.67499999999995</v>
      </c>
      <c r="AO25" s="165">
        <f t="shared" ref="AO25:BB25" si="30">AO18-(AO20+AO37)</f>
        <v>124.78259925208852</v>
      </c>
      <c r="AP25" s="165">
        <f t="shared" si="30"/>
        <v>242.45759925208836</v>
      </c>
      <c r="AQ25" s="165">
        <f t="shared" si="30"/>
        <v>107.8316952165718</v>
      </c>
      <c r="AR25" s="165">
        <f t="shared" si="30"/>
        <v>120.30064499051718</v>
      </c>
      <c r="AS25" s="165">
        <f t="shared" si="30"/>
        <v>228.13234020708933</v>
      </c>
      <c r="AT25" s="165">
        <f t="shared" si="30"/>
        <v>110.43810891668409</v>
      </c>
      <c r="AU25" s="165">
        <f t="shared" si="30"/>
        <v>122.39042015618645</v>
      </c>
      <c r="AV25" s="165">
        <f t="shared" si="30"/>
        <v>232.82852907287065</v>
      </c>
      <c r="AW25" s="165">
        <f t="shared" si="30"/>
        <v>113.4183980583889</v>
      </c>
      <c r="AX25" s="165">
        <f t="shared" si="30"/>
        <v>125.74602302484152</v>
      </c>
      <c r="AY25" s="165">
        <f t="shared" si="30"/>
        <v>239.16442108323031</v>
      </c>
      <c r="AZ25" s="165">
        <f t="shared" si="30"/>
        <v>116.04082721328007</v>
      </c>
      <c r="BA25" s="165">
        <f t="shared" si="30"/>
        <v>128.90745542815534</v>
      </c>
      <c r="BB25" s="165">
        <f t="shared" si="30"/>
        <v>244.94828264143553</v>
      </c>
    </row>
    <row r="26" spans="1:62">
      <c r="B26" s="14" t="s">
        <v>61</v>
      </c>
      <c r="C26" s="76" t="s">
        <v>269</v>
      </c>
      <c r="F26" s="165"/>
      <c r="G26" s="165"/>
      <c r="H26" s="165"/>
      <c r="I26" s="165"/>
      <c r="J26" s="165"/>
      <c r="K26" s="165"/>
      <c r="L26" s="165"/>
      <c r="M26" s="165"/>
      <c r="N26" s="165"/>
      <c r="O26" s="165"/>
      <c r="P26" s="165"/>
      <c r="Q26" s="165"/>
      <c r="R26" s="165"/>
      <c r="S26" s="165"/>
      <c r="T26" s="165"/>
      <c r="U26" s="165"/>
      <c r="V26" s="165"/>
      <c r="W26" s="165"/>
      <c r="X26" s="165"/>
      <c r="Y26" s="165"/>
      <c r="Z26" s="165"/>
      <c r="AB26" s="165"/>
      <c r="AC26" s="165"/>
      <c r="AD26" s="165"/>
      <c r="AE26" s="165"/>
      <c r="AF26" s="165"/>
      <c r="AG26" s="165"/>
      <c r="AH26" s="165"/>
      <c r="AI26" s="165"/>
      <c r="AJ26" s="165"/>
      <c r="AK26" s="165"/>
      <c r="AL26" s="165"/>
      <c r="AM26" s="428"/>
      <c r="AN26" s="577"/>
      <c r="AO26" s="165"/>
      <c r="AP26" s="165"/>
      <c r="AQ26" s="165"/>
      <c r="AR26" s="165"/>
      <c r="AS26" s="165"/>
      <c r="AT26" s="165"/>
      <c r="AU26" s="165"/>
      <c r="AV26" s="165"/>
      <c r="AW26" s="165"/>
      <c r="AX26" s="165"/>
      <c r="AY26" s="165"/>
      <c r="AZ26" s="165"/>
      <c r="BA26" s="165"/>
      <c r="BB26" s="165"/>
    </row>
    <row r="27" spans="1:62">
      <c r="B27" s="7" t="s">
        <v>274</v>
      </c>
      <c r="C27" s="73" t="s">
        <v>269</v>
      </c>
      <c r="D27" s="30"/>
      <c r="E27" s="30"/>
      <c r="F27" s="165"/>
      <c r="G27" s="165"/>
      <c r="H27" s="165"/>
      <c r="I27" s="165"/>
      <c r="J27" s="165"/>
      <c r="K27" s="165"/>
      <c r="L27" s="165"/>
      <c r="M27" s="165"/>
      <c r="N27" s="165"/>
      <c r="O27" s="165"/>
      <c r="P27" s="165"/>
      <c r="Q27" s="165"/>
      <c r="R27" s="165"/>
      <c r="S27" s="165"/>
      <c r="T27" s="165"/>
      <c r="U27" s="165"/>
      <c r="V27" s="165">
        <f>'Asia Pacific'!V13</f>
        <v>4.8019999999999996</v>
      </c>
      <c r="W27" s="165">
        <f>'Asia Pacific'!W13</f>
        <v>9.4</v>
      </c>
      <c r="X27" s="165">
        <f>'Asia Pacific'!X13</f>
        <v>14.202</v>
      </c>
      <c r="Y27" s="165">
        <f>'Asia Pacific'!Y13</f>
        <v>4.7090000000000005</v>
      </c>
      <c r="Z27" s="165">
        <f>'Asia Pacific'!Z13</f>
        <v>4.9210000000000003</v>
      </c>
      <c r="AA27" s="394">
        <f>'Asia Pacific'!AA13</f>
        <v>9.6300000000000008</v>
      </c>
      <c r="AB27" s="165">
        <f>'Asia Pacific'!AB13</f>
        <v>5.0229999999999997</v>
      </c>
      <c r="AC27" s="165">
        <f>'Asia Pacific'!AC13</f>
        <v>5.2359999999999989</v>
      </c>
      <c r="AD27" s="165">
        <f>'Asia Pacific'!AD13</f>
        <v>10.258999999999999</v>
      </c>
      <c r="AE27" s="165">
        <f>'Asia Pacific'!AE13</f>
        <v>4.7620000000000005</v>
      </c>
      <c r="AF27" s="165">
        <f>'Asia Pacific'!AF13</f>
        <v>4.7680000000000007</v>
      </c>
      <c r="AG27" s="165">
        <f>'Asia Pacific'!AG13</f>
        <v>9.5300000000000011</v>
      </c>
      <c r="AH27" s="165">
        <f>'Asia Pacific'!AH13</f>
        <v>4.2229999999999999</v>
      </c>
      <c r="AI27" s="165">
        <f>'Asia Pacific'!AI13</f>
        <v>7.242</v>
      </c>
      <c r="AJ27" s="165">
        <f>'Asia Pacific'!AJ13</f>
        <v>11.465</v>
      </c>
      <c r="AK27" s="165">
        <f>'Asia Pacific'!AK13</f>
        <v>8.8780000000000001</v>
      </c>
      <c r="AL27" s="165">
        <f>'Asia Pacific'!AL13</f>
        <v>8.2220000000000013</v>
      </c>
      <c r="AM27" s="527">
        <f>'Asia Pacific'!AM13</f>
        <v>17.100000000000001</v>
      </c>
      <c r="AN27" s="577">
        <f>'Asia Pacific'!AN13</f>
        <v>8.5</v>
      </c>
      <c r="AO27" s="165">
        <f>'Asia Pacific'!AO13</f>
        <v>8.5</v>
      </c>
      <c r="AP27" s="165">
        <f>'Asia Pacific'!AP13</f>
        <v>17</v>
      </c>
      <c r="AQ27" s="165">
        <f>'Asia Pacific'!AQ13</f>
        <v>8.67</v>
      </c>
      <c r="AR27" s="165">
        <f>'Asia Pacific'!AR13</f>
        <v>8.67</v>
      </c>
      <c r="AS27" s="165">
        <f>'Asia Pacific'!AS13</f>
        <v>17.34</v>
      </c>
      <c r="AT27" s="165">
        <f>'Asia Pacific'!AT13</f>
        <v>8.8434000000000008</v>
      </c>
      <c r="AU27" s="165">
        <f>'Asia Pacific'!AU13</f>
        <v>8.8434000000000008</v>
      </c>
      <c r="AV27" s="165">
        <f>'Asia Pacific'!AV13</f>
        <v>17.686800000000002</v>
      </c>
      <c r="AW27" s="165">
        <f>'Asia Pacific'!AW13</f>
        <v>9.0202680000000015</v>
      </c>
      <c r="AX27" s="165">
        <f>'Asia Pacific'!AX13</f>
        <v>9.0202680000000015</v>
      </c>
      <c r="AY27" s="165">
        <f>'Asia Pacific'!AY13</f>
        <v>18.040536000000003</v>
      </c>
      <c r="AZ27" s="165">
        <f>'Asia Pacific'!AZ13</f>
        <v>9.2006733600000015</v>
      </c>
      <c r="BA27" s="165">
        <f>'Asia Pacific'!BA13</f>
        <v>9.2006733600000015</v>
      </c>
      <c r="BB27" s="165">
        <f>'Asia Pacific'!BB13</f>
        <v>18.401346720000003</v>
      </c>
    </row>
    <row r="28" spans="1:62">
      <c r="B28" s="74" t="s">
        <v>275</v>
      </c>
      <c r="C28" s="73" t="s">
        <v>269</v>
      </c>
      <c r="D28" s="30"/>
      <c r="E28" s="30"/>
      <c r="F28" s="165"/>
      <c r="G28" s="165"/>
      <c r="H28" s="165"/>
      <c r="I28" s="165"/>
      <c r="J28" s="165"/>
      <c r="K28" s="165"/>
      <c r="L28" s="165"/>
      <c r="M28" s="165"/>
      <c r="N28" s="165"/>
      <c r="O28" s="165"/>
      <c r="P28" s="165"/>
      <c r="Q28" s="165"/>
      <c r="R28" s="165"/>
      <c r="S28" s="165"/>
      <c r="T28" s="165"/>
      <c r="U28" s="165"/>
      <c r="V28" s="165">
        <f>Americas!V15</f>
        <v>8.6349999999999998</v>
      </c>
      <c r="W28" s="165">
        <f>Americas!W15</f>
        <v>17.517000000000003</v>
      </c>
      <c r="X28" s="165">
        <f>Americas!X15</f>
        <v>26.152000000000001</v>
      </c>
      <c r="Y28" s="165">
        <f>Americas!Y15</f>
        <v>8.2740000000000009</v>
      </c>
      <c r="Z28" s="165">
        <f>Americas!Z15</f>
        <v>8.3549999999999969</v>
      </c>
      <c r="AA28" s="394">
        <f>Americas!AA15</f>
        <v>16.628999999999998</v>
      </c>
      <c r="AB28" s="165">
        <f>Americas!AB15</f>
        <v>9.4220000000000006</v>
      </c>
      <c r="AC28" s="165">
        <f>Americas!AC15</f>
        <v>12.861999999999998</v>
      </c>
      <c r="AD28" s="165">
        <f>Americas!AD15</f>
        <v>22.283999999999999</v>
      </c>
      <c r="AE28" s="165">
        <f>Americas!AE15</f>
        <v>13.937000000000001</v>
      </c>
      <c r="AF28" s="165">
        <f>Americas!AF15</f>
        <v>14.567</v>
      </c>
      <c r="AG28" s="165">
        <f>Americas!AG15</f>
        <v>28.504000000000001</v>
      </c>
      <c r="AH28" s="165">
        <f>Americas!AH15</f>
        <v>15.75</v>
      </c>
      <c r="AI28" s="165">
        <f>Americas!AI15</f>
        <v>16.558999999999997</v>
      </c>
      <c r="AJ28" s="165">
        <f>Americas!AJ15</f>
        <v>32.308999999999997</v>
      </c>
      <c r="AK28" s="306">
        <f>Americas!AK15</f>
        <v>17.299999999999997</v>
      </c>
      <c r="AL28" s="306">
        <f>Americas!AL15</f>
        <v>17.40000000000002</v>
      </c>
      <c r="AM28" s="527">
        <f>Americas!AM15</f>
        <v>34.700000000000017</v>
      </c>
      <c r="AN28" s="583">
        <f>Americas!AN15</f>
        <v>17.399999999999991</v>
      </c>
      <c r="AO28" s="165">
        <f>Americas!AO15</f>
        <v>17.748000000000019</v>
      </c>
      <c r="AP28" s="165">
        <f>Americas!AP15</f>
        <v>35.14800000000001</v>
      </c>
      <c r="AQ28" s="165">
        <f>Americas!AQ15</f>
        <v>17.74799999999999</v>
      </c>
      <c r="AR28" s="165">
        <f>Americas!AR15</f>
        <v>18.102960000000021</v>
      </c>
      <c r="AS28" s="165">
        <f>Americas!AS15</f>
        <v>35.850960000000015</v>
      </c>
      <c r="AT28" s="165">
        <f>Americas!AT15</f>
        <v>18.102959999999989</v>
      </c>
      <c r="AU28" s="165">
        <f>Americas!AU15</f>
        <v>18.555534000000019</v>
      </c>
      <c r="AV28" s="165">
        <f>Americas!AV15</f>
        <v>36.658494000000005</v>
      </c>
      <c r="AW28" s="165">
        <f>Americas!AW15</f>
        <v>18.46501919999999</v>
      </c>
      <c r="AX28" s="165">
        <f>Americas!AX15</f>
        <v>18.92664468000002</v>
      </c>
      <c r="AY28" s="165">
        <f>Americas!AY15</f>
        <v>37.39166388000001</v>
      </c>
      <c r="AZ28" s="165">
        <f>Americas!AZ15</f>
        <v>18.834319583999989</v>
      </c>
      <c r="BA28" s="165">
        <f>Americas!BA15</f>
        <v>19.30517757360002</v>
      </c>
      <c r="BB28" s="165">
        <f>Americas!BB15</f>
        <v>38.139497157600005</v>
      </c>
    </row>
    <row r="29" spans="1:62">
      <c r="B29" s="74" t="s">
        <v>276</v>
      </c>
      <c r="C29" s="73" t="s">
        <v>269</v>
      </c>
      <c r="D29" s="30"/>
      <c r="E29" s="30"/>
      <c r="F29" s="165"/>
      <c r="G29" s="165"/>
      <c r="H29" s="165"/>
      <c r="I29" s="165"/>
      <c r="J29" s="165"/>
      <c r="K29" s="165"/>
      <c r="L29" s="165"/>
      <c r="M29" s="165"/>
      <c r="N29" s="165"/>
      <c r="O29" s="165"/>
      <c r="P29" s="165"/>
      <c r="Q29" s="165"/>
      <c r="R29" s="165"/>
      <c r="S29" s="165"/>
      <c r="T29" s="165"/>
      <c r="U29" s="165"/>
      <c r="V29" s="165">
        <f>EMEA!V12</f>
        <v>6.5430000000000001</v>
      </c>
      <c r="W29" s="165">
        <f>EMEA!W12</f>
        <v>13.571000000000002</v>
      </c>
      <c r="X29" s="165">
        <f>EMEA!X12</f>
        <v>20.114000000000001</v>
      </c>
      <c r="Y29" s="165">
        <f>EMEA!Y12</f>
        <v>7.3410000000000002</v>
      </c>
      <c r="Z29" s="165">
        <f>EMEA!Z12</f>
        <v>7.2759999999999989</v>
      </c>
      <c r="AA29" s="394">
        <f>EMEA!AA12</f>
        <v>14.616999999999999</v>
      </c>
      <c r="AB29" s="165">
        <f>EMEA!AB12</f>
        <v>6.5960000000000001</v>
      </c>
      <c r="AC29" s="165">
        <f>EMEA!AC12</f>
        <v>6.8719999999999999</v>
      </c>
      <c r="AD29" s="165">
        <f>EMEA!AD12</f>
        <v>13.468</v>
      </c>
      <c r="AE29" s="165">
        <f>EMEA!AE12</f>
        <v>6.4099999999999993</v>
      </c>
      <c r="AF29" s="165">
        <f>EMEA!AF12</f>
        <v>7.3150000000000004</v>
      </c>
      <c r="AG29" s="165">
        <f>EMEA!AG12</f>
        <v>13.725</v>
      </c>
      <c r="AH29" s="165">
        <f>EMEA!AH12</f>
        <v>7.5460000000000003</v>
      </c>
      <c r="AI29" s="165">
        <f>EMEA!AI12</f>
        <v>7.8009999999999993</v>
      </c>
      <c r="AJ29" s="165">
        <f>EMEA!AJ12</f>
        <v>15.347</v>
      </c>
      <c r="AK29" s="306">
        <f>EMEA!AK12</f>
        <v>7.9000000000000021</v>
      </c>
      <c r="AL29" s="306">
        <f>EMEA!AL12</f>
        <v>7.9000000000000021</v>
      </c>
      <c r="AM29" s="527">
        <f>EMEA!AM12</f>
        <v>15.800000000000004</v>
      </c>
      <c r="AN29" s="583">
        <f>EMEA!AN12</f>
        <v>8.3000000000000007</v>
      </c>
      <c r="AO29" s="165">
        <f>EMEA!AO12</f>
        <v>8.0580000000000016</v>
      </c>
      <c r="AP29" s="165">
        <f>EMEA!AP12</f>
        <v>16.358000000000004</v>
      </c>
      <c r="AQ29" s="165">
        <f>EMEA!AQ12</f>
        <v>8.4660000000000011</v>
      </c>
      <c r="AR29" s="165">
        <f>EMEA!AR12</f>
        <v>8.2191600000000022</v>
      </c>
      <c r="AS29" s="165">
        <f>EMEA!AS12</f>
        <v>16.685160000000003</v>
      </c>
      <c r="AT29" s="165">
        <f>EMEA!AT12</f>
        <v>8.6353200000000019</v>
      </c>
      <c r="AU29" s="165">
        <f>EMEA!AU12</f>
        <v>8.3835432000000019</v>
      </c>
      <c r="AV29" s="165">
        <f>EMEA!AV12</f>
        <v>17.018863200000006</v>
      </c>
      <c r="AW29" s="165">
        <f>EMEA!AW12</f>
        <v>8.8080264000000028</v>
      </c>
      <c r="AX29" s="165">
        <f>EMEA!AX12</f>
        <v>8.5512140640000016</v>
      </c>
      <c r="AY29" s="165">
        <f>EMEA!AY12</f>
        <v>17.359240464000003</v>
      </c>
      <c r="AZ29" s="165">
        <f>EMEA!AZ12</f>
        <v>8.9841869280000033</v>
      </c>
      <c r="BA29" s="165">
        <f>EMEA!BA12</f>
        <v>8.722238345280001</v>
      </c>
      <c r="BB29" s="165">
        <f>EMEA!BB12</f>
        <v>17.706425273280004</v>
      </c>
    </row>
    <row r="30" spans="1:62">
      <c r="B30" s="74" t="s">
        <v>277</v>
      </c>
      <c r="C30" s="73" t="s">
        <v>269</v>
      </c>
      <c r="D30" s="30"/>
      <c r="E30" s="30"/>
      <c r="F30" s="165"/>
      <c r="G30" s="165"/>
      <c r="H30" s="165"/>
      <c r="I30" s="165"/>
      <c r="J30" s="165"/>
      <c r="K30" s="165"/>
      <c r="L30" s="165"/>
      <c r="M30" s="165"/>
      <c r="N30" s="165"/>
      <c r="O30" s="165"/>
      <c r="P30" s="165"/>
      <c r="Q30" s="165"/>
      <c r="R30" s="165"/>
      <c r="S30" s="165"/>
      <c r="T30" s="165"/>
      <c r="U30" s="165"/>
      <c r="V30" s="165">
        <f>Corporate!V11</f>
        <v>0.52400000000000002</v>
      </c>
      <c r="W30" s="165">
        <f>Corporate!W11</f>
        <v>0.52200000000000002</v>
      </c>
      <c r="X30" s="165">
        <f>Corporate!X11</f>
        <v>1.046</v>
      </c>
      <c r="Y30" s="165">
        <f>Corporate!Y11</f>
        <v>0.56999999999999995</v>
      </c>
      <c r="Z30" s="165">
        <f>Corporate!Z11</f>
        <v>0.6</v>
      </c>
      <c r="AA30" s="394">
        <f>Corporate!AA11</f>
        <v>1.17</v>
      </c>
      <c r="AB30" s="165">
        <f>Corporate!AB11</f>
        <v>0.56899999999999995</v>
      </c>
      <c r="AC30" s="165">
        <f>Corporate!AC11</f>
        <v>0.62799999999999989</v>
      </c>
      <c r="AD30" s="165">
        <f>Corporate!AD11</f>
        <v>1.1969999999999998</v>
      </c>
      <c r="AE30" s="165">
        <f>Corporate!AE11</f>
        <v>0.435</v>
      </c>
      <c r="AF30" s="165">
        <f>Corporate!AF11</f>
        <v>0.44700000000000001</v>
      </c>
      <c r="AG30" s="165">
        <f>Corporate!AG11</f>
        <v>0.88200000000000001</v>
      </c>
      <c r="AH30" s="165">
        <f>Corporate!AH11</f>
        <v>0.498</v>
      </c>
      <c r="AI30" s="165">
        <f>Corporate!AI11</f>
        <v>0.43000000000000005</v>
      </c>
      <c r="AJ30" s="165">
        <f>Corporate!AJ11</f>
        <v>0.92800000000000005</v>
      </c>
      <c r="AK30" s="306">
        <f>Corporate!AK11</f>
        <v>0.48</v>
      </c>
      <c r="AL30" s="306">
        <f>Corporate!AL11</f>
        <v>0.69700000000000006</v>
      </c>
      <c r="AM30" s="527">
        <f>Corporate!AM11</f>
        <v>1.177</v>
      </c>
      <c r="AN30" s="583">
        <f>Corporate!AN11</f>
        <v>0.85599999999999998</v>
      </c>
      <c r="AO30" s="165">
        <f>Corporate!AO11</f>
        <v>0.85599999999999998</v>
      </c>
      <c r="AP30" s="165">
        <f>Corporate!AP11</f>
        <v>1.712</v>
      </c>
      <c r="AQ30" s="165">
        <f>Corporate!AQ11</f>
        <v>0.85599999999999998</v>
      </c>
      <c r="AR30" s="165">
        <f>Corporate!AR11</f>
        <v>0.85599999999999998</v>
      </c>
      <c r="AS30" s="165">
        <f>Corporate!AS11</f>
        <v>1.712</v>
      </c>
      <c r="AT30" s="165">
        <f>Corporate!AT11</f>
        <v>0.85599999999999998</v>
      </c>
      <c r="AU30" s="165">
        <f>Corporate!AU11</f>
        <v>0.85599999999999998</v>
      </c>
      <c r="AV30" s="165">
        <f>Corporate!AV11</f>
        <v>1.712</v>
      </c>
      <c r="AW30" s="165">
        <f>Corporate!AW11</f>
        <v>0.85599999999999998</v>
      </c>
      <c r="AX30" s="165">
        <f>Corporate!AX11</f>
        <v>0.85599999999999998</v>
      </c>
      <c r="AY30" s="165">
        <f>Corporate!AY11</f>
        <v>1.712</v>
      </c>
      <c r="AZ30" s="165">
        <f>Corporate!AZ11</f>
        <v>0.85599999999999998</v>
      </c>
      <c r="BA30" s="165">
        <f>Corporate!BA11</f>
        <v>0.85599999999999998</v>
      </c>
      <c r="BB30" s="165">
        <f>Corporate!BB11</f>
        <v>1.712</v>
      </c>
    </row>
    <row r="31" spans="1:62" s="14" customFormat="1">
      <c r="A31" s="79"/>
      <c r="B31" s="79" t="s">
        <v>173</v>
      </c>
      <c r="C31" s="80" t="s">
        <v>269</v>
      </c>
      <c r="D31" s="35"/>
      <c r="E31" s="35"/>
      <c r="F31" s="170"/>
      <c r="G31" s="170"/>
      <c r="H31" s="170"/>
      <c r="I31" s="170"/>
      <c r="J31" s="170"/>
      <c r="K31" s="170"/>
      <c r="L31" s="170"/>
      <c r="M31" s="170"/>
      <c r="N31" s="170"/>
      <c r="O31" s="170"/>
      <c r="P31" s="170"/>
      <c r="Q31" s="170"/>
      <c r="R31" s="170"/>
      <c r="S31" s="170"/>
      <c r="T31" s="170"/>
      <c r="U31" s="170"/>
      <c r="V31" s="170">
        <f t="shared" ref="V31:AA31" si="31">SUM(V27,V28,V29,V30)</f>
        <v>20.504000000000001</v>
      </c>
      <c r="W31" s="170">
        <f t="shared" si="31"/>
        <v>41.01</v>
      </c>
      <c r="X31" s="170">
        <f t="shared" si="31"/>
        <v>61.514000000000003</v>
      </c>
      <c r="Y31" s="170">
        <f t="shared" si="31"/>
        <v>20.894000000000002</v>
      </c>
      <c r="Z31" s="170">
        <f t="shared" si="31"/>
        <v>21.151999999999997</v>
      </c>
      <c r="AA31" s="472">
        <f t="shared" si="31"/>
        <v>42.045999999999999</v>
      </c>
      <c r="AB31" s="170">
        <f t="shared" ref="AB31:AD31" si="32">SUM(AB27,AB28,AB29,AB30)</f>
        <v>21.61</v>
      </c>
      <c r="AC31" s="170">
        <f t="shared" si="32"/>
        <v>25.597999999999999</v>
      </c>
      <c r="AD31" s="170">
        <f t="shared" si="32"/>
        <v>47.207999999999998</v>
      </c>
      <c r="AE31" s="170">
        <f t="shared" ref="AE31:AG31" si="33">SUM(AE27,AE28,AE29,AE30)</f>
        <v>25.544</v>
      </c>
      <c r="AF31" s="170">
        <f t="shared" si="33"/>
        <v>27.097000000000001</v>
      </c>
      <c r="AG31" s="170">
        <f t="shared" si="33"/>
        <v>52.641000000000005</v>
      </c>
      <c r="AH31" s="170">
        <f t="shared" ref="AH31:AJ31" si="34">SUM(AH27,AH28,AH29,AH30)</f>
        <v>28.016999999999999</v>
      </c>
      <c r="AI31" s="170">
        <f t="shared" si="34"/>
        <v>32.031999999999996</v>
      </c>
      <c r="AJ31" s="170">
        <f t="shared" si="34"/>
        <v>60.048999999999999</v>
      </c>
      <c r="AK31" s="463">
        <f t="shared" ref="AK31:AM31" si="35">SUM(AK27,AK28,AK29,AK30)</f>
        <v>34.558</v>
      </c>
      <c r="AL31" s="463">
        <f t="shared" si="35"/>
        <v>34.219000000000023</v>
      </c>
      <c r="AM31" s="551">
        <f t="shared" si="35"/>
        <v>68.777000000000029</v>
      </c>
      <c r="AN31" s="584">
        <f t="shared" ref="AN31" si="36">SUM(AN27,AN28,AN29,AN30)</f>
        <v>35.05599999999999</v>
      </c>
      <c r="AO31" s="170">
        <f t="shared" ref="AO31:BB31" si="37">SUM(AO27,AO28,AO29,AO30)</f>
        <v>35.16200000000002</v>
      </c>
      <c r="AP31" s="170">
        <f t="shared" si="37"/>
        <v>70.218000000000018</v>
      </c>
      <c r="AQ31" s="170">
        <f t="shared" si="37"/>
        <v>35.739999999999995</v>
      </c>
      <c r="AR31" s="170">
        <f t="shared" si="37"/>
        <v>35.848120000000023</v>
      </c>
      <c r="AS31" s="170">
        <f t="shared" si="37"/>
        <v>71.588120000000018</v>
      </c>
      <c r="AT31" s="170">
        <f t="shared" si="37"/>
        <v>36.437679999999993</v>
      </c>
      <c r="AU31" s="170">
        <f t="shared" si="37"/>
        <v>36.638477200000018</v>
      </c>
      <c r="AV31" s="170">
        <f t="shared" si="37"/>
        <v>73.076157200000026</v>
      </c>
      <c r="AW31" s="170">
        <f t="shared" si="37"/>
        <v>37.149313599999992</v>
      </c>
      <c r="AX31" s="170">
        <f t="shared" si="37"/>
        <v>37.354126744000027</v>
      </c>
      <c r="AY31" s="170">
        <f t="shared" si="37"/>
        <v>74.503440344000026</v>
      </c>
      <c r="AZ31" s="170">
        <f t="shared" si="37"/>
        <v>37.875179871999997</v>
      </c>
      <c r="BA31" s="170">
        <f t="shared" si="37"/>
        <v>38.084089278880022</v>
      </c>
      <c r="BB31" s="170">
        <f t="shared" si="37"/>
        <v>75.959269150880019</v>
      </c>
      <c r="BE31"/>
      <c r="BF31"/>
      <c r="BG31"/>
      <c r="BH31"/>
      <c r="BI31"/>
      <c r="BJ31"/>
    </row>
    <row r="32" spans="1:62">
      <c r="C32" s="30"/>
      <c r="F32" s="165"/>
      <c r="G32" s="165"/>
      <c r="H32" s="165"/>
      <c r="I32" s="165"/>
      <c r="J32" s="165"/>
      <c r="K32" s="165"/>
      <c r="L32" s="165"/>
      <c r="M32" s="165"/>
      <c r="N32" s="165"/>
      <c r="O32" s="165"/>
      <c r="P32" s="165"/>
      <c r="Q32" s="165"/>
      <c r="R32" s="165"/>
      <c r="S32" s="165"/>
      <c r="T32" s="165"/>
      <c r="U32" s="165"/>
      <c r="V32" s="165"/>
      <c r="W32" s="165"/>
      <c r="X32" s="165"/>
      <c r="Y32" s="165"/>
      <c r="Z32" s="165"/>
      <c r="AB32" s="165"/>
      <c r="AC32" s="165"/>
      <c r="AD32" s="165"/>
      <c r="AE32" s="165"/>
      <c r="AF32" s="165"/>
      <c r="AG32" s="165"/>
      <c r="AH32" s="165"/>
      <c r="AI32" s="165"/>
      <c r="AJ32" s="165"/>
      <c r="AK32" s="165"/>
      <c r="AL32" s="165"/>
      <c r="AM32" s="428"/>
      <c r="AN32" s="577"/>
      <c r="AO32" s="165"/>
      <c r="AP32" s="165"/>
      <c r="AQ32" s="165"/>
      <c r="AR32" s="165"/>
      <c r="AS32" s="165"/>
      <c r="AT32" s="165"/>
      <c r="AU32" s="165"/>
      <c r="AV32" s="165"/>
      <c r="AW32" s="165"/>
      <c r="AX32" s="165"/>
      <c r="AY32" s="165"/>
      <c r="AZ32" s="165"/>
      <c r="BA32" s="165"/>
      <c r="BB32" s="165"/>
    </row>
    <row r="33" spans="1:62">
      <c r="B33" s="7" t="s">
        <v>274</v>
      </c>
      <c r="C33" s="30"/>
      <c r="F33" s="165"/>
      <c r="G33" s="165"/>
      <c r="H33" s="165"/>
      <c r="I33" s="165"/>
      <c r="J33" s="165"/>
      <c r="K33" s="165"/>
      <c r="L33" s="165"/>
      <c r="M33" s="165"/>
      <c r="N33" s="165"/>
      <c r="O33" s="165"/>
      <c r="P33" s="165"/>
      <c r="Q33" s="165"/>
      <c r="R33" s="165"/>
      <c r="S33" s="165"/>
      <c r="T33" s="165"/>
      <c r="U33" s="165"/>
      <c r="V33" s="165">
        <f>'Asia Pacific'!V14</f>
        <v>15.585000000000001</v>
      </c>
      <c r="W33" s="165">
        <f>'Asia Pacific'!W14</f>
        <v>28.677999999999997</v>
      </c>
      <c r="X33" s="165">
        <f>'Asia Pacific'!X14</f>
        <v>44.262999999999998</v>
      </c>
      <c r="Y33" s="165">
        <f>'Asia Pacific'!Y14</f>
        <v>21.518999999999998</v>
      </c>
      <c r="Z33" s="165">
        <f>'Asia Pacific'!Z14</f>
        <v>28.005000000000003</v>
      </c>
      <c r="AA33" s="394">
        <f>'Asia Pacific'!AA14</f>
        <v>49.524000000000001</v>
      </c>
      <c r="AB33" s="165">
        <f>'Asia Pacific'!AB14</f>
        <v>23.7</v>
      </c>
      <c r="AC33" s="165">
        <f>'Asia Pacific'!AC14</f>
        <v>19.000000000000004</v>
      </c>
      <c r="AD33" s="165">
        <f>'Asia Pacific'!AD14</f>
        <v>42.7</v>
      </c>
      <c r="AE33" s="165">
        <f>'Asia Pacific'!AE14</f>
        <v>19.100000000000001</v>
      </c>
      <c r="AF33" s="165">
        <f>'Asia Pacific'!AF14</f>
        <v>12.799999999999997</v>
      </c>
      <c r="AG33" s="165">
        <f>'Asia Pacific'!AG14</f>
        <v>31.9</v>
      </c>
      <c r="AH33" s="165">
        <f>'Asia Pacific'!AH14</f>
        <v>8.4</v>
      </c>
      <c r="AI33" s="165">
        <f>'Asia Pacific'!AI14</f>
        <v>13.6</v>
      </c>
      <c r="AJ33" s="165">
        <f>'Asia Pacific'!AJ14</f>
        <v>22</v>
      </c>
      <c r="AK33" s="165">
        <f>'Asia Pacific'!AK14</f>
        <v>18.100000000000001</v>
      </c>
      <c r="AL33" s="165">
        <f>'Asia Pacific'!AL14</f>
        <v>7.8999999999999986</v>
      </c>
      <c r="AM33" s="428">
        <f>'Asia Pacific'!AM14</f>
        <v>26</v>
      </c>
      <c r="AN33" s="577">
        <f>'Asia Pacific'!AN14</f>
        <v>12.9</v>
      </c>
      <c r="AO33" s="165">
        <f>'Asia Pacific'!AO14</f>
        <v>12.793859496526604</v>
      </c>
      <c r="AP33" s="165">
        <f>'Asia Pacific'!AP14</f>
        <v>25.693859496526606</v>
      </c>
      <c r="AQ33" s="165">
        <f>'Asia Pacific'!AQ14</f>
        <v>17.349935263950826</v>
      </c>
      <c r="AR33" s="165">
        <f>'Asia Pacific'!AR14</f>
        <v>13.426535064446821</v>
      </c>
      <c r="AS33" s="165">
        <f>'Asia Pacific'!AS14</f>
        <v>30.776470328397647</v>
      </c>
      <c r="AT33" s="165">
        <f>'Asia Pacific'!AT14</f>
        <v>21.259902543215397</v>
      </c>
      <c r="AU33" s="165">
        <f>'Asia Pacific'!AU14</f>
        <v>16.774926259783928</v>
      </c>
      <c r="AV33" s="165">
        <f>'Asia Pacific'!AV14</f>
        <v>38.034828802999328</v>
      </c>
      <c r="AW33" s="165">
        <f>'Asia Pacific'!AW14</f>
        <v>22.054195378905025</v>
      </c>
      <c r="AX33" s="165">
        <f>'Asia Pacific'!AX14</f>
        <v>17.384539917811761</v>
      </c>
      <c r="AY33" s="165">
        <f>'Asia Pacific'!AY14</f>
        <v>39.438735296716786</v>
      </c>
      <c r="AZ33" s="165">
        <f>'Asia Pacific'!AZ14</f>
        <v>22.680596778336142</v>
      </c>
      <c r="BA33" s="165">
        <f>'Asia Pacific'!BA14</f>
        <v>17.906426559530736</v>
      </c>
      <c r="BB33" s="165">
        <f>'Asia Pacific'!BB14</f>
        <v>40.587023337866881</v>
      </c>
      <c r="BC33" s="30"/>
    </row>
    <row r="34" spans="1:62">
      <c r="B34" s="74" t="s">
        <v>275</v>
      </c>
      <c r="C34" s="30"/>
      <c r="F34" s="165"/>
      <c r="G34" s="165"/>
      <c r="H34" s="165"/>
      <c r="I34" s="165"/>
      <c r="J34" s="165"/>
      <c r="K34" s="165"/>
      <c r="L34" s="165"/>
      <c r="M34" s="165"/>
      <c r="N34" s="165"/>
      <c r="O34" s="165"/>
      <c r="P34" s="165"/>
      <c r="Q34" s="165"/>
      <c r="R34" s="165"/>
      <c r="S34" s="165"/>
      <c r="T34" s="165"/>
      <c r="U34" s="165"/>
      <c r="V34" s="165">
        <f>Americas!V16</f>
        <v>36.692</v>
      </c>
      <c r="W34" s="165">
        <f>Americas!W16</f>
        <v>60.095000000000006</v>
      </c>
      <c r="X34" s="165">
        <f>Americas!X16</f>
        <v>96.787000000000006</v>
      </c>
      <c r="Y34" s="165">
        <f>Americas!Y16</f>
        <v>54.750999999999998</v>
      </c>
      <c r="Z34" s="165">
        <f>Americas!Z16</f>
        <v>66.564999999999998</v>
      </c>
      <c r="AA34" s="394">
        <f>Americas!AA16</f>
        <v>121.316</v>
      </c>
      <c r="AB34" s="165">
        <f>Americas!AB16</f>
        <v>56.9</v>
      </c>
      <c r="AC34" s="165">
        <f>Americas!AC16</f>
        <v>76.900000000000006</v>
      </c>
      <c r="AD34" s="165">
        <f>Americas!AD16</f>
        <v>133.80000000000001</v>
      </c>
      <c r="AE34" s="165">
        <f>Americas!AE16</f>
        <v>71.599999999999994</v>
      </c>
      <c r="AF34" s="165">
        <f>Americas!AF16</f>
        <v>87.9</v>
      </c>
      <c r="AG34" s="165">
        <f>Americas!AG16</f>
        <v>159.5</v>
      </c>
      <c r="AH34" s="165">
        <f>Americas!AH16</f>
        <v>85</v>
      </c>
      <c r="AI34" s="165">
        <f>Americas!AI16</f>
        <v>99.300000000000011</v>
      </c>
      <c r="AJ34" s="165">
        <f>Americas!AJ16</f>
        <v>184.3</v>
      </c>
      <c r="AK34" s="165">
        <f>Americas!AK16</f>
        <v>92.6</v>
      </c>
      <c r="AL34" s="165">
        <f>Americas!AL16</f>
        <v>89.700000000000017</v>
      </c>
      <c r="AM34" s="428">
        <f>Americas!AM16</f>
        <v>182.3</v>
      </c>
      <c r="AN34" s="577">
        <f>Americas!AN16</f>
        <v>69.099999999999994</v>
      </c>
      <c r="AO34" s="165">
        <f>Americas!AO16</f>
        <v>85.885886765188744</v>
      </c>
      <c r="AP34" s="165">
        <f>Americas!AP16</f>
        <v>154.98588676518875</v>
      </c>
      <c r="AQ34" s="165">
        <f>Americas!AQ16</f>
        <v>88.434710250202755</v>
      </c>
      <c r="AR34" s="165">
        <f>Americas!AR16</f>
        <v>99.337763425749202</v>
      </c>
      <c r="AS34" s="165">
        <f>Americas!AS16</f>
        <v>187.77247367595197</v>
      </c>
      <c r="AT34" s="165">
        <f>Americas!AT16</f>
        <v>93.991662067338453</v>
      </c>
      <c r="AU34" s="165">
        <f>Americas!AU16</f>
        <v>105.54796151800844</v>
      </c>
      <c r="AV34" s="165">
        <f>Americas!AV16</f>
        <v>199.53962358534687</v>
      </c>
      <c r="AW34" s="165">
        <f>Americas!AW16</f>
        <v>98.933131458561562</v>
      </c>
      <c r="AX34" s="165">
        <f>Americas!AX16</f>
        <v>111.06695876471859</v>
      </c>
      <c r="AY34" s="165">
        <f>Americas!AY16</f>
        <v>210.00009022328015</v>
      </c>
      <c r="AZ34" s="165">
        <f>Americas!AZ16</f>
        <v>104.12100259972503</v>
      </c>
      <c r="BA34" s="165">
        <f>Americas!BA16</f>
        <v>116.85579092683217</v>
      </c>
      <c r="BB34" s="165">
        <f>Americas!BB16</f>
        <v>220.9767935265572</v>
      </c>
    </row>
    <row r="35" spans="1:62">
      <c r="B35" s="74" t="s">
        <v>276</v>
      </c>
      <c r="C35" s="30"/>
      <c r="F35" s="165"/>
      <c r="G35" s="165"/>
      <c r="H35" s="165"/>
      <c r="I35" s="165"/>
      <c r="J35" s="165"/>
      <c r="K35" s="165"/>
      <c r="L35" s="165"/>
      <c r="M35" s="165"/>
      <c r="N35" s="165"/>
      <c r="O35" s="165"/>
      <c r="P35" s="165"/>
      <c r="Q35" s="165"/>
      <c r="R35" s="165"/>
      <c r="S35" s="165"/>
      <c r="T35" s="165"/>
      <c r="U35" s="165"/>
      <c r="V35" s="165">
        <f>EMEA!V13</f>
        <v>35.774000000000001</v>
      </c>
      <c r="W35" s="165">
        <f>EMEA!W13</f>
        <v>45.292000000000002</v>
      </c>
      <c r="X35" s="165">
        <f>EMEA!X13</f>
        <v>81.066000000000003</v>
      </c>
      <c r="Y35" s="165">
        <f>EMEA!Y13</f>
        <v>45.094000000000001</v>
      </c>
      <c r="Z35" s="165">
        <f>EMEA!Z13</f>
        <v>51.326000000000001</v>
      </c>
      <c r="AA35" s="394">
        <f>EMEA!AA13</f>
        <v>96.42</v>
      </c>
      <c r="AB35" s="165">
        <f>EMEA!AB13</f>
        <v>47.558999999999997</v>
      </c>
      <c r="AC35" s="165">
        <f>EMEA!AC13</f>
        <v>51.141000000000005</v>
      </c>
      <c r="AD35" s="165">
        <f>EMEA!AD13</f>
        <v>98.7</v>
      </c>
      <c r="AE35" s="165">
        <f>EMEA!AE13</f>
        <v>40.799999999999997</v>
      </c>
      <c r="AF35" s="165">
        <f>EMEA!AF13</f>
        <v>47</v>
      </c>
      <c r="AG35" s="165">
        <f>EMEA!AG13</f>
        <v>87.8</v>
      </c>
      <c r="AH35" s="165">
        <f>EMEA!AH13</f>
        <v>36.700000000000003</v>
      </c>
      <c r="AI35" s="165">
        <f>EMEA!AI13</f>
        <v>40.599999999999994</v>
      </c>
      <c r="AJ35" s="165">
        <f>EMEA!AJ13</f>
        <v>77.3</v>
      </c>
      <c r="AK35" s="165">
        <f>EMEA!AK13</f>
        <v>35.6</v>
      </c>
      <c r="AL35" s="165">
        <f>EMEA!AL13</f>
        <v>39.1</v>
      </c>
      <c r="AM35" s="428">
        <f>EMEA!AM13</f>
        <v>74.7</v>
      </c>
      <c r="AN35" s="577">
        <f>EMEA!AN13</f>
        <v>33.1</v>
      </c>
      <c r="AO35" s="165">
        <f>EMEA!AO13</f>
        <v>40.266666666666673</v>
      </c>
      <c r="AP35" s="165">
        <f>EMEA!AP13</f>
        <v>73.2</v>
      </c>
      <c r="AQ35" s="165">
        <f>EMEA!AQ13</f>
        <v>39.116895999999997</v>
      </c>
      <c r="AR35" s="165">
        <f>EMEA!AR13</f>
        <v>44.816399999999994</v>
      </c>
      <c r="AS35" s="165">
        <f>EMEA!AS13</f>
        <v>83.933295999999999</v>
      </c>
      <c r="AT35" s="165">
        <f>EMEA!AT13</f>
        <v>42.050663199999995</v>
      </c>
      <c r="AU35" s="165">
        <f>EMEA!AU13</f>
        <v>47.729465999999995</v>
      </c>
      <c r="AV35" s="165">
        <f>EMEA!AV13</f>
        <v>89.78012919999999</v>
      </c>
      <c r="AW35" s="165">
        <f>EMEA!AW13</f>
        <v>43.942943043999996</v>
      </c>
      <c r="AX35" s="165">
        <f>EMEA!AX13</f>
        <v>49.877291969999987</v>
      </c>
      <c r="AY35" s="165">
        <f>EMEA!AY13</f>
        <v>93.820235013999991</v>
      </c>
      <c r="AZ35" s="165">
        <f>EMEA!AZ13</f>
        <v>45.700660765759999</v>
      </c>
      <c r="BA35" s="165">
        <f>EMEA!BA13</f>
        <v>51.872383648799996</v>
      </c>
      <c r="BB35" s="165">
        <f>EMEA!BB13</f>
        <v>97.573044414559988</v>
      </c>
    </row>
    <row r="36" spans="1:62">
      <c r="B36" s="74" t="s">
        <v>431</v>
      </c>
      <c r="C36" s="30"/>
      <c r="F36" s="165"/>
      <c r="G36" s="165"/>
      <c r="H36" s="165"/>
      <c r="I36" s="165"/>
      <c r="J36" s="165"/>
      <c r="K36" s="165"/>
      <c r="L36" s="165"/>
      <c r="M36" s="165"/>
      <c r="N36" s="165"/>
      <c r="O36" s="165"/>
      <c r="P36" s="165"/>
      <c r="Q36" s="165"/>
      <c r="R36" s="165"/>
      <c r="S36" s="165"/>
      <c r="T36" s="165"/>
      <c r="U36" s="165"/>
      <c r="V36" s="165">
        <f>Corporate!V12</f>
        <v>-1.5549999999999999</v>
      </c>
      <c r="W36" s="165">
        <f>Corporate!W12</f>
        <v>-1.1570000000000003</v>
      </c>
      <c r="X36" s="165">
        <f>Corporate!X12</f>
        <v>-2.7120000000000002</v>
      </c>
      <c r="Y36" s="165">
        <f>Corporate!Y12</f>
        <v>-1.36</v>
      </c>
      <c r="Z36" s="165">
        <f>Corporate!Z12</f>
        <v>-5.1749999999999998</v>
      </c>
      <c r="AA36" s="394">
        <f>Corporate!AA12</f>
        <v>-6.5350000000000001</v>
      </c>
      <c r="AB36" s="165">
        <f>Corporate!AB12</f>
        <v>-2.7000000000000099</v>
      </c>
      <c r="AC36" s="165">
        <f>Corporate!AC12</f>
        <v>-3.8979999999999899</v>
      </c>
      <c r="AD36" s="165">
        <f>Corporate!AD12</f>
        <v>-6.5979999999999999</v>
      </c>
      <c r="AE36" s="394">
        <f>Corporate!AE12</f>
        <v>-3.3999999999999986</v>
      </c>
      <c r="AF36" s="165">
        <f>Corporate!AF12</f>
        <v>-1.2090000000000014</v>
      </c>
      <c r="AG36" s="165">
        <f>Corporate!AG12</f>
        <v>-4.609</v>
      </c>
      <c r="AH36" s="165">
        <f>Corporate!AH12</f>
        <v>-5.3000000000000043</v>
      </c>
      <c r="AI36" s="165">
        <f>Corporate!AI12</f>
        <v>-3.6709999999999958</v>
      </c>
      <c r="AJ36" s="165">
        <f>Corporate!AJ12</f>
        <v>-8.9710000000000001</v>
      </c>
      <c r="AK36" s="165">
        <f>Corporate!AK12</f>
        <v>-2.4999999999999858</v>
      </c>
      <c r="AL36" s="165">
        <f>Corporate!AL12</f>
        <v>-2.800000000000014</v>
      </c>
      <c r="AM36" s="428">
        <f>Corporate!AM12</f>
        <v>-5.3</v>
      </c>
      <c r="AN36" s="577">
        <f>Corporate!AN12</f>
        <v>-4.0009999999999906</v>
      </c>
      <c r="AO36" s="165">
        <f>Corporate!AO12</f>
        <v>-4.3089638326225899</v>
      </c>
      <c r="AP36" s="165">
        <f>Corporate!AP12</f>
        <v>-8.3099638326225804</v>
      </c>
      <c r="AQ36" s="165">
        <f>Corporate!AQ12</f>
        <v>-4.0009999999999906</v>
      </c>
      <c r="AR36" s="165">
        <f>Corporate!AR12</f>
        <v>-4.3089638326225899</v>
      </c>
      <c r="AS36" s="165">
        <f>Corporate!AS12</f>
        <v>-8.3099638326225804</v>
      </c>
      <c r="AT36" s="165">
        <f>Corporate!AT12</f>
        <v>-4.0009999999999906</v>
      </c>
      <c r="AU36" s="165">
        <f>Corporate!AU12</f>
        <v>-4.3089638326225899</v>
      </c>
      <c r="AV36" s="165">
        <f>Corporate!AV12</f>
        <v>-8.3099638326225804</v>
      </c>
      <c r="AW36" s="165">
        <f>Corporate!AW12</f>
        <v>-4.0009999999999906</v>
      </c>
      <c r="AX36" s="165">
        <f>Corporate!AX12</f>
        <v>-4.3089638326225899</v>
      </c>
      <c r="AY36" s="165">
        <f>Corporate!AY12</f>
        <v>-8.3099638326225804</v>
      </c>
      <c r="AZ36" s="165">
        <f>Corporate!AZ12</f>
        <v>-4.0009999999999906</v>
      </c>
      <c r="BA36" s="165">
        <f>Corporate!BA12</f>
        <v>-4.3089638326225899</v>
      </c>
      <c r="BB36" s="165">
        <f>Corporate!BB12</f>
        <v>-8.3099638326225804</v>
      </c>
      <c r="BD36" s="91"/>
    </row>
    <row r="37" spans="1:62" s="14" customFormat="1">
      <c r="A37" s="79"/>
      <c r="B37" s="79" t="s">
        <v>59</v>
      </c>
      <c r="C37" s="80" t="s">
        <v>269</v>
      </c>
      <c r="D37" s="35"/>
      <c r="E37" s="35"/>
      <c r="F37" s="175"/>
      <c r="G37" s="175"/>
      <c r="H37" s="170"/>
      <c r="I37" s="175"/>
      <c r="J37" s="175"/>
      <c r="K37" s="170"/>
      <c r="L37" s="175"/>
      <c r="M37" s="175"/>
      <c r="N37" s="170"/>
      <c r="O37" s="175"/>
      <c r="P37" s="170"/>
      <c r="Q37" s="170"/>
      <c r="R37" s="175"/>
      <c r="S37" s="175"/>
      <c r="T37" s="170"/>
      <c r="U37" s="175"/>
      <c r="V37" s="170">
        <f t="shared" ref="V37:AA37" si="38">SUM(V33:V36)</f>
        <v>86.495999999999995</v>
      </c>
      <c r="W37" s="170">
        <f t="shared" si="38"/>
        <v>132.90799999999999</v>
      </c>
      <c r="X37" s="170">
        <f t="shared" si="38"/>
        <v>219.40400000000002</v>
      </c>
      <c r="Y37" s="170">
        <f t="shared" si="38"/>
        <v>120.004</v>
      </c>
      <c r="Z37" s="170">
        <f t="shared" si="38"/>
        <v>140.72099999999998</v>
      </c>
      <c r="AA37" s="472">
        <f t="shared" si="38"/>
        <v>260.72499999999997</v>
      </c>
      <c r="AB37" s="463">
        <f t="shared" ref="AB37" si="39">SUM(AB33:AB36)</f>
        <v>125.45899999999997</v>
      </c>
      <c r="AC37" s="170">
        <f t="shared" ref="AC37:AD37" si="40">SUM(AC33:AC36)</f>
        <v>143.143</v>
      </c>
      <c r="AD37" s="170">
        <f t="shared" si="40"/>
        <v>268.60199999999998</v>
      </c>
      <c r="AE37" s="463">
        <f>SUM(AE33:AE36)</f>
        <v>128.1</v>
      </c>
      <c r="AF37" s="170">
        <f t="shared" ref="AF37:AG37" si="41">SUM(AF33:AF36)</f>
        <v>146.49099999999999</v>
      </c>
      <c r="AG37" s="463">
        <f t="shared" si="41"/>
        <v>274.59100000000001</v>
      </c>
      <c r="AH37" s="170">
        <f>AH53+AH31</f>
        <v>124.80000000000001</v>
      </c>
      <c r="AI37" s="170">
        <f t="shared" ref="AI37:AJ37" si="42">SUM(AI33:AI36)</f>
        <v>149.82900000000001</v>
      </c>
      <c r="AJ37" s="463">
        <f t="shared" si="42"/>
        <v>274.62900000000002</v>
      </c>
      <c r="AK37" s="170">
        <f>AK53+AK31</f>
        <v>143.80000000000001</v>
      </c>
      <c r="AL37" s="170">
        <f t="shared" ref="AL37" si="43">SUM(AL33:AL36)</f>
        <v>133.9</v>
      </c>
      <c r="AM37" s="551">
        <f>SUM(AM33:AM36)</f>
        <v>277.7</v>
      </c>
      <c r="AN37" s="585">
        <f>AN53+AN31</f>
        <v>111.09900000000002</v>
      </c>
      <c r="AO37" s="170">
        <f>AO53+AO31</f>
        <v>134.63744909575945</v>
      </c>
      <c r="AP37" s="170">
        <f>SUM(AN37:AO37)</f>
        <v>245.73644909575947</v>
      </c>
      <c r="AQ37" s="170">
        <f>AQ53+AQ31</f>
        <v>140.90054151415359</v>
      </c>
      <c r="AR37" s="170">
        <f>AR53+AR31</f>
        <v>153.27173465757343</v>
      </c>
      <c r="AS37" s="170">
        <f>SUM(AQ37:AR37)</f>
        <v>294.17227617172705</v>
      </c>
      <c r="AT37" s="170">
        <f>AT53+AT31</f>
        <v>153.30122781055388</v>
      </c>
      <c r="AU37" s="170">
        <f>AU53+AU31</f>
        <v>165.74338994516975</v>
      </c>
      <c r="AV37" s="170">
        <f>SUM(AT37:AU37)</f>
        <v>319.04461775572361</v>
      </c>
      <c r="AW37" s="170">
        <f>AW53+AW31</f>
        <v>160.92926988146658</v>
      </c>
      <c r="AX37" s="170">
        <f>AX53+AX31</f>
        <v>174.01982681990773</v>
      </c>
      <c r="AY37" s="170">
        <f>SUM(AW37:AX37)</f>
        <v>334.94909670137429</v>
      </c>
      <c r="AZ37" s="170">
        <f>AZ53+AZ31</f>
        <v>168.50126014382116</v>
      </c>
      <c r="BA37" s="170">
        <f>BA53+BA31</f>
        <v>182.32563730254029</v>
      </c>
      <c r="BB37" s="170">
        <f>SUM(AZ37:BA37)</f>
        <v>350.82689744636144</v>
      </c>
      <c r="BE37"/>
      <c r="BF37"/>
      <c r="BG37"/>
      <c r="BH37"/>
      <c r="BI37"/>
      <c r="BJ37"/>
    </row>
    <row r="38" spans="1:62">
      <c r="B38" s="14" t="s">
        <v>150</v>
      </c>
      <c r="C38" s="76" t="s">
        <v>269</v>
      </c>
      <c r="D38" s="30"/>
      <c r="E38" s="30"/>
      <c r="F38" s="165"/>
      <c r="G38" s="165"/>
      <c r="H38" s="165"/>
      <c r="I38" s="165"/>
      <c r="J38" s="165"/>
      <c r="K38" s="165"/>
      <c r="L38" s="165"/>
      <c r="M38" s="165"/>
      <c r="N38" s="165"/>
      <c r="O38" s="165"/>
      <c r="P38" s="165"/>
      <c r="Q38" s="165"/>
      <c r="R38" s="165"/>
      <c r="S38" s="165"/>
      <c r="T38" s="165"/>
      <c r="U38" s="165"/>
      <c r="V38" s="165">
        <f>V49+V31</f>
        <v>86.495999999999995</v>
      </c>
      <c r="W38" s="165">
        <f>W49+W31</f>
        <v>132.90799999999999</v>
      </c>
      <c r="X38" s="165">
        <f>SUM(V38:W38)</f>
        <v>219.404</v>
      </c>
      <c r="Y38" s="165">
        <f>Y49+Y31</f>
        <v>120.004</v>
      </c>
      <c r="Z38" s="165">
        <f>Z49+Z31</f>
        <v>140.72099999999998</v>
      </c>
      <c r="AA38" s="394">
        <f>SUM(Y38:Z38)</f>
        <v>260.72499999999997</v>
      </c>
      <c r="AB38" s="165">
        <f>AB49+AB31</f>
        <v>125.45899999999997</v>
      </c>
      <c r="AC38" s="165">
        <f>AC49+AC31</f>
        <v>143.143</v>
      </c>
      <c r="AD38" s="165">
        <f>SUM(AB38:AC38)</f>
        <v>268.60199999999998</v>
      </c>
      <c r="AE38" s="165">
        <f>AE49+AE31</f>
        <v>128.1</v>
      </c>
      <c r="AF38" s="165">
        <f>AF49+AF31</f>
        <v>146.49099999999999</v>
      </c>
      <c r="AG38" s="165">
        <f>SUM(AE38:AF38)</f>
        <v>274.59100000000001</v>
      </c>
      <c r="AH38" s="165">
        <f>AH49+AH31</f>
        <v>124.80000000000001</v>
      </c>
      <c r="AI38" s="165">
        <f>AI49+AI31</f>
        <v>149.82900000000001</v>
      </c>
      <c r="AJ38" s="165">
        <f>SUM(AH38:AI38)</f>
        <v>274.62900000000002</v>
      </c>
      <c r="AK38" s="165">
        <f>AK49+AK31</f>
        <v>143.80000000000001</v>
      </c>
      <c r="AL38" s="165">
        <f>AL49+AL31</f>
        <v>133.9</v>
      </c>
      <c r="AM38" s="428">
        <f>SUM(AK38:AL38)</f>
        <v>277.70000000000005</v>
      </c>
      <c r="AN38" s="577">
        <f>AN49+AN31</f>
        <v>111.09900000000002</v>
      </c>
      <c r="AO38" s="165">
        <f>AO49+AO31</f>
        <v>134.63744909575945</v>
      </c>
      <c r="AP38" s="165">
        <f>SUM(AN38:AO38)</f>
        <v>245.73644909575947</v>
      </c>
      <c r="AQ38" s="165">
        <f>AQ49+AQ31</f>
        <v>140.90054151415359</v>
      </c>
      <c r="AR38" s="165">
        <f>AR49+AR31</f>
        <v>153.27173465757343</v>
      </c>
      <c r="AS38" s="165">
        <f>SUM(AQ38:AR38)</f>
        <v>294.17227617172705</v>
      </c>
      <c r="AT38" s="165">
        <f>AT49+AT31</f>
        <v>153.30122781055388</v>
      </c>
      <c r="AU38" s="165">
        <f>AU49+AU31</f>
        <v>165.74338994516975</v>
      </c>
      <c r="AV38" s="165">
        <f>SUM(AT38:AU38)</f>
        <v>319.04461775572361</v>
      </c>
      <c r="AW38" s="165">
        <f>AW49+AW31</f>
        <v>160.92926988146658</v>
      </c>
      <c r="AX38" s="165">
        <f>AX49+AX31</f>
        <v>174.01982681990773</v>
      </c>
      <c r="AY38" s="165">
        <f>SUM(AW38:AX38)</f>
        <v>334.94909670137429</v>
      </c>
      <c r="AZ38" s="165">
        <f>AZ49+AZ31</f>
        <v>168.50126014382116</v>
      </c>
      <c r="BA38" s="165">
        <f>BA49+BA31</f>
        <v>182.32563730254029</v>
      </c>
      <c r="BB38" s="165">
        <f>SUM(AZ38:BA38)</f>
        <v>350.82689744636144</v>
      </c>
    </row>
    <row r="39" spans="1:62" ht="9.6" customHeight="1">
      <c r="B39" s="7" t="s">
        <v>155</v>
      </c>
      <c r="C39" s="73" t="s">
        <v>82</v>
      </c>
      <c r="D39" s="30"/>
      <c r="E39" s="30"/>
      <c r="F39" s="165"/>
      <c r="G39" s="165"/>
      <c r="H39" s="165"/>
      <c r="I39" s="165"/>
      <c r="J39" s="165"/>
      <c r="K39" s="165"/>
      <c r="L39" s="165"/>
      <c r="M39" s="165"/>
      <c r="N39" s="165"/>
      <c r="O39" s="165"/>
      <c r="P39" s="165"/>
      <c r="Q39" s="165"/>
      <c r="R39" s="165"/>
      <c r="S39" s="165"/>
      <c r="T39" s="165"/>
      <c r="U39" s="165"/>
      <c r="V39" s="38">
        <f>+V37/V18</f>
        <v>0.22192687620269402</v>
      </c>
      <c r="W39" s="38">
        <f t="shared" ref="W39:BB39" si="44">+W37/W18</f>
        <v>0.17201334090888501</v>
      </c>
      <c r="X39" s="38">
        <f t="shared" si="44"/>
        <v>0.18874907412266403</v>
      </c>
      <c r="Y39" s="38">
        <f t="shared" si="44"/>
        <v>0.258524563323481</v>
      </c>
      <c r="Z39" s="38">
        <f t="shared" si="44"/>
        <v>0.26187082222983132</v>
      </c>
      <c r="AA39" s="474">
        <f t="shared" si="44"/>
        <v>0.2603199421699835</v>
      </c>
      <c r="AB39" s="38">
        <f t="shared" si="44"/>
        <v>0.24041890635928975</v>
      </c>
      <c r="AC39" s="38">
        <f t="shared" ref="AC39:AE39" si="45">+AC37/AC18</f>
        <v>0.22010994502748624</v>
      </c>
      <c r="AD39" s="38">
        <f t="shared" si="45"/>
        <v>0.2291513104013104</v>
      </c>
      <c r="AE39" s="38">
        <f t="shared" si="45"/>
        <v>0.21303841676367871</v>
      </c>
      <c r="AF39" s="38">
        <f t="shared" ref="AF39:AG39" si="46">+AF37/AF18</f>
        <v>0.22800084668997139</v>
      </c>
      <c r="AG39" s="38">
        <f t="shared" si="46"/>
        <v>0.22076745334064424</v>
      </c>
      <c r="AH39" s="38">
        <f t="shared" si="44"/>
        <v>0.21169442046107997</v>
      </c>
      <c r="AI39" s="38">
        <f t="shared" si="44"/>
        <v>0.22831955503066789</v>
      </c>
      <c r="AJ39" s="38">
        <f t="shared" si="44"/>
        <v>0.22045203146046494</v>
      </c>
      <c r="AK39" s="38">
        <f t="shared" ref="AK39:AM39" si="47">+AK37/AK18</f>
        <v>0.21255681608218471</v>
      </c>
      <c r="AL39" s="38">
        <f t="shared" si="47"/>
        <v>0.2098223170087706</v>
      </c>
      <c r="AM39" s="408">
        <f t="shared" si="47"/>
        <v>0.21122946654861552</v>
      </c>
      <c r="AN39" s="586">
        <f t="shared" ref="AN39" si="48">+AN37/AN18</f>
        <v>0.17214482607947867</v>
      </c>
      <c r="AO39" s="38">
        <f t="shared" si="44"/>
        <v>0.19910206061040292</v>
      </c>
      <c r="AP39" s="38">
        <f t="shared" si="44"/>
        <v>0.1859379938761925</v>
      </c>
      <c r="AQ39" s="38">
        <f t="shared" si="44"/>
        <v>0.20024457223308381</v>
      </c>
      <c r="AR39" s="38">
        <f t="shared" si="44"/>
        <v>0.21478916875095799</v>
      </c>
      <c r="AS39" s="38">
        <f t="shared" si="44"/>
        <v>0.20756792362886645</v>
      </c>
      <c r="AT39" s="38">
        <f t="shared" si="44"/>
        <v>0.20537878145059749</v>
      </c>
      <c r="AU39" s="38">
        <f t="shared" si="44"/>
        <v>0.22045956632111022</v>
      </c>
      <c r="AV39" s="38">
        <f t="shared" si="44"/>
        <v>0.21294623486873426</v>
      </c>
      <c r="AW39" s="38">
        <f t="shared" si="44"/>
        <v>0.20717765939221452</v>
      </c>
      <c r="AX39" s="38">
        <f t="shared" si="44"/>
        <v>0.2223972834947964</v>
      </c>
      <c r="AY39" s="38">
        <f t="shared" si="44"/>
        <v>0.2148153065824214</v>
      </c>
      <c r="AZ39" s="38">
        <f t="shared" si="44"/>
        <v>0.20907952923258455</v>
      </c>
      <c r="BA39" s="38">
        <f t="shared" si="44"/>
        <v>0.22432999406555171</v>
      </c>
      <c r="BB39" s="38">
        <f t="shared" si="44"/>
        <v>0.21673696900030207</v>
      </c>
    </row>
    <row r="40" spans="1:62">
      <c r="B40" s="14"/>
      <c r="C40" s="76"/>
      <c r="D40" s="30"/>
      <c r="E40" s="30"/>
      <c r="F40" s="165"/>
      <c r="G40" s="165"/>
      <c r="H40" s="165"/>
      <c r="I40" s="165"/>
      <c r="J40" s="165"/>
      <c r="K40" s="165"/>
      <c r="L40" s="165"/>
      <c r="M40" s="165"/>
      <c r="N40" s="165"/>
      <c r="O40" s="165"/>
      <c r="P40" s="165"/>
      <c r="Q40" s="165"/>
      <c r="R40" s="165"/>
      <c r="S40" s="165"/>
      <c r="T40" s="165"/>
      <c r="U40" s="165"/>
      <c r="V40" s="165"/>
      <c r="W40" s="165"/>
      <c r="X40" s="165"/>
      <c r="Y40" s="165"/>
      <c r="Z40" s="165"/>
      <c r="AB40" s="165"/>
      <c r="AC40" s="165"/>
      <c r="AD40" s="165"/>
      <c r="AE40" s="165"/>
      <c r="AF40" s="165"/>
      <c r="AG40" s="165"/>
      <c r="AH40" s="165"/>
      <c r="AI40" s="165"/>
      <c r="AJ40" s="165"/>
      <c r="AK40" s="165"/>
      <c r="AL40" s="165"/>
      <c r="AM40" s="428"/>
      <c r="AN40" s="577"/>
      <c r="AO40" s="165"/>
      <c r="AP40" s="165"/>
      <c r="AQ40" s="165"/>
      <c r="AR40" s="165"/>
      <c r="AS40" s="165"/>
      <c r="AT40" s="165"/>
      <c r="AU40" s="165"/>
      <c r="AV40" s="165"/>
      <c r="AW40" s="165"/>
      <c r="AX40" s="165"/>
      <c r="AY40" s="165"/>
      <c r="AZ40" s="165"/>
      <c r="BA40" s="165"/>
      <c r="BB40" s="165"/>
    </row>
    <row r="41" spans="1:62">
      <c r="B41" s="14" t="s">
        <v>184</v>
      </c>
      <c r="C41" s="30"/>
      <c r="D41" s="30"/>
      <c r="F41" s="165"/>
      <c r="G41" s="165"/>
      <c r="H41" s="165"/>
      <c r="I41" s="165"/>
      <c r="J41" s="165"/>
      <c r="K41" s="165"/>
      <c r="L41" s="165"/>
      <c r="M41" s="165"/>
      <c r="N41" s="165"/>
      <c r="O41" s="165"/>
      <c r="P41" s="165"/>
      <c r="Q41" s="165"/>
      <c r="R41" s="165"/>
      <c r="S41" s="165"/>
      <c r="T41" s="165"/>
      <c r="U41" s="165"/>
      <c r="V41" s="165"/>
      <c r="W41" s="165"/>
      <c r="X41" s="165"/>
      <c r="Y41" s="165"/>
      <c r="Z41" s="165"/>
      <c r="AB41" s="165"/>
      <c r="AC41" s="165"/>
      <c r="AD41" s="165"/>
      <c r="AE41" s="165"/>
      <c r="AF41" s="165"/>
      <c r="AG41" s="165"/>
      <c r="AH41" s="165"/>
      <c r="AI41" s="165"/>
      <c r="AJ41" s="165"/>
      <c r="AK41" s="165"/>
      <c r="AL41" s="165"/>
      <c r="AM41" s="428"/>
      <c r="AN41" s="577"/>
      <c r="AO41" s="165"/>
      <c r="AP41" s="32"/>
      <c r="AQ41" s="165"/>
      <c r="AR41" s="165"/>
      <c r="AS41" s="32"/>
      <c r="AT41" s="165"/>
      <c r="AU41" s="165"/>
      <c r="AV41" s="32"/>
      <c r="AW41" s="165"/>
      <c r="AX41" s="165"/>
      <c r="AY41" s="32"/>
      <c r="AZ41" s="165"/>
      <c r="BA41" s="165"/>
      <c r="BB41" s="32"/>
    </row>
    <row r="42" spans="1:62">
      <c r="B42" s="7" t="s">
        <v>274</v>
      </c>
      <c r="C42" s="73" t="s">
        <v>269</v>
      </c>
      <c r="D42" s="30"/>
      <c r="E42" s="30"/>
      <c r="F42" s="165"/>
      <c r="G42" s="165"/>
      <c r="H42" s="165"/>
      <c r="I42" s="165"/>
      <c r="J42" s="165"/>
      <c r="K42" s="165"/>
      <c r="L42" s="165"/>
      <c r="M42" s="165"/>
      <c r="N42" s="165"/>
      <c r="O42" s="165"/>
      <c r="P42" s="165"/>
      <c r="Q42" s="165"/>
      <c r="R42" s="165"/>
      <c r="S42" s="165"/>
      <c r="T42" s="165"/>
      <c r="U42" s="165"/>
      <c r="V42" s="165">
        <f>'Asia Pacific'!V$17</f>
        <v>10.783000000000001</v>
      </c>
      <c r="W42" s="165">
        <f>'Asia Pacific'!W$17</f>
        <v>19.277999999999999</v>
      </c>
      <c r="X42" s="165">
        <f>SUM(V42:W42)</f>
        <v>30.061</v>
      </c>
      <c r="Y42" s="165">
        <f>'Asia Pacific'!Y$17</f>
        <v>16.809999999999999</v>
      </c>
      <c r="Z42" s="165">
        <f>'Asia Pacific'!Z$17</f>
        <v>23.084</v>
      </c>
      <c r="AA42" s="394">
        <f>SUM(Y42:Z42)</f>
        <v>39.893999999999998</v>
      </c>
      <c r="AB42" s="165">
        <f>'Asia Pacific'!AB$17</f>
        <v>18.677</v>
      </c>
      <c r="AC42" s="165">
        <f>'Asia Pacific'!AC$17</f>
        <v>13.764000000000003</v>
      </c>
      <c r="AD42" s="165">
        <f>SUM(AB42:AC42)</f>
        <v>32.441000000000003</v>
      </c>
      <c r="AE42" s="165">
        <f>'Asia Pacific'!AE$17</f>
        <v>14.338000000000001</v>
      </c>
      <c r="AF42" s="165">
        <f>'Asia Pacific'!AF$17</f>
        <v>8.0319999999999965</v>
      </c>
      <c r="AG42" s="306">
        <f>SUM(AE42:AF42)</f>
        <v>22.369999999999997</v>
      </c>
      <c r="AH42" s="165">
        <f>'Asia Pacific'!AH$17</f>
        <v>4.1770000000000005</v>
      </c>
      <c r="AI42" s="165">
        <f>'Asia Pacific'!AI$17</f>
        <v>6.3579999999999997</v>
      </c>
      <c r="AJ42" s="306">
        <f>SUM(AH42:AI42)</f>
        <v>10.535</v>
      </c>
      <c r="AK42" s="165">
        <f>'Asia Pacific'!AK$17</f>
        <v>9.2220000000000013</v>
      </c>
      <c r="AL42" s="165">
        <f>'Asia Pacific'!AL$17</f>
        <v>-0.32200000000000095</v>
      </c>
      <c r="AM42" s="569">
        <f>SUM(AK42:AL42)</f>
        <v>8.9</v>
      </c>
      <c r="AN42" s="577">
        <f>'Asia Pacific'!AN$17</f>
        <v>4.4000000000000004</v>
      </c>
      <c r="AO42" s="165">
        <f>'Asia Pacific'!AO$17</f>
        <v>4.2938594965266041</v>
      </c>
      <c r="AP42" s="165">
        <f>SUM(AN42:AO42)</f>
        <v>8.6938594965266045</v>
      </c>
      <c r="AQ42" s="165">
        <f>'Asia Pacific'!AQ$17</f>
        <v>8.679935263950826</v>
      </c>
      <c r="AR42" s="165">
        <f>'Asia Pacific'!AR$17</f>
        <v>4.7565350644468207</v>
      </c>
      <c r="AS42" s="165">
        <f>SUM(AQ42:AR42)</f>
        <v>13.436470328397647</v>
      </c>
      <c r="AT42" s="165">
        <f>'Asia Pacific'!AT$17</f>
        <v>12.416502543215396</v>
      </c>
      <c r="AU42" s="165">
        <f>'Asia Pacific'!AU$17</f>
        <v>7.9315262597839276</v>
      </c>
      <c r="AV42" s="165">
        <f>SUM(AT42:AU42)</f>
        <v>20.348028802999323</v>
      </c>
      <c r="AW42" s="165">
        <f>'Asia Pacific'!AW$17</f>
        <v>13.033927378905023</v>
      </c>
      <c r="AX42" s="165">
        <f>'Asia Pacific'!AX$17</f>
        <v>8.3642719178117595</v>
      </c>
      <c r="AY42" s="165">
        <f>SUM(AW42:AX42)</f>
        <v>21.398199296716783</v>
      </c>
      <c r="AZ42" s="165">
        <f>'Asia Pacific'!AZ$17</f>
        <v>13.47992341833614</v>
      </c>
      <c r="BA42" s="165">
        <f>'Asia Pacific'!BA$17</f>
        <v>8.7057531995307347</v>
      </c>
      <c r="BB42" s="165">
        <f>SUM(AZ42:BA42)</f>
        <v>22.185676617866875</v>
      </c>
    </row>
    <row r="43" spans="1:62">
      <c r="B43" s="74" t="s">
        <v>275</v>
      </c>
      <c r="C43" s="73" t="s">
        <v>269</v>
      </c>
      <c r="D43" s="30"/>
      <c r="E43" s="30"/>
      <c r="F43" s="165"/>
      <c r="G43" s="165"/>
      <c r="H43" s="165"/>
      <c r="I43" s="165"/>
      <c r="J43" s="165"/>
      <c r="K43" s="165"/>
      <c r="L43" s="165"/>
      <c r="M43" s="165"/>
      <c r="N43" s="165"/>
      <c r="O43" s="165"/>
      <c r="P43" s="165"/>
      <c r="Q43" s="165"/>
      <c r="R43" s="165"/>
      <c r="S43" s="165"/>
      <c r="T43" s="165"/>
      <c r="U43" s="165"/>
      <c r="V43" s="165">
        <f>Americas!V$19</f>
        <v>28.057000000000002</v>
      </c>
      <c r="W43" s="165">
        <f>Americas!W$19</f>
        <v>42.578000000000003</v>
      </c>
      <c r="X43" s="165">
        <f>SUM(V43:W43)</f>
        <v>70.635000000000005</v>
      </c>
      <c r="Y43" s="165">
        <f>Americas!Y$19</f>
        <v>46.476999999999997</v>
      </c>
      <c r="Z43" s="165">
        <f>Americas!Z$19</f>
        <v>58.210000000000015</v>
      </c>
      <c r="AA43" s="394">
        <f>SUM(Y43:Z43)</f>
        <v>104.68700000000001</v>
      </c>
      <c r="AB43" s="165">
        <f>Americas!AB$19</f>
        <v>47.477999999999994</v>
      </c>
      <c r="AC43" s="165">
        <f>Americas!AC$19</f>
        <v>64.038000000000025</v>
      </c>
      <c r="AD43" s="165">
        <f>SUM(AB43:AC43)</f>
        <v>111.51600000000002</v>
      </c>
      <c r="AE43" s="165">
        <f>Americas!AE$19</f>
        <v>57.662999999999997</v>
      </c>
      <c r="AF43" s="165">
        <f>Americas!AF$19</f>
        <v>73.333000000000013</v>
      </c>
      <c r="AG43" s="306">
        <f>SUM(AE43:AF43)</f>
        <v>130.99600000000001</v>
      </c>
      <c r="AH43" s="165">
        <f>Americas!AH$19</f>
        <v>69.25</v>
      </c>
      <c r="AI43" s="165">
        <f>Americas!AI$19</f>
        <v>82.741000000000014</v>
      </c>
      <c r="AJ43" s="306">
        <f>SUM(AH43:AI43)</f>
        <v>151.99100000000001</v>
      </c>
      <c r="AK43" s="165">
        <f>Americas!AK$19</f>
        <v>75.3</v>
      </c>
      <c r="AL43" s="165">
        <f>Americas!AL$19</f>
        <v>72.3</v>
      </c>
      <c r="AM43" s="527">
        <f>SUM(AK43:AL43)</f>
        <v>147.6</v>
      </c>
      <c r="AN43" s="577">
        <f>Americas!AN$19</f>
        <v>51.7</v>
      </c>
      <c r="AO43" s="165">
        <f>Americas!AO$19</f>
        <v>68.137886765188725</v>
      </c>
      <c r="AP43" s="165">
        <f>SUM(AN43:AO43)</f>
        <v>119.83788676518873</v>
      </c>
      <c r="AQ43" s="165">
        <f>Americas!AQ$19</f>
        <v>70.686710250202765</v>
      </c>
      <c r="AR43" s="165">
        <f>Americas!AR$19</f>
        <v>81.234803425749178</v>
      </c>
      <c r="AS43" s="165">
        <f>SUM(AQ43:AR43)</f>
        <v>151.92151367595193</v>
      </c>
      <c r="AT43" s="165">
        <f>Americas!AT$19</f>
        <v>75.888702067338471</v>
      </c>
      <c r="AU43" s="165">
        <f>Americas!AU$19</f>
        <v>86.992427518008412</v>
      </c>
      <c r="AV43" s="165">
        <f>SUM(AT43:AU43)</f>
        <v>162.88112958534688</v>
      </c>
      <c r="AW43" s="165">
        <f>Americas!AW$19</f>
        <v>80.468112258561575</v>
      </c>
      <c r="AX43" s="165">
        <f>Americas!AX$19</f>
        <v>92.140314084718568</v>
      </c>
      <c r="AY43" s="165">
        <f>SUM(AW43:AX43)</f>
        <v>172.60842634328014</v>
      </c>
      <c r="AZ43" s="165">
        <f>Americas!AZ$19</f>
        <v>85.286683015725046</v>
      </c>
      <c r="BA43" s="165">
        <f>Americas!BA$19</f>
        <v>97.550613353232151</v>
      </c>
      <c r="BB43" s="165">
        <f>SUM(AZ43:BA43)</f>
        <v>182.8372963689572</v>
      </c>
    </row>
    <row r="44" spans="1:62">
      <c r="B44" s="74" t="s">
        <v>276</v>
      </c>
      <c r="C44" s="73" t="s">
        <v>269</v>
      </c>
      <c r="D44" s="30"/>
      <c r="E44" s="30"/>
      <c r="F44" s="165"/>
      <c r="G44" s="165"/>
      <c r="H44" s="165"/>
      <c r="I44" s="165"/>
      <c r="J44" s="165"/>
      <c r="K44" s="165"/>
      <c r="L44" s="165"/>
      <c r="M44" s="165"/>
      <c r="N44" s="165"/>
      <c r="O44" s="165"/>
      <c r="P44" s="165"/>
      <c r="Q44" s="165"/>
      <c r="R44" s="165"/>
      <c r="S44" s="165"/>
      <c r="T44" s="165"/>
      <c r="U44" s="165"/>
      <c r="V44" s="165">
        <f>EMEA!V$16</f>
        <v>29.231000000000002</v>
      </c>
      <c r="W44" s="165">
        <f>EMEA!W$16</f>
        <v>31.720999999999997</v>
      </c>
      <c r="X44" s="165">
        <f>SUM(V44:W44)</f>
        <v>60.951999999999998</v>
      </c>
      <c r="Y44" s="165">
        <f>EMEA!Y$16</f>
        <v>37.753</v>
      </c>
      <c r="Z44" s="165">
        <f>EMEA!Z$16</f>
        <v>44.05</v>
      </c>
      <c r="AA44" s="394">
        <f>SUM(Y44:Z44)</f>
        <v>81.802999999999997</v>
      </c>
      <c r="AB44" s="165">
        <f>EMEA!AB$16</f>
        <v>40.962999999999994</v>
      </c>
      <c r="AC44" s="165">
        <f>EMEA!AC$16</f>
        <v>44.269000000000005</v>
      </c>
      <c r="AD44" s="165">
        <f>SUM(AB44:AC44)</f>
        <v>85.231999999999999</v>
      </c>
      <c r="AE44" s="165">
        <f>EMEA!AE$16</f>
        <v>34.39</v>
      </c>
      <c r="AF44" s="165">
        <f>EMEA!AF$16</f>
        <v>39.685000000000002</v>
      </c>
      <c r="AG44" s="165">
        <f>SUM(AE44:AF44)</f>
        <v>74.075000000000003</v>
      </c>
      <c r="AH44" s="165">
        <f>EMEA!AH$16</f>
        <v>29.154000000000003</v>
      </c>
      <c r="AI44" s="165">
        <f>EMEA!AI$16</f>
        <v>32.798999999999992</v>
      </c>
      <c r="AJ44" s="165">
        <f>SUM(AH44:AI44)</f>
        <v>61.952999999999996</v>
      </c>
      <c r="AK44" s="165">
        <f>EMEA!AK$16</f>
        <v>27.7</v>
      </c>
      <c r="AL44" s="165">
        <f>EMEA!AL$16</f>
        <v>31.2</v>
      </c>
      <c r="AM44" s="428">
        <f>SUM(AK44:AL44)</f>
        <v>58.9</v>
      </c>
      <c r="AN44" s="577">
        <f>EMEA!AN$16</f>
        <v>24.8</v>
      </c>
      <c r="AO44" s="165">
        <f>EMEA!AO$16</f>
        <v>32.208666666666673</v>
      </c>
      <c r="AP44" s="165">
        <f>SUM(AN44:AO44)</f>
        <v>57.00866666666667</v>
      </c>
      <c r="AQ44" s="165">
        <f>EMEA!AQ$16</f>
        <v>30.650895999999996</v>
      </c>
      <c r="AR44" s="165">
        <f>EMEA!AR$16</f>
        <v>36.597239999999992</v>
      </c>
      <c r="AS44" s="165">
        <f>SUM(AQ44:AR44)</f>
        <v>67.248135999999988</v>
      </c>
      <c r="AT44" s="165">
        <f>EMEA!AT$16</f>
        <v>33.415343199999995</v>
      </c>
      <c r="AU44" s="165">
        <f>EMEA!AU$16</f>
        <v>39.345922799999997</v>
      </c>
      <c r="AV44" s="165">
        <f>SUM(AT44:AU44)</f>
        <v>72.761265999999992</v>
      </c>
      <c r="AW44" s="165">
        <f>EMEA!AW$16</f>
        <v>35.134916643999993</v>
      </c>
      <c r="AX44" s="165">
        <f>EMEA!AX$16</f>
        <v>41.326077905999988</v>
      </c>
      <c r="AY44" s="165">
        <f>SUM(AW44:AX44)</f>
        <v>76.460994549999981</v>
      </c>
      <c r="AZ44" s="165">
        <f>EMEA!AZ$16</f>
        <v>36.716473837759992</v>
      </c>
      <c r="BA44" s="165">
        <f>EMEA!BA$16</f>
        <v>43.150145303519992</v>
      </c>
      <c r="BB44" s="165">
        <f>SUM(AZ44:BA44)</f>
        <v>79.866619141279983</v>
      </c>
    </row>
    <row r="45" spans="1:62">
      <c r="B45" s="74" t="s">
        <v>432</v>
      </c>
      <c r="C45" s="73" t="s">
        <v>269</v>
      </c>
      <c r="D45" s="30"/>
      <c r="E45" s="30"/>
      <c r="F45" s="165"/>
      <c r="G45" s="165"/>
      <c r="H45" s="165"/>
      <c r="I45" s="165"/>
      <c r="J45" s="165"/>
      <c r="K45" s="165"/>
      <c r="L45" s="165"/>
      <c r="M45" s="165"/>
      <c r="N45" s="165"/>
      <c r="O45" s="165"/>
      <c r="P45" s="165"/>
      <c r="Q45" s="165"/>
      <c r="R45" s="165"/>
      <c r="S45" s="165"/>
      <c r="T45" s="165"/>
      <c r="U45" s="165"/>
      <c r="V45" s="165">
        <f t="shared" ref="V45:X45" si="49">V46-SUM(V42:V44)</f>
        <v>-2.0790000000000077</v>
      </c>
      <c r="W45" s="165">
        <f t="shared" si="49"/>
        <v>-1.679000000000002</v>
      </c>
      <c r="X45" s="165">
        <f t="shared" si="49"/>
        <v>-3.7579999999999814</v>
      </c>
      <c r="Y45" s="165">
        <f t="shared" ref="Y45:AD45" si="50">Y46-SUM(Y42:Y44)</f>
        <v>-1.9299999999999926</v>
      </c>
      <c r="Z45" s="165">
        <f t="shared" si="50"/>
        <v>-5.7750000000000341</v>
      </c>
      <c r="AA45" s="394">
        <f t="shared" si="50"/>
        <v>-7.7050000000000409</v>
      </c>
      <c r="AB45" s="165">
        <f t="shared" si="50"/>
        <v>-3.2690000000000197</v>
      </c>
      <c r="AC45" s="165">
        <f t="shared" si="50"/>
        <v>-4.5260000000000247</v>
      </c>
      <c r="AD45" s="165">
        <f t="shared" si="50"/>
        <v>-7.7950000000000443</v>
      </c>
      <c r="AE45" s="165">
        <f t="shared" ref="AE45" si="51">AE46-SUM(AE42:AE44)</f>
        <v>-3.835000000000008</v>
      </c>
      <c r="AF45" s="165">
        <f t="shared" ref="AF45:AG45" si="52">AF46-SUM(AF42:AF44)</f>
        <v>-1.6560000000000343</v>
      </c>
      <c r="AG45" s="165">
        <f t="shared" si="52"/>
        <v>-5.4910000000000423</v>
      </c>
      <c r="AH45" s="165">
        <f>Corporate!AH15</f>
        <v>-5.7980000000000045</v>
      </c>
      <c r="AI45" s="165">
        <f t="shared" ref="AI45:AJ45" si="53">AI46-SUM(AI42:AI44)</f>
        <v>-4.1009999999999991</v>
      </c>
      <c r="AJ45" s="165">
        <f t="shared" si="53"/>
        <v>-9.8990000000000009</v>
      </c>
      <c r="AK45" s="165">
        <f>Corporate!AK15</f>
        <v>-2.9799999999999858</v>
      </c>
      <c r="AL45" s="165">
        <f t="shared" ref="AL45:AM45" si="54">AL46-SUM(AL42:AL44)</f>
        <v>-3.4970000000000141</v>
      </c>
      <c r="AM45" s="428">
        <f t="shared" si="54"/>
        <v>-6.4770000000000607</v>
      </c>
      <c r="AN45" s="577">
        <f>Corporate!AN15</f>
        <v>-4.8569999999999904</v>
      </c>
      <c r="AO45" s="165">
        <f>Corporate!AO15</f>
        <v>-5.1649638326225897</v>
      </c>
      <c r="AP45" s="165">
        <f>Corporate!AP15</f>
        <v>-10.02196383262258</v>
      </c>
      <c r="AQ45" s="165">
        <f>Corporate!AQ15</f>
        <v>-4.8569999999999904</v>
      </c>
      <c r="AR45" s="165">
        <f>Corporate!AR15</f>
        <v>-5.1649638326225897</v>
      </c>
      <c r="AS45" s="165">
        <f>Corporate!AS15</f>
        <v>-10.02196383262258</v>
      </c>
      <c r="AT45" s="165">
        <f>Corporate!AT15</f>
        <v>-4.8569999999999904</v>
      </c>
      <c r="AU45" s="165">
        <f>Corporate!AU15</f>
        <v>-5.1649638326225897</v>
      </c>
      <c r="AV45" s="165">
        <f>Corporate!AV15</f>
        <v>-10.02196383262258</v>
      </c>
      <c r="AW45" s="165">
        <f>Corporate!AW15</f>
        <v>-4.8569999999999904</v>
      </c>
      <c r="AX45" s="165">
        <f>Corporate!AX15</f>
        <v>-5.1649638326225897</v>
      </c>
      <c r="AY45" s="165">
        <f>Corporate!AY15</f>
        <v>-10.02196383262258</v>
      </c>
      <c r="AZ45" s="165">
        <f>Corporate!AZ15</f>
        <v>-4.8569999999999904</v>
      </c>
      <c r="BA45" s="165">
        <f>Corporate!BA15</f>
        <v>-5.1649638326225897</v>
      </c>
      <c r="BB45" s="165">
        <f>Corporate!BB15</f>
        <v>-10.02196383262258</v>
      </c>
    </row>
    <row r="46" spans="1:62" s="14" customFormat="1">
      <c r="A46" s="79"/>
      <c r="B46" s="79" t="s">
        <v>8</v>
      </c>
      <c r="C46" s="80" t="s">
        <v>269</v>
      </c>
      <c r="D46" s="35"/>
      <c r="E46" s="35"/>
      <c r="F46" s="175"/>
      <c r="G46" s="175"/>
      <c r="H46" s="170"/>
      <c r="I46" s="175"/>
      <c r="J46" s="170"/>
      <c r="K46" s="170"/>
      <c r="L46" s="175"/>
      <c r="M46" s="170"/>
      <c r="N46" s="170"/>
      <c r="O46" s="170"/>
      <c r="P46" s="170"/>
      <c r="Q46" s="170"/>
      <c r="R46" s="170"/>
      <c r="S46" s="170"/>
      <c r="T46" s="170"/>
      <c r="U46" s="170"/>
      <c r="V46" s="170">
        <f t="shared" ref="V46:X46" si="55">V37-V31</f>
        <v>65.99199999999999</v>
      </c>
      <c r="W46" s="170">
        <f t="shared" si="55"/>
        <v>91.897999999999996</v>
      </c>
      <c r="X46" s="170">
        <f t="shared" si="55"/>
        <v>157.89000000000001</v>
      </c>
      <c r="Y46" s="170">
        <f t="shared" ref="Y46:AD46" si="56">Y37-Y31</f>
        <v>99.11</v>
      </c>
      <c r="Z46" s="170">
        <f t="shared" si="56"/>
        <v>119.56899999999997</v>
      </c>
      <c r="AA46" s="472">
        <f t="shared" si="56"/>
        <v>218.67899999999997</v>
      </c>
      <c r="AB46" s="170">
        <f t="shared" si="56"/>
        <v>103.84899999999998</v>
      </c>
      <c r="AC46" s="170">
        <f t="shared" si="56"/>
        <v>117.545</v>
      </c>
      <c r="AD46" s="528">
        <f t="shared" si="56"/>
        <v>221.39399999999998</v>
      </c>
      <c r="AE46" s="472">
        <f>AE37-AE31</f>
        <v>102.556</v>
      </c>
      <c r="AF46" s="170">
        <f t="shared" ref="AF46:AG46" si="57">AF37-AF31</f>
        <v>119.39399999999998</v>
      </c>
      <c r="AG46" s="519">
        <f t="shared" si="57"/>
        <v>221.95</v>
      </c>
      <c r="AH46" s="170">
        <f t="shared" ref="AH46" si="58">SUM(AH42:AH45)</f>
        <v>96.783000000000015</v>
      </c>
      <c r="AI46" s="170">
        <f t="shared" ref="AI46:AJ46" si="59">AI37-AI31</f>
        <v>117.79700000000001</v>
      </c>
      <c r="AJ46" s="519">
        <f t="shared" si="59"/>
        <v>214.58</v>
      </c>
      <c r="AK46" s="170">
        <f t="shared" ref="AK46" si="60">SUM(AK42:AK45)</f>
        <v>109.242</v>
      </c>
      <c r="AL46" s="170">
        <f t="shared" ref="AL46" si="61">AL37-AL31</f>
        <v>99.680999999999983</v>
      </c>
      <c r="AM46" s="551">
        <f>AM37-AM31</f>
        <v>208.92299999999994</v>
      </c>
      <c r="AN46" s="585">
        <f t="shared" ref="AN46" si="62">SUM(AN42:AN45)</f>
        <v>76.043000000000021</v>
      </c>
      <c r="AO46" s="170">
        <f t="shared" ref="AO46:BB46" si="63">SUM(AO42:AO45)</f>
        <v>99.475449095759416</v>
      </c>
      <c r="AP46" s="170">
        <f t="shared" si="63"/>
        <v>175.51844909575942</v>
      </c>
      <c r="AQ46" s="170">
        <f t="shared" si="63"/>
        <v>105.16054151415359</v>
      </c>
      <c r="AR46" s="170">
        <f t="shared" si="63"/>
        <v>117.42361465757341</v>
      </c>
      <c r="AS46" s="170">
        <f t="shared" si="63"/>
        <v>222.58415617172699</v>
      </c>
      <c r="AT46" s="170">
        <f t="shared" si="63"/>
        <v>116.86354781055388</v>
      </c>
      <c r="AU46" s="170">
        <f t="shared" si="63"/>
        <v>129.10491274516974</v>
      </c>
      <c r="AV46" s="170">
        <f t="shared" si="63"/>
        <v>245.9684605557236</v>
      </c>
      <c r="AW46" s="170">
        <f t="shared" si="63"/>
        <v>123.7799562814666</v>
      </c>
      <c r="AX46" s="170">
        <f t="shared" si="63"/>
        <v>136.66570007590772</v>
      </c>
      <c r="AY46" s="170">
        <f t="shared" si="63"/>
        <v>260.44565635737428</v>
      </c>
      <c r="AZ46" s="170">
        <f t="shared" si="63"/>
        <v>130.62608027182117</v>
      </c>
      <c r="BA46" s="170">
        <f t="shared" si="63"/>
        <v>144.24154802366027</v>
      </c>
      <c r="BB46" s="170">
        <f t="shared" si="63"/>
        <v>274.86762829548144</v>
      </c>
      <c r="BE46"/>
      <c r="BF46"/>
      <c r="BG46"/>
      <c r="BH46"/>
      <c r="BI46"/>
      <c r="BJ46"/>
    </row>
    <row r="47" spans="1:62">
      <c r="B47" s="7" t="s">
        <v>21</v>
      </c>
      <c r="D47" s="38"/>
      <c r="E47" s="38"/>
      <c r="F47" s="38"/>
      <c r="G47" s="38"/>
      <c r="H47" s="38"/>
      <c r="I47" s="38"/>
      <c r="J47" s="38"/>
      <c r="K47" s="38"/>
      <c r="L47" s="38"/>
      <c r="M47" s="38"/>
      <c r="N47" s="38"/>
      <c r="O47" s="38"/>
      <c r="P47" s="38"/>
      <c r="Q47" s="38"/>
      <c r="R47" s="38"/>
      <c r="S47" s="38"/>
      <c r="T47" s="38"/>
      <c r="U47" s="38"/>
      <c r="V47" s="38">
        <f t="shared" ref="V47:AJ47" si="64">V46/V14</f>
        <v>0.1492666950156975</v>
      </c>
      <c r="W47" s="38">
        <f t="shared" si="64"/>
        <v>0.10610994106671101</v>
      </c>
      <c r="X47" s="38">
        <f t="shared" si="64"/>
        <v>0.12069513794822088</v>
      </c>
      <c r="Y47" s="38">
        <f t="shared" si="64"/>
        <v>0.18846433230268386</v>
      </c>
      <c r="Z47" s="38">
        <f t="shared" si="64"/>
        <v>0.19824813306628111</v>
      </c>
      <c r="AA47" s="474">
        <f t="shared" si="64"/>
        <v>0.19369093276410307</v>
      </c>
      <c r="AB47" s="38">
        <f t="shared" ref="AB47:AD47" si="65">AB46/AB14</f>
        <v>0.17628805252874361</v>
      </c>
      <c r="AC47" s="38">
        <f t="shared" si="65"/>
        <v>0.16637509094048739</v>
      </c>
      <c r="AD47" s="38">
        <f t="shared" si="65"/>
        <v>0.17088236815110919</v>
      </c>
      <c r="AE47" s="38">
        <f t="shared" ref="AE47:AG47" si="66">AE46/AE14</f>
        <v>0.15583057929724595</v>
      </c>
      <c r="AF47" s="38">
        <f t="shared" si="66"/>
        <v>0.17192697488357625</v>
      </c>
      <c r="AG47" s="38">
        <f t="shared" si="66"/>
        <v>0.16409489779094774</v>
      </c>
      <c r="AH47" s="38">
        <f t="shared" si="64"/>
        <v>0.15304612114905961</v>
      </c>
      <c r="AI47" s="38">
        <f t="shared" si="64"/>
        <v>0.16250574233768675</v>
      </c>
      <c r="AJ47" s="38">
        <f t="shared" si="64"/>
        <v>0.15809828204975185</v>
      </c>
      <c r="AK47" s="38">
        <f t="shared" ref="AK47:AM47" si="67">AK46/AK14</f>
        <v>0.15327348798837143</v>
      </c>
      <c r="AL47" s="38">
        <f t="shared" si="67"/>
        <v>0.14700434460728939</v>
      </c>
      <c r="AM47" s="408">
        <f t="shared" si="67"/>
        <v>0.15021699616338127</v>
      </c>
      <c r="AN47" s="586">
        <f t="shared" ref="AN47" si="68">AN46/AN14</f>
        <v>0.11135289009680763</v>
      </c>
      <c r="AO47" s="38">
        <f t="shared" ref="AO47:BB47" si="69">AO46/AO14</f>
        <v>0.1386530309560268</v>
      </c>
      <c r="AP47" s="38">
        <f t="shared" si="69"/>
        <v>0.12533965049636592</v>
      </c>
      <c r="AQ47" s="38">
        <f t="shared" si="69"/>
        <v>0.14163469625243894</v>
      </c>
      <c r="AR47" s="38">
        <f t="shared" si="69"/>
        <v>0.15520302875246397</v>
      </c>
      <c r="AS47" s="38">
        <f t="shared" si="69"/>
        <v>0.14848268925548611</v>
      </c>
      <c r="AT47" s="38">
        <f t="shared" si="69"/>
        <v>0.14844072747992137</v>
      </c>
      <c r="AU47" s="38">
        <f t="shared" si="69"/>
        <v>0.16201884861005625</v>
      </c>
      <c r="AV47" s="38">
        <f t="shared" si="69"/>
        <v>0.15527083221547222</v>
      </c>
      <c r="AW47" s="38">
        <f t="shared" si="69"/>
        <v>0.15114645619218012</v>
      </c>
      <c r="AX47" s="38">
        <f t="shared" si="69"/>
        <v>0.16485205686409035</v>
      </c>
      <c r="AY47" s="38">
        <f t="shared" si="69"/>
        <v>0.15804117178900287</v>
      </c>
      <c r="AZ47" s="38">
        <f t="shared" si="69"/>
        <v>0.15379148800509174</v>
      </c>
      <c r="BA47" s="38">
        <f t="shared" si="69"/>
        <v>0.16757977440318331</v>
      </c>
      <c r="BB47" s="38">
        <f t="shared" si="69"/>
        <v>0.16073143737671705</v>
      </c>
    </row>
    <row r="48" spans="1:62">
      <c r="D48" s="38"/>
      <c r="E48" s="38"/>
      <c r="F48" s="38"/>
      <c r="G48" s="38"/>
      <c r="H48" s="38"/>
      <c r="I48" s="38"/>
      <c r="J48" s="38"/>
      <c r="K48" s="38"/>
      <c r="L48" s="38"/>
      <c r="M48" s="38"/>
      <c r="N48" s="38"/>
      <c r="O48" s="38"/>
      <c r="P48" s="38"/>
      <c r="Q48" s="38"/>
      <c r="R48" s="38"/>
      <c r="S48" s="38"/>
      <c r="T48" s="38"/>
      <c r="U48" s="38"/>
      <c r="V48" s="38"/>
      <c r="W48" s="38"/>
      <c r="X48" s="38"/>
      <c r="Y48" s="38"/>
      <c r="Z48" s="38"/>
      <c r="AA48" s="474"/>
      <c r="AB48" s="38"/>
      <c r="AC48" s="38"/>
      <c r="AD48" s="38"/>
      <c r="AE48" s="38"/>
      <c r="AF48" s="38"/>
      <c r="AG48" s="38"/>
      <c r="AH48" s="38"/>
      <c r="AI48" s="38"/>
      <c r="AJ48" s="38"/>
      <c r="AK48" s="38"/>
      <c r="AL48" s="38"/>
      <c r="AM48" s="408"/>
      <c r="AN48" s="586"/>
      <c r="AO48" s="38"/>
      <c r="AP48" s="38"/>
      <c r="AQ48" s="38"/>
      <c r="AR48" s="38"/>
      <c r="AS48" s="38"/>
      <c r="AT48" s="38"/>
      <c r="AU48" s="38"/>
      <c r="AV48" s="38"/>
      <c r="AW48" s="38"/>
      <c r="AX48" s="38"/>
      <c r="AY48" s="38"/>
      <c r="AZ48" s="38"/>
      <c r="BA48" s="38"/>
      <c r="BB48" s="38"/>
    </row>
    <row r="49" spans="1:62">
      <c r="B49" s="14" t="s">
        <v>44</v>
      </c>
      <c r="C49" s="76" t="s">
        <v>269</v>
      </c>
      <c r="D49" s="39"/>
      <c r="E49" s="39"/>
      <c r="F49" s="172"/>
      <c r="G49" s="172"/>
      <c r="H49" s="172"/>
      <c r="I49" s="172"/>
      <c r="J49" s="172"/>
      <c r="K49" s="172"/>
      <c r="L49" s="172"/>
      <c r="M49" s="172"/>
      <c r="N49" s="172"/>
      <c r="O49" s="172"/>
      <c r="P49" s="172"/>
      <c r="Q49" s="172"/>
      <c r="R49" s="172"/>
      <c r="S49" s="172"/>
      <c r="T49" s="172"/>
      <c r="U49" s="172"/>
      <c r="V49" s="172">
        <f>V46</f>
        <v>65.99199999999999</v>
      </c>
      <c r="W49" s="172">
        <f>W46</f>
        <v>91.897999999999996</v>
      </c>
      <c r="X49" s="172">
        <f>SUM(V49:W49)</f>
        <v>157.88999999999999</v>
      </c>
      <c r="Y49" s="172">
        <f>Y46</f>
        <v>99.11</v>
      </c>
      <c r="Z49" s="172">
        <f>Z46</f>
        <v>119.56899999999997</v>
      </c>
      <c r="AA49" s="474">
        <f>SUM(Y49:Z49)</f>
        <v>218.67899999999997</v>
      </c>
      <c r="AB49" s="172">
        <f>AB46</f>
        <v>103.84899999999998</v>
      </c>
      <c r="AC49" s="172">
        <f>AC46</f>
        <v>117.545</v>
      </c>
      <c r="AD49" s="172">
        <f>SUM(AB49:AC49)</f>
        <v>221.39399999999998</v>
      </c>
      <c r="AE49" s="172">
        <f>AE46</f>
        <v>102.556</v>
      </c>
      <c r="AF49" s="172">
        <f>AF46</f>
        <v>119.39399999999998</v>
      </c>
      <c r="AG49" s="172">
        <f>SUM(AE49:AF49)</f>
        <v>221.95</v>
      </c>
      <c r="AH49" s="172">
        <f>AH46</f>
        <v>96.783000000000015</v>
      </c>
      <c r="AI49" s="172">
        <f>AI46</f>
        <v>117.79700000000001</v>
      </c>
      <c r="AJ49" s="172">
        <f>SUM(AH49:AI49)</f>
        <v>214.58000000000004</v>
      </c>
      <c r="AK49" s="172">
        <f>AK46</f>
        <v>109.242</v>
      </c>
      <c r="AL49" s="172">
        <f>AL46</f>
        <v>99.680999999999983</v>
      </c>
      <c r="AM49" s="434">
        <f>SUM(AK49:AL49)</f>
        <v>208.923</v>
      </c>
      <c r="AN49" s="587">
        <f>AN46</f>
        <v>76.043000000000021</v>
      </c>
      <c r="AO49" s="172">
        <f>AO46</f>
        <v>99.475449095759416</v>
      </c>
      <c r="AP49" s="172">
        <f>SUM(AN49:AO49)</f>
        <v>175.51844909575942</v>
      </c>
      <c r="AQ49" s="172">
        <f>AQ46</f>
        <v>105.16054151415359</v>
      </c>
      <c r="AR49" s="172">
        <f>AR46</f>
        <v>117.42361465757341</v>
      </c>
      <c r="AS49" s="172">
        <f>SUM(AQ49:AR49)</f>
        <v>222.58415617172699</v>
      </c>
      <c r="AT49" s="172">
        <f>AT46</f>
        <v>116.86354781055388</v>
      </c>
      <c r="AU49" s="172">
        <f>AU46</f>
        <v>129.10491274516974</v>
      </c>
      <c r="AV49" s="172">
        <f>SUM(AT49:AU49)</f>
        <v>245.96846055572362</v>
      </c>
      <c r="AW49" s="172">
        <f>AW46</f>
        <v>123.7799562814666</v>
      </c>
      <c r="AX49" s="172">
        <f>AX46</f>
        <v>136.66570007590772</v>
      </c>
      <c r="AY49" s="172">
        <f>SUM(AW49:AX49)</f>
        <v>260.44565635737433</v>
      </c>
      <c r="AZ49" s="172">
        <f>AZ46</f>
        <v>130.62608027182117</v>
      </c>
      <c r="BA49" s="172">
        <f>BA46</f>
        <v>144.24154802366027</v>
      </c>
      <c r="BB49" s="172">
        <f>SUM(AZ49:BA49)</f>
        <v>274.86762829548144</v>
      </c>
    </row>
    <row r="50" spans="1:62">
      <c r="D50" s="30"/>
      <c r="E50" s="30"/>
      <c r="F50" s="49"/>
      <c r="G50" s="49"/>
      <c r="H50" s="49"/>
      <c r="I50" s="49"/>
      <c r="J50" s="49"/>
      <c r="K50" s="49"/>
      <c r="L50" s="49"/>
      <c r="M50" s="49"/>
      <c r="N50" s="49"/>
      <c r="O50" s="49"/>
      <c r="P50" s="49"/>
      <c r="Q50" s="49"/>
      <c r="R50" s="49"/>
      <c r="S50" s="49"/>
      <c r="T50" s="49"/>
      <c r="U50" s="49"/>
      <c r="V50" s="49"/>
      <c r="W50" s="49"/>
      <c r="X50" s="49"/>
      <c r="Y50" s="49"/>
      <c r="Z50" s="49"/>
      <c r="AB50" s="49"/>
      <c r="AC50" s="49"/>
      <c r="AD50" s="49"/>
      <c r="AE50" s="49"/>
      <c r="AF50" s="49"/>
      <c r="AG50" s="49"/>
      <c r="AH50" s="49"/>
      <c r="AI50" s="49"/>
      <c r="AJ50" s="49"/>
      <c r="AK50" s="49"/>
      <c r="AL50" s="49"/>
      <c r="AM50" s="407"/>
      <c r="AN50" s="588"/>
      <c r="AO50" s="49"/>
      <c r="AP50" s="49"/>
      <c r="AQ50" s="49"/>
      <c r="AR50" s="49"/>
      <c r="AS50" s="49"/>
      <c r="AT50" s="49"/>
      <c r="AU50" s="49"/>
      <c r="AV50" s="49"/>
      <c r="AW50" s="49"/>
      <c r="AX50" s="49"/>
      <c r="AY50" s="49"/>
      <c r="AZ50" s="49"/>
      <c r="BA50" s="49"/>
      <c r="BB50" s="49"/>
    </row>
    <row r="51" spans="1:62">
      <c r="B51" s="7" t="s">
        <v>98</v>
      </c>
      <c r="C51" s="73" t="s">
        <v>269</v>
      </c>
      <c r="D51" s="30"/>
      <c r="E51" s="30"/>
      <c r="F51" s="49"/>
      <c r="G51" s="49"/>
      <c r="H51" s="49"/>
      <c r="I51" s="49"/>
      <c r="J51" s="49"/>
      <c r="K51" s="49"/>
      <c r="L51" s="49"/>
      <c r="M51" s="49"/>
      <c r="N51" s="49"/>
      <c r="O51" s="49"/>
      <c r="P51" s="49"/>
      <c r="Q51" s="49"/>
      <c r="R51" s="49"/>
      <c r="S51" s="49"/>
      <c r="T51" s="49"/>
      <c r="U51" s="49"/>
      <c r="V51" s="49"/>
      <c r="W51" s="49"/>
      <c r="X51" s="49"/>
      <c r="Y51" s="49"/>
      <c r="Z51" s="49"/>
      <c r="AB51" s="49"/>
      <c r="AC51" s="49"/>
      <c r="AD51" s="49"/>
      <c r="AE51" s="49"/>
      <c r="AF51" s="49"/>
      <c r="AG51" s="49"/>
      <c r="AH51" s="49"/>
      <c r="AI51" s="49"/>
      <c r="AJ51" s="49"/>
      <c r="AK51" s="49"/>
      <c r="AL51" s="49"/>
      <c r="AM51" s="407"/>
      <c r="AN51" s="588"/>
      <c r="AO51" s="49"/>
      <c r="AP51" s="49"/>
      <c r="AQ51" s="49"/>
      <c r="AR51" s="49"/>
      <c r="AS51" s="49"/>
      <c r="AT51" s="49"/>
      <c r="AU51" s="49"/>
      <c r="AV51" s="49"/>
      <c r="AW51" s="49"/>
      <c r="AX51" s="49"/>
      <c r="AY51" s="49"/>
      <c r="AZ51" s="49"/>
      <c r="BA51" s="49"/>
      <c r="BB51" s="49"/>
    </row>
    <row r="52" spans="1:62">
      <c r="D52" s="30"/>
      <c r="E52" s="30"/>
      <c r="F52" s="49"/>
      <c r="G52" s="49"/>
      <c r="H52" s="49"/>
      <c r="I52" s="49"/>
      <c r="J52" s="49"/>
      <c r="K52" s="49"/>
      <c r="L52" s="49"/>
      <c r="M52" s="49"/>
      <c r="N52" s="49"/>
      <c r="O52" s="49"/>
      <c r="P52" s="49"/>
      <c r="Q52" s="49"/>
      <c r="R52" s="49"/>
      <c r="S52" s="49"/>
      <c r="T52" s="49"/>
      <c r="U52" s="49"/>
      <c r="V52" s="49"/>
      <c r="W52" s="49"/>
      <c r="X52" s="49"/>
      <c r="Y52" s="49"/>
      <c r="Z52" s="49"/>
      <c r="AB52" s="49"/>
      <c r="AC52" s="49"/>
      <c r="AD52" s="49"/>
      <c r="AE52" s="49"/>
      <c r="AF52" s="49"/>
      <c r="AG52" s="49"/>
      <c r="AH52" s="49"/>
      <c r="AI52" s="49"/>
      <c r="AJ52" s="49"/>
      <c r="AK52" s="49"/>
      <c r="AL52" s="49"/>
      <c r="AM52" s="407"/>
      <c r="AN52" s="588"/>
      <c r="AO52" s="49"/>
      <c r="AP52" s="49"/>
      <c r="AQ52" s="49"/>
      <c r="AR52" s="49"/>
      <c r="AS52" s="49"/>
      <c r="AT52" s="49"/>
      <c r="AU52" s="49"/>
      <c r="AV52" s="49"/>
      <c r="AW52" s="49"/>
      <c r="AX52" s="49"/>
      <c r="AY52" s="49"/>
      <c r="AZ52" s="49"/>
      <c r="BA52" s="49"/>
      <c r="BB52" s="49"/>
    </row>
    <row r="53" spans="1:62" s="14" customFormat="1">
      <c r="B53" s="14" t="s">
        <v>172</v>
      </c>
      <c r="C53" s="76" t="s">
        <v>269</v>
      </c>
      <c r="D53" s="28"/>
      <c r="E53" s="28"/>
      <c r="F53" s="162"/>
      <c r="G53" s="162"/>
      <c r="H53" s="162"/>
      <c r="I53" s="162"/>
      <c r="J53" s="162"/>
      <c r="K53" s="162"/>
      <c r="L53" s="162"/>
      <c r="M53" s="162"/>
      <c r="N53" s="162"/>
      <c r="O53" s="162"/>
      <c r="P53" s="162"/>
      <c r="Q53" s="162"/>
      <c r="R53" s="162"/>
      <c r="S53" s="162"/>
      <c r="T53" s="162"/>
      <c r="U53" s="162"/>
      <c r="V53" s="162">
        <f>V51+V49</f>
        <v>65.99199999999999</v>
      </c>
      <c r="W53" s="162">
        <f>W51+W49</f>
        <v>91.897999999999996</v>
      </c>
      <c r="X53" s="162">
        <f>SUM(V53:W53)</f>
        <v>157.88999999999999</v>
      </c>
      <c r="Y53" s="162">
        <f>Y51+Y49</f>
        <v>99.11</v>
      </c>
      <c r="Z53" s="162">
        <f>Z51+Z49</f>
        <v>119.56899999999997</v>
      </c>
      <c r="AA53" s="466">
        <f>SUM(Y53:Z53)</f>
        <v>218.67899999999997</v>
      </c>
      <c r="AB53" s="162">
        <f>AB51+AB49</f>
        <v>103.84899999999998</v>
      </c>
      <c r="AC53" s="162">
        <f>AC51+AC49</f>
        <v>117.545</v>
      </c>
      <c r="AD53" s="162">
        <f>SUM(AB53:AC53)</f>
        <v>221.39399999999998</v>
      </c>
      <c r="AE53" s="520">
        <f>AE51+AE49</f>
        <v>102.556</v>
      </c>
      <c r="AF53" s="162">
        <f>AF51+AF49</f>
        <v>119.39399999999998</v>
      </c>
      <c r="AG53" s="542">
        <f>SUM(AE53:AF53)</f>
        <v>221.95</v>
      </c>
      <c r="AH53" s="162">
        <f>AH51+AH49</f>
        <v>96.783000000000015</v>
      </c>
      <c r="AI53" s="162">
        <f>AI51+AI49</f>
        <v>117.79700000000001</v>
      </c>
      <c r="AJ53" s="542">
        <f>SUM(AH53:AI53)</f>
        <v>214.58000000000004</v>
      </c>
      <c r="AK53" s="162">
        <f>AK51+AK49</f>
        <v>109.242</v>
      </c>
      <c r="AL53" s="162">
        <f>AL51+AL49</f>
        <v>99.680999999999983</v>
      </c>
      <c r="AM53" s="554">
        <f>SUM(AK53:AL53)</f>
        <v>208.923</v>
      </c>
      <c r="AN53" s="589">
        <f>AN51+AN49</f>
        <v>76.043000000000021</v>
      </c>
      <c r="AO53" s="162">
        <f>AO51+AO49</f>
        <v>99.475449095759416</v>
      </c>
      <c r="AP53" s="162">
        <f>SUM(AN53:AO53)</f>
        <v>175.51844909575942</v>
      </c>
      <c r="AQ53" s="162">
        <f>AQ51+AQ49</f>
        <v>105.16054151415359</v>
      </c>
      <c r="AR53" s="162">
        <f>AR51+AR49</f>
        <v>117.42361465757341</v>
      </c>
      <c r="AS53" s="162">
        <f>SUM(AQ53:AR53)</f>
        <v>222.58415617172699</v>
      </c>
      <c r="AT53" s="162">
        <f>AT51+AT49</f>
        <v>116.86354781055388</v>
      </c>
      <c r="AU53" s="162">
        <f>AU51+AU49</f>
        <v>129.10491274516974</v>
      </c>
      <c r="AV53" s="162">
        <f>SUM(AT53:AU53)</f>
        <v>245.96846055572362</v>
      </c>
      <c r="AW53" s="162">
        <f>AW51+AW49</f>
        <v>123.7799562814666</v>
      </c>
      <c r="AX53" s="162">
        <f>AX51+AX49</f>
        <v>136.66570007590772</v>
      </c>
      <c r="AY53" s="162">
        <f>SUM(AW53:AX53)</f>
        <v>260.44565635737433</v>
      </c>
      <c r="AZ53" s="162">
        <f>AZ51+AZ49</f>
        <v>130.62608027182117</v>
      </c>
      <c r="BA53" s="162">
        <f>BA51+BA49</f>
        <v>144.24154802366027</v>
      </c>
      <c r="BB53" s="162">
        <f>SUM(AZ53:BA53)</f>
        <v>274.86762829548144</v>
      </c>
      <c r="BE53"/>
      <c r="BF53"/>
      <c r="BG53"/>
      <c r="BH53"/>
      <c r="BI53"/>
      <c r="BJ53"/>
    </row>
    <row r="54" spans="1:62" s="40" customFormat="1">
      <c r="B54" s="81" t="s">
        <v>225</v>
      </c>
      <c r="C54" s="73" t="s">
        <v>82</v>
      </c>
      <c r="D54" s="41"/>
      <c r="E54" s="41"/>
      <c r="F54" s="41"/>
      <c r="G54" s="41"/>
      <c r="H54" s="41"/>
      <c r="I54" s="88"/>
      <c r="J54" s="88"/>
      <c r="K54" s="88"/>
      <c r="L54" s="88"/>
      <c r="M54" s="88"/>
      <c r="N54" s="88"/>
      <c r="O54" s="88"/>
      <c r="P54" s="88"/>
      <c r="Q54" s="88"/>
      <c r="R54" s="88"/>
      <c r="S54" s="88"/>
      <c r="T54" s="88"/>
      <c r="U54" s="88"/>
      <c r="V54" s="88"/>
      <c r="W54" s="88"/>
      <c r="X54" s="88"/>
      <c r="Y54" s="88">
        <f t="shared" ref="Y54:AE54" si="70">Y53/V53-1</f>
        <v>0.50184870893441658</v>
      </c>
      <c r="Z54" s="88">
        <f t="shared" si="70"/>
        <v>0.30110557357069778</v>
      </c>
      <c r="AA54" s="476">
        <f t="shared" si="70"/>
        <v>0.38500855025650771</v>
      </c>
      <c r="AB54" s="88">
        <f t="shared" si="70"/>
        <v>4.7815558470386099E-2</v>
      </c>
      <c r="AC54" s="88">
        <f t="shared" si="70"/>
        <v>-1.6927464476578113E-2</v>
      </c>
      <c r="AD54" s="88">
        <f t="shared" si="70"/>
        <v>1.2415458274457114E-2</v>
      </c>
      <c r="AE54" s="88">
        <f t="shared" si="70"/>
        <v>-1.2450769867788591E-2</v>
      </c>
      <c r="AF54" s="88">
        <f t="shared" ref="AF54" si="71">AF53/AC53-1</f>
        <v>1.5730145901569292E-2</v>
      </c>
      <c r="AG54" s="88">
        <f t="shared" ref="AG54" si="72">AG53/AD53-1</f>
        <v>2.511359838116789E-3</v>
      </c>
      <c r="AH54" s="88">
        <f t="shared" ref="AH54:AK54" si="73">AH53/AE53-1</f>
        <v>-5.6291197004563198E-2</v>
      </c>
      <c r="AI54" s="88">
        <f t="shared" ref="AI54" si="74">AI53/AF53-1</f>
        <v>-1.3375881535085177E-2</v>
      </c>
      <c r="AJ54" s="88">
        <f t="shared" ref="AJ54" si="75">AJ53/AG53-1</f>
        <v>-3.3205676954268792E-2</v>
      </c>
      <c r="AK54" s="88">
        <f t="shared" si="73"/>
        <v>0.12873128545302359</v>
      </c>
      <c r="AL54" s="88">
        <f t="shared" ref="AL54" si="76">AL53/AI53-1</f>
        <v>-0.15378999465181653</v>
      </c>
      <c r="AM54" s="302">
        <f t="shared" ref="AM54:AN54" si="77">AM53/AJ53-1</f>
        <v>-2.6363127970920108E-2</v>
      </c>
      <c r="AN54" s="590">
        <f t="shared" si="77"/>
        <v>-0.30390326065066531</v>
      </c>
      <c r="AO54" s="88">
        <f t="shared" ref="AO54:BB54" si="78">AO53/AL53-1</f>
        <v>-2.0620871002554608E-3</v>
      </c>
      <c r="AP54" s="88">
        <f t="shared" si="78"/>
        <v>-0.15988929368351301</v>
      </c>
      <c r="AQ54" s="88">
        <f t="shared" si="78"/>
        <v>0.38290890041362857</v>
      </c>
      <c r="AR54" s="88">
        <f t="shared" si="78"/>
        <v>0.18042809281048133</v>
      </c>
      <c r="AS54" s="88">
        <f t="shared" si="78"/>
        <v>0.26815247809242804</v>
      </c>
      <c r="AT54" s="88">
        <f t="shared" si="78"/>
        <v>0.11128704862008698</v>
      </c>
      <c r="AU54" s="88">
        <f t="shared" si="78"/>
        <v>9.9479973612300432E-2</v>
      </c>
      <c r="AV54" s="88">
        <f t="shared" si="78"/>
        <v>0.10505826104691529</v>
      </c>
      <c r="AW54" s="88">
        <f t="shared" si="78"/>
        <v>5.9183625694171349E-2</v>
      </c>
      <c r="AX54" s="88">
        <f t="shared" si="78"/>
        <v>5.8563126452528147E-2</v>
      </c>
      <c r="AY54" s="88">
        <f t="shared" si="78"/>
        <v>5.8857935561908992E-2</v>
      </c>
      <c r="AZ54" s="88">
        <f t="shared" si="78"/>
        <v>5.5308825402935025E-2</v>
      </c>
      <c r="BA54" s="88">
        <f t="shared" si="78"/>
        <v>5.54334258233391E-2</v>
      </c>
      <c r="BB54" s="88">
        <f t="shared" si="78"/>
        <v>5.537420796266912E-2</v>
      </c>
      <c r="BE54"/>
      <c r="BF54"/>
      <c r="BG54"/>
      <c r="BH54"/>
      <c r="BI54"/>
      <c r="BJ54"/>
    </row>
    <row r="55" spans="1:62" s="40" customFormat="1">
      <c r="B55" s="81"/>
      <c r="D55" s="41"/>
      <c r="E55" s="41"/>
      <c r="F55" s="41"/>
      <c r="G55" s="41"/>
      <c r="H55" s="41"/>
      <c r="I55" s="41"/>
      <c r="J55" s="41"/>
      <c r="K55" s="41"/>
      <c r="L55" s="41"/>
      <c r="M55" s="41"/>
      <c r="N55" s="41"/>
      <c r="O55" s="41"/>
      <c r="P55" s="41"/>
      <c r="Q55" s="41"/>
      <c r="R55" s="41"/>
      <c r="S55" s="41"/>
      <c r="T55" s="41"/>
      <c r="U55" s="41"/>
      <c r="V55" s="41"/>
      <c r="W55" s="41"/>
      <c r="X55" s="41"/>
      <c r="Y55" s="41"/>
      <c r="Z55" s="41"/>
      <c r="AA55" s="476"/>
      <c r="AB55" s="41"/>
      <c r="AC55" s="41"/>
      <c r="AD55" s="41"/>
      <c r="AE55" s="41"/>
      <c r="AF55" s="41"/>
      <c r="AG55" s="41"/>
      <c r="AH55" s="41"/>
      <c r="AI55" s="41"/>
      <c r="AJ55" s="41"/>
      <c r="AK55" s="41"/>
      <c r="AL55" s="41"/>
      <c r="AM55" s="406"/>
      <c r="AN55" s="591"/>
      <c r="AO55" s="41"/>
      <c r="AP55" s="41"/>
      <c r="AQ55" s="41"/>
      <c r="AR55" s="41"/>
      <c r="AS55" s="41"/>
      <c r="AT55" s="41"/>
      <c r="AU55" s="41"/>
      <c r="AV55" s="41"/>
      <c r="AW55" s="41"/>
      <c r="AX55" s="41"/>
      <c r="AY55" s="41"/>
      <c r="AZ55" s="41"/>
      <c r="BA55" s="41"/>
      <c r="BB55" s="41"/>
      <c r="BE55"/>
      <c r="BF55"/>
      <c r="BG55"/>
      <c r="BH55"/>
      <c r="BI55"/>
      <c r="BJ55"/>
    </row>
    <row r="56" spans="1:62">
      <c r="B56" s="7" t="s">
        <v>78</v>
      </c>
      <c r="C56" s="73" t="s">
        <v>269</v>
      </c>
      <c r="D56" s="31"/>
      <c r="E56" s="30"/>
      <c r="F56" s="31"/>
      <c r="G56" s="31"/>
      <c r="H56" s="30"/>
      <c r="I56" s="30"/>
      <c r="J56" s="31"/>
      <c r="K56" s="30"/>
      <c r="L56" s="49"/>
      <c r="M56" s="164"/>
      <c r="N56" s="49"/>
      <c r="O56" s="164"/>
      <c r="P56" s="164"/>
      <c r="Q56" s="49"/>
      <c r="R56" s="164"/>
      <c r="S56" s="164"/>
      <c r="T56" s="49"/>
      <c r="U56" s="164"/>
      <c r="V56" s="164">
        <v>-8.2520000000000007</v>
      </c>
      <c r="W56" s="49">
        <f>X56-V56</f>
        <v>-12.423</v>
      </c>
      <c r="X56" s="164">
        <v>-20.675000000000001</v>
      </c>
      <c r="Y56" s="164">
        <v>-4.3479999999999999</v>
      </c>
      <c r="Z56" s="49">
        <f>AA56-Y56</f>
        <v>-4.7649999999999997</v>
      </c>
      <c r="AA56" s="473">
        <v>-9.1129999999999995</v>
      </c>
      <c r="AB56" s="164">
        <v>-5.8949999999999996</v>
      </c>
      <c r="AC56" s="49">
        <f>AD56-AB56</f>
        <v>-9.9510000000000005</v>
      </c>
      <c r="AD56" s="164">
        <v>-15.846</v>
      </c>
      <c r="AE56" s="164">
        <v>-15.468</v>
      </c>
      <c r="AF56" s="49">
        <f>AG56-AE56</f>
        <v>-17.220000000000002</v>
      </c>
      <c r="AG56" s="164">
        <v>-32.688000000000002</v>
      </c>
      <c r="AH56" s="164">
        <v>-15.172000000000001</v>
      </c>
      <c r="AI56" s="49">
        <f>AJ56-AH56</f>
        <v>-16.396000000000001</v>
      </c>
      <c r="AJ56" s="164">
        <v>-31.568000000000001</v>
      </c>
      <c r="AK56" s="164">
        <v>-15.45</v>
      </c>
      <c r="AL56" s="49">
        <f>AM56-AK56</f>
        <v>-13.55</v>
      </c>
      <c r="AM56" s="426">
        <v>-29</v>
      </c>
      <c r="AN56" s="592">
        <v>-12.445</v>
      </c>
      <c r="AO56" s="49">
        <f>AO160</f>
        <v>-11.942847713827923</v>
      </c>
      <c r="AP56" s="49">
        <f>SUM(AN56:AO56)</f>
        <v>-24.387847713827924</v>
      </c>
      <c r="AQ56" s="49">
        <f>AQ160</f>
        <v>-12.016432875009835</v>
      </c>
      <c r="AR56" s="49">
        <f>AR160</f>
        <v>-11.346622160811286</v>
      </c>
      <c r="AS56" s="49">
        <f>SUM(AQ56:AR56)</f>
        <v>-23.36305503582112</v>
      </c>
      <c r="AT56" s="49">
        <f>AT160</f>
        <v>-13.417449776921318</v>
      </c>
      <c r="AU56" s="49">
        <f>AU160</f>
        <v>-11.568818107680549</v>
      </c>
      <c r="AV56" s="49">
        <f>SUM(AT56:AU56)</f>
        <v>-24.986267884601865</v>
      </c>
      <c r="AW56" s="49">
        <f>AW160</f>
        <v>-14.25256873248331</v>
      </c>
      <c r="AX56" s="49">
        <f>AX160</f>
        <v>-12.724804392106801</v>
      </c>
      <c r="AY56" s="49">
        <f>SUM(AW56:AX56)</f>
        <v>-26.977373124590109</v>
      </c>
      <c r="AZ56" s="49">
        <f>AZ160</f>
        <v>-10.252360321074061</v>
      </c>
      <c r="BA56" s="49">
        <f>BA160</f>
        <v>-7.5234026098577189</v>
      </c>
      <c r="BB56" s="49">
        <f>SUM(AZ56:BA56)</f>
        <v>-17.77576293093178</v>
      </c>
    </row>
    <row r="57" spans="1:62">
      <c r="B57" s="7" t="s">
        <v>79</v>
      </c>
      <c r="C57" s="73" t="s">
        <v>269</v>
      </c>
      <c r="D57" s="30"/>
      <c r="E57" s="30"/>
      <c r="F57" s="30"/>
      <c r="G57" s="31"/>
      <c r="H57" s="30"/>
      <c r="I57" s="30"/>
      <c r="J57" s="31"/>
      <c r="K57" s="30"/>
      <c r="L57" s="49"/>
      <c r="M57" s="164"/>
      <c r="N57" s="49"/>
      <c r="O57" s="164"/>
      <c r="P57" s="164"/>
      <c r="Q57" s="49"/>
      <c r="R57" s="164"/>
      <c r="S57" s="164"/>
      <c r="T57" s="49"/>
      <c r="U57" s="164"/>
      <c r="V57" s="164">
        <v>0.27500000000000002</v>
      </c>
      <c r="W57" s="49">
        <f>X57-V57</f>
        <v>0.37</v>
      </c>
      <c r="X57" s="164">
        <v>0.64500000000000002</v>
      </c>
      <c r="Y57" s="164">
        <v>9.0999999999999998E-2</v>
      </c>
      <c r="Z57" s="49">
        <f>AA57-Y57</f>
        <v>4.4000000000000011E-2</v>
      </c>
      <c r="AA57" s="473">
        <v>0.13500000000000001</v>
      </c>
      <c r="AB57" s="164">
        <v>2.4E-2</v>
      </c>
      <c r="AC57" s="49">
        <f>AD57-AB57</f>
        <v>2.0999999999999998E-2</v>
      </c>
      <c r="AD57" s="164">
        <v>4.4999999999999998E-2</v>
      </c>
      <c r="AE57" s="164">
        <v>8.6999999999999994E-2</v>
      </c>
      <c r="AF57" s="49">
        <f>AG57-AE57</f>
        <v>-0.43299999999999994</v>
      </c>
      <c r="AG57" s="164">
        <v>-0.34599999999999997</v>
      </c>
      <c r="AH57" s="164">
        <v>0.17799999999999999</v>
      </c>
      <c r="AI57" s="49">
        <f>AJ57-AH57</f>
        <v>0.44800000000000001</v>
      </c>
      <c r="AJ57" s="164">
        <v>0.626</v>
      </c>
      <c r="AK57" s="164">
        <v>0</v>
      </c>
      <c r="AL57" s="49">
        <f>AM57-AK57</f>
        <v>2.8820000000000001</v>
      </c>
      <c r="AM57" s="426">
        <v>2.8820000000000001</v>
      </c>
      <c r="AN57" s="592">
        <v>0.121</v>
      </c>
      <c r="AO57" s="49">
        <f>AO169</f>
        <v>0.30374954581435404</v>
      </c>
      <c r="AP57" s="49">
        <f>AN57+AO57</f>
        <v>0.42474954581435403</v>
      </c>
      <c r="AQ57" s="49">
        <f>AQ169</f>
        <v>0.6110820757211185</v>
      </c>
      <c r="AR57" s="49">
        <f>AR169</f>
        <v>0.6110820757211185</v>
      </c>
      <c r="AS57" s="49">
        <f>AQ57+AR57</f>
        <v>1.222164151442237</v>
      </c>
      <c r="AT57" s="49">
        <f>AT169</f>
        <v>1.222164151442237</v>
      </c>
      <c r="AU57" s="49">
        <f>AU169</f>
        <v>1.222164151442237</v>
      </c>
      <c r="AV57" s="49">
        <f>AT57+AU57</f>
        <v>2.444328302884474</v>
      </c>
      <c r="AW57" s="49">
        <f>AW169</f>
        <v>1.1695499999999999</v>
      </c>
      <c r="AX57" s="49">
        <f>AX169</f>
        <v>1.1695499999999999</v>
      </c>
      <c r="AY57" s="49">
        <f>AW57+AX57</f>
        <v>2.3390999999999997</v>
      </c>
      <c r="AZ57" s="49">
        <f>AZ169</f>
        <v>1.1695499999999999</v>
      </c>
      <c r="BA57" s="49">
        <f>BA169</f>
        <v>1.1695499999999999</v>
      </c>
      <c r="BB57" s="49">
        <f>AZ57+BA57</f>
        <v>2.3390999999999997</v>
      </c>
    </row>
    <row r="58" spans="1:62">
      <c r="B58" s="7" t="s">
        <v>80</v>
      </c>
      <c r="C58" s="73" t="s">
        <v>269</v>
      </c>
      <c r="L58" s="49"/>
      <c r="M58" s="49"/>
      <c r="N58" s="49"/>
      <c r="O58" s="49"/>
      <c r="P58" s="49"/>
      <c r="Q58" s="49"/>
      <c r="R58" s="49"/>
      <c r="S58" s="49"/>
      <c r="T58" s="49"/>
      <c r="U58" s="49"/>
      <c r="V58" s="49"/>
      <c r="W58" s="49"/>
      <c r="X58" s="49"/>
      <c r="Y58" s="49"/>
      <c r="Z58" s="49"/>
      <c r="AB58" s="49"/>
      <c r="AC58" s="49"/>
      <c r="AD58" s="49"/>
      <c r="AE58" s="49"/>
      <c r="AF58" s="49"/>
      <c r="AG58" s="49"/>
      <c r="AH58" s="49"/>
      <c r="AI58" s="49"/>
      <c r="AJ58" s="49"/>
      <c r="AK58" s="49"/>
      <c r="AL58" s="49"/>
      <c r="AM58" s="407"/>
      <c r="AN58" s="588"/>
      <c r="AO58" s="49"/>
      <c r="AP58" s="49"/>
      <c r="AQ58" s="49"/>
      <c r="AR58" s="49"/>
      <c r="AS58" s="49"/>
      <c r="AT58" s="49"/>
      <c r="AU58" s="49"/>
      <c r="AV58" s="49"/>
      <c r="AW58" s="49"/>
      <c r="AX58" s="49"/>
      <c r="AY58" s="49"/>
      <c r="AZ58" s="49"/>
      <c r="BA58" s="49"/>
      <c r="BB58" s="49"/>
    </row>
    <row r="59" spans="1:62">
      <c r="A59" s="82"/>
      <c r="B59" s="79" t="s">
        <v>170</v>
      </c>
      <c r="C59" s="80" t="s">
        <v>269</v>
      </c>
      <c r="D59" s="43"/>
      <c r="E59" s="43"/>
      <c r="F59" s="42"/>
      <c r="G59" s="43"/>
      <c r="H59" s="43"/>
      <c r="I59" s="43"/>
      <c r="J59" s="43"/>
      <c r="K59" s="43"/>
      <c r="L59" s="176"/>
      <c r="M59" s="177"/>
      <c r="N59" s="177"/>
      <c r="O59" s="177"/>
      <c r="P59" s="177"/>
      <c r="Q59" s="177"/>
      <c r="R59" s="177"/>
      <c r="S59" s="177"/>
      <c r="T59" s="177"/>
      <c r="U59" s="177"/>
      <c r="V59" s="177">
        <f>V56+V57+V58</f>
        <v>-7.9770000000000003</v>
      </c>
      <c r="W59" s="177">
        <f>W56+W57+W58</f>
        <v>-12.053000000000001</v>
      </c>
      <c r="X59" s="177">
        <f>SUM(V59:W59)</f>
        <v>-20.03</v>
      </c>
      <c r="Y59" s="177">
        <f>Y56+Y57+Y58</f>
        <v>-4.2569999999999997</v>
      </c>
      <c r="Z59" s="177">
        <f>Z56+Z57+Z58</f>
        <v>-4.7210000000000001</v>
      </c>
      <c r="AA59" s="477">
        <f>SUM(Y59:Z59)</f>
        <v>-8.9779999999999998</v>
      </c>
      <c r="AB59" s="177">
        <f>AB56+AB57+AB58</f>
        <v>-5.8709999999999996</v>
      </c>
      <c r="AC59" s="177">
        <f>AC56+AC57+AC58</f>
        <v>-9.93</v>
      </c>
      <c r="AD59" s="177">
        <f>SUM(AB59:AC59)</f>
        <v>-15.800999999999998</v>
      </c>
      <c r="AE59" s="177">
        <f>AE56+AE57+AE58</f>
        <v>-15.381</v>
      </c>
      <c r="AF59" s="177">
        <f>AF56+AF57+AF58</f>
        <v>-17.653000000000002</v>
      </c>
      <c r="AG59" s="177">
        <f>SUM(AE59:AF59)</f>
        <v>-33.034000000000006</v>
      </c>
      <c r="AH59" s="177">
        <f>AH56+AH57+AH58</f>
        <v>-14.994</v>
      </c>
      <c r="AI59" s="177">
        <f>AI56+AI57+AI58</f>
        <v>-15.948</v>
      </c>
      <c r="AJ59" s="177">
        <f>SUM(AH59:AI59)</f>
        <v>-30.942</v>
      </c>
      <c r="AK59" s="177">
        <f>AK56+AK57+AK58</f>
        <v>-15.45</v>
      </c>
      <c r="AL59" s="177">
        <f>AL56+AL57+AL58</f>
        <v>-10.668000000000001</v>
      </c>
      <c r="AM59" s="436">
        <f>SUM(AK59:AL59)</f>
        <v>-26.118000000000002</v>
      </c>
      <c r="AN59" s="593">
        <f>AN56+AN57+AN58</f>
        <v>-12.324</v>
      </c>
      <c r="AO59" s="177">
        <f>AO56+AO57+AO58</f>
        <v>-11.63909816801357</v>
      </c>
      <c r="AP59" s="177">
        <f>SUM(AN59:AO59)</f>
        <v>-23.96309816801357</v>
      </c>
      <c r="AQ59" s="177">
        <f>AQ56+AQ57+AQ58</f>
        <v>-11.405350799288717</v>
      </c>
      <c r="AR59" s="177">
        <f>AR56+AR57+AR58</f>
        <v>-10.735540085090168</v>
      </c>
      <c r="AS59" s="177">
        <f>SUM(AQ59:AR59)</f>
        <v>-22.140890884378884</v>
      </c>
      <c r="AT59" s="177">
        <f>AT56+AT57+AT58</f>
        <v>-12.19528562547908</v>
      </c>
      <c r="AU59" s="177">
        <f>AU56+AU57+AU58</f>
        <v>-10.346653956238312</v>
      </c>
      <c r="AV59" s="177">
        <f>SUM(AT59:AU59)</f>
        <v>-22.541939581717394</v>
      </c>
      <c r="AW59" s="177">
        <f>AW56+AW57+AW58</f>
        <v>-13.08301873248331</v>
      </c>
      <c r="AX59" s="177">
        <f>AX56+AX57+AX58</f>
        <v>-11.555254392106802</v>
      </c>
      <c r="AY59" s="177">
        <f>SUM(AW59:AX59)</f>
        <v>-24.638273124590114</v>
      </c>
      <c r="AZ59" s="177">
        <f>AZ56+AZ57+AZ58</f>
        <v>-9.0828103210740618</v>
      </c>
      <c r="BA59" s="177">
        <f>BA56+BA57+BA58</f>
        <v>-6.3538526098577188</v>
      </c>
      <c r="BB59" s="177">
        <f>SUM(AZ59:BA59)</f>
        <v>-15.436662930931782</v>
      </c>
    </row>
    <row r="60" spans="1:62">
      <c r="B60" s="14"/>
      <c r="D60" s="78"/>
      <c r="E60" s="30"/>
      <c r="F60" s="30"/>
      <c r="G60" s="30"/>
      <c r="H60" s="30"/>
      <c r="I60" s="30"/>
      <c r="J60" s="30"/>
      <c r="K60" s="30"/>
      <c r="L60" s="49"/>
      <c r="M60" s="49"/>
      <c r="N60" s="49"/>
      <c r="O60" s="49"/>
      <c r="P60" s="49"/>
      <c r="Q60" s="49"/>
      <c r="R60" s="49"/>
      <c r="S60" s="49"/>
      <c r="T60" s="49"/>
      <c r="U60" s="49"/>
      <c r="V60" s="49"/>
      <c r="W60" s="49"/>
      <c r="X60" s="49"/>
      <c r="Y60" s="49"/>
      <c r="Z60" s="49"/>
      <c r="AB60" s="49"/>
      <c r="AC60" s="49"/>
      <c r="AD60" s="49"/>
      <c r="AE60" s="49"/>
      <c r="AF60" s="49"/>
      <c r="AG60" s="49"/>
      <c r="AH60" s="49"/>
      <c r="AI60" s="49"/>
      <c r="AJ60" s="49"/>
      <c r="AK60" s="49"/>
      <c r="AL60" s="49"/>
      <c r="AM60" s="407"/>
      <c r="AN60" s="588"/>
      <c r="AO60" s="49"/>
      <c r="AP60" s="543"/>
      <c r="AQ60" s="49"/>
      <c r="AR60" s="49"/>
      <c r="AS60" s="49"/>
      <c r="AT60" s="49"/>
      <c r="AU60" s="49"/>
      <c r="AV60" s="49"/>
      <c r="AW60" s="49"/>
      <c r="AX60" s="49"/>
      <c r="AY60" s="49"/>
      <c r="AZ60" s="49"/>
      <c r="BA60" s="49"/>
      <c r="BB60" s="49"/>
    </row>
    <row r="61" spans="1:62" s="14" customFormat="1">
      <c r="B61" s="14" t="s">
        <v>47</v>
      </c>
      <c r="C61" s="76" t="s">
        <v>269</v>
      </c>
      <c r="D61" s="28"/>
      <c r="E61" s="28"/>
      <c r="F61" s="28"/>
      <c r="G61" s="28"/>
      <c r="H61" s="28"/>
      <c r="I61" s="28"/>
      <c r="J61" s="28"/>
      <c r="K61" s="28"/>
      <c r="L61" s="162"/>
      <c r="M61" s="162"/>
      <c r="N61" s="162"/>
      <c r="O61" s="162"/>
      <c r="P61" s="162"/>
      <c r="Q61" s="162"/>
      <c r="R61" s="162"/>
      <c r="S61" s="162"/>
      <c r="T61" s="162"/>
      <c r="U61" s="162"/>
      <c r="V61" s="162">
        <f>V53+V59</f>
        <v>58.014999999999986</v>
      </c>
      <c r="W61" s="162">
        <f>W53+W59</f>
        <v>79.844999999999999</v>
      </c>
      <c r="X61" s="162">
        <f>SUM(V61:W61)</f>
        <v>137.85999999999999</v>
      </c>
      <c r="Y61" s="162">
        <f>Y53+Y59</f>
        <v>94.852999999999994</v>
      </c>
      <c r="Z61" s="162">
        <f>Z53+Z59</f>
        <v>114.84799999999997</v>
      </c>
      <c r="AA61" s="466">
        <f>SUM(Y61:Z61)</f>
        <v>209.70099999999996</v>
      </c>
      <c r="AB61" s="162">
        <f>AB53+AB59</f>
        <v>97.97799999999998</v>
      </c>
      <c r="AC61" s="162">
        <f>AC53+AC59</f>
        <v>107.61500000000001</v>
      </c>
      <c r="AD61" s="162">
        <f>SUM(AB61:AC61)</f>
        <v>205.59299999999999</v>
      </c>
      <c r="AE61" s="162">
        <f>AE53+AE59</f>
        <v>87.174999999999997</v>
      </c>
      <c r="AF61" s="162">
        <f>AF53+AF59</f>
        <v>101.74099999999997</v>
      </c>
      <c r="AG61" s="162">
        <f>SUM(AE61:AF61)</f>
        <v>188.91599999999997</v>
      </c>
      <c r="AH61" s="162">
        <f>AH53+AH59</f>
        <v>81.789000000000016</v>
      </c>
      <c r="AI61" s="162">
        <f>AI53+AI59</f>
        <v>101.84900000000002</v>
      </c>
      <c r="AJ61" s="162">
        <f>SUM(AH61:AI61)</f>
        <v>183.63800000000003</v>
      </c>
      <c r="AK61" s="162">
        <f>AK53+AK59</f>
        <v>93.792000000000002</v>
      </c>
      <c r="AL61" s="162">
        <f>AL53+AL59</f>
        <v>89.012999999999977</v>
      </c>
      <c r="AM61" s="435">
        <f>SUM(AK61:AL61)</f>
        <v>182.80499999999998</v>
      </c>
      <c r="AN61" s="589">
        <f>AN53+AN59</f>
        <v>63.719000000000023</v>
      </c>
      <c r="AO61" s="162">
        <f>AO53+AO59</f>
        <v>87.836350927745841</v>
      </c>
      <c r="AP61" s="162">
        <f>SUM(AN61:AO61)</f>
        <v>151.55535092774585</v>
      </c>
      <c r="AQ61" s="162">
        <f>AQ53+AQ59</f>
        <v>93.755190714864881</v>
      </c>
      <c r="AR61" s="162">
        <f>AR53+AR59</f>
        <v>106.68807457248325</v>
      </c>
      <c r="AS61" s="162">
        <f>SUM(AQ61:AR61)</f>
        <v>200.44326528734814</v>
      </c>
      <c r="AT61" s="162">
        <f>AT53+AT59</f>
        <v>104.66826218507481</v>
      </c>
      <c r="AU61" s="162">
        <f>AU53+AU59</f>
        <v>118.75825878893143</v>
      </c>
      <c r="AV61" s="162">
        <f>SUM(AT61:AU61)</f>
        <v>223.42652097400622</v>
      </c>
      <c r="AW61" s="162">
        <f>AW53+AW59</f>
        <v>110.69693754898329</v>
      </c>
      <c r="AX61" s="162">
        <f>AX53+AX59</f>
        <v>125.11044568380092</v>
      </c>
      <c r="AY61" s="162">
        <f>SUM(AW61:AX61)</f>
        <v>235.80738323278422</v>
      </c>
      <c r="AZ61" s="162">
        <f>AZ53+AZ59</f>
        <v>121.5432699507471</v>
      </c>
      <c r="BA61" s="162">
        <f>BA53+BA59</f>
        <v>137.88769541380256</v>
      </c>
      <c r="BB61" s="162">
        <f>SUM(AZ61:BA61)</f>
        <v>259.43096536454965</v>
      </c>
      <c r="BE61"/>
      <c r="BF61"/>
      <c r="BG61"/>
      <c r="BH61"/>
      <c r="BI61"/>
      <c r="BJ61"/>
    </row>
    <row r="62" spans="1:62">
      <c r="B62" s="7" t="s">
        <v>48</v>
      </c>
      <c r="C62" s="73" t="s">
        <v>269</v>
      </c>
      <c r="D62" s="31"/>
      <c r="E62" s="30"/>
      <c r="F62" s="31"/>
      <c r="G62" s="31"/>
      <c r="H62" s="30"/>
      <c r="I62" s="31"/>
      <c r="J62" s="31"/>
      <c r="K62" s="30"/>
      <c r="L62" s="49"/>
      <c r="M62" s="164"/>
      <c r="N62" s="49"/>
      <c r="O62" s="164"/>
      <c r="P62" s="164"/>
      <c r="Q62" s="49"/>
      <c r="R62" s="49"/>
      <c r="S62" s="49"/>
      <c r="T62" s="49"/>
      <c r="U62" s="49"/>
      <c r="V62" s="49">
        <f>(V70-V53)-V59</f>
        <v>-23.719999999999988</v>
      </c>
      <c r="W62" s="49">
        <f>X62-V62</f>
        <v>-49.110500000000002</v>
      </c>
      <c r="X62" s="49">
        <f>(X70-X53)-X59</f>
        <v>-72.830499999999986</v>
      </c>
      <c r="Y62" s="49">
        <f>(Y70-Y53)-Y59</f>
        <v>-23.236200000000004</v>
      </c>
      <c r="Z62" s="49">
        <f>AA62-Y62</f>
        <v>-27.793399999999963</v>
      </c>
      <c r="AA62" s="394">
        <f>(AA70-AA53)-AA59</f>
        <v>-51.029599999999967</v>
      </c>
      <c r="AB62" s="91">
        <f>(AB70-AB53)-AB59</f>
        <v>-22.577999999999971</v>
      </c>
      <c r="AC62" s="49">
        <f>AD62-AB62</f>
        <v>-21.614999999999998</v>
      </c>
      <c r="AD62" s="49">
        <f>(AD70-AD53)-AD59</f>
        <v>-44.192999999999969</v>
      </c>
      <c r="AE62" s="31">
        <v>-19.7</v>
      </c>
      <c r="AF62" s="49">
        <f>AG62-AE62</f>
        <v>-13.515999999999995</v>
      </c>
      <c r="AG62" s="49">
        <f>(AG70-AG53)-AG59</f>
        <v>-33.215999999999994</v>
      </c>
      <c r="AH62" s="31">
        <v>-14.1</v>
      </c>
      <c r="AI62" s="49">
        <f>AJ62-AH62</f>
        <v>-22.638000000000034</v>
      </c>
      <c r="AJ62" s="49">
        <f>(AJ70-AJ53)-AJ59</f>
        <v>-36.738000000000035</v>
      </c>
      <c r="AK62" s="49">
        <f>(AK70-AK53)-AK59</f>
        <v>-17.792000000000005</v>
      </c>
      <c r="AL62" s="49">
        <f>AM62-AK62</f>
        <v>-17.313000000000006</v>
      </c>
      <c r="AM62" s="407">
        <f>(AM70-AM53)-AM59</f>
        <v>-35.105000000000011</v>
      </c>
      <c r="AN62" s="588">
        <f>(AN70-AN53)-AN59</f>
        <v>-11.519000000000018</v>
      </c>
      <c r="AO62" s="49">
        <f>AO106</f>
        <v>-18.445633694826626</v>
      </c>
      <c r="AP62" s="49">
        <f>SUM(AN62:AO62)</f>
        <v>-29.964633694826645</v>
      </c>
      <c r="AQ62" s="49">
        <f>AQ106</f>
        <v>-20.626141957270274</v>
      </c>
      <c r="AR62" s="49">
        <f>AR106</f>
        <v>-23.471376405946312</v>
      </c>
      <c r="AS62" s="49">
        <f>SUM(AQ62:AR62)</f>
        <v>-44.097518363216587</v>
      </c>
      <c r="AT62" s="49">
        <f>AT106</f>
        <v>-24.073700302567207</v>
      </c>
      <c r="AU62" s="49">
        <f>AU106</f>
        <v>-27.314399521454231</v>
      </c>
      <c r="AV62" s="49">
        <f>SUM(AT62:AU62)</f>
        <v>-51.388099824021438</v>
      </c>
      <c r="AW62" s="49">
        <f>AW106</f>
        <v>-25.460295636266157</v>
      </c>
      <c r="AX62" s="49">
        <f>AX106</f>
        <v>-28.775402507274212</v>
      </c>
      <c r="AY62" s="49">
        <f>SUM(AW62:AX62)</f>
        <v>-54.235698143540368</v>
      </c>
      <c r="AZ62" s="49">
        <f>AZ106</f>
        <v>-27.954952088671835</v>
      </c>
      <c r="BA62" s="49">
        <f>BA106</f>
        <v>-31.714169945174589</v>
      </c>
      <c r="BB62" s="49">
        <f>SUM(AZ62:BA62)</f>
        <v>-59.669122033846421</v>
      </c>
    </row>
    <row r="63" spans="1:62">
      <c r="B63" s="7" t="s">
        <v>134</v>
      </c>
      <c r="C63" s="73" t="s">
        <v>269</v>
      </c>
      <c r="D63" s="31"/>
      <c r="E63" s="30"/>
      <c r="F63" s="30"/>
      <c r="G63" s="31"/>
      <c r="H63" s="30"/>
      <c r="I63" s="31"/>
      <c r="J63" s="31"/>
      <c r="K63" s="30"/>
      <c r="L63" s="164"/>
      <c r="M63" s="164"/>
      <c r="N63" s="49"/>
      <c r="O63" s="49"/>
      <c r="P63" s="49"/>
      <c r="Q63" s="49"/>
      <c r="R63" s="49"/>
      <c r="S63" s="49"/>
      <c r="T63" s="49"/>
      <c r="U63" s="49"/>
      <c r="V63" s="49">
        <f>T63*V54</f>
        <v>0</v>
      </c>
      <c r="W63" s="49">
        <f>V63*W54</f>
        <v>0</v>
      </c>
      <c r="X63" s="49">
        <f>W63+V63</f>
        <v>0</v>
      </c>
      <c r="Y63" s="49">
        <f>W63*Y54</f>
        <v>0</v>
      </c>
      <c r="Z63" s="49">
        <f>Y63*Z54</f>
        <v>0</v>
      </c>
      <c r="AA63" s="394">
        <f>Z63+Y63</f>
        <v>0</v>
      </c>
      <c r="AB63" s="49">
        <f>Z63*AB54</f>
        <v>0</v>
      </c>
      <c r="AC63" s="49">
        <f>AB63*AC54</f>
        <v>0</v>
      </c>
      <c r="AD63" s="49">
        <f>AC63+AB63</f>
        <v>0</v>
      </c>
      <c r="AE63" s="49">
        <f>AC63*AE54</f>
        <v>0</v>
      </c>
      <c r="AF63" s="49">
        <f>AE63*AF54</f>
        <v>0</v>
      </c>
      <c r="AG63" s="49">
        <f>AF63+AE63</f>
        <v>0</v>
      </c>
      <c r="AH63" s="49">
        <f>AF63*AH54</f>
        <v>0</v>
      </c>
      <c r="AI63" s="49">
        <f>AH63*AI54</f>
        <v>0</v>
      </c>
      <c r="AJ63" s="49">
        <f>AI63+AH63</f>
        <v>0</v>
      </c>
      <c r="AK63" s="49">
        <f>AI63*AK54</f>
        <v>0</v>
      </c>
      <c r="AL63" s="49">
        <f>AK63*AL54</f>
        <v>0</v>
      </c>
      <c r="AM63" s="407">
        <f>AL63+AK63</f>
        <v>0</v>
      </c>
      <c r="AN63" s="588">
        <f>AL63*AN54</f>
        <v>0</v>
      </c>
      <c r="AO63" s="49">
        <f>AN63*AO54</f>
        <v>0</v>
      </c>
      <c r="AP63" s="49">
        <f>AO63+AN63</f>
        <v>0</v>
      </c>
      <c r="AQ63" s="49">
        <f>AO63*AQ54</f>
        <v>0</v>
      </c>
      <c r="AR63" s="49">
        <f>AQ63*AR54</f>
        <v>0</v>
      </c>
      <c r="AS63" s="49">
        <f>AR63+AQ63</f>
        <v>0</v>
      </c>
      <c r="AT63" s="49">
        <f>AR63*AT54</f>
        <v>0</v>
      </c>
      <c r="AU63" s="49">
        <f>AT63*AU54</f>
        <v>0</v>
      </c>
      <c r="AV63" s="49">
        <f>AU63+AT63</f>
        <v>0</v>
      </c>
      <c r="AW63" s="49">
        <f>AU63*AW54</f>
        <v>0</v>
      </c>
      <c r="AX63" s="49">
        <f>AW63*AX54</f>
        <v>0</v>
      </c>
      <c r="AY63" s="49">
        <f>AX63+AW63</f>
        <v>0</v>
      </c>
      <c r="AZ63" s="49">
        <f>AX63*AZ54</f>
        <v>0</v>
      </c>
      <c r="BA63" s="49">
        <f>AZ63*BA54</f>
        <v>0</v>
      </c>
      <c r="BB63" s="49">
        <f>BA63+AZ63</f>
        <v>0</v>
      </c>
    </row>
    <row r="64" spans="1:62">
      <c r="D64" s="30"/>
      <c r="E64" s="30"/>
      <c r="F64" s="32"/>
      <c r="G64" s="32"/>
      <c r="H64" s="32"/>
      <c r="I64" s="32"/>
      <c r="J64" s="32"/>
      <c r="K64" s="32"/>
      <c r="L64" s="172"/>
      <c r="M64" s="172"/>
      <c r="N64" s="172"/>
      <c r="O64" s="172"/>
      <c r="P64" s="49"/>
      <c r="Q64" s="49"/>
      <c r="R64" s="49"/>
      <c r="S64" s="49"/>
      <c r="T64" s="49"/>
      <c r="U64" s="49"/>
      <c r="V64" s="49"/>
      <c r="W64" s="49"/>
      <c r="X64" s="49"/>
      <c r="Y64" s="49"/>
      <c r="Z64" s="49"/>
      <c r="AB64" s="49"/>
      <c r="AC64" s="49"/>
      <c r="AD64" s="49"/>
      <c r="AE64" s="49"/>
      <c r="AF64" s="49"/>
      <c r="AG64" s="49"/>
      <c r="AH64" s="49"/>
      <c r="AI64" s="49"/>
      <c r="AJ64" s="49"/>
      <c r="AK64" s="49"/>
      <c r="AL64" s="49"/>
      <c r="AM64" s="407"/>
      <c r="AN64" s="588"/>
      <c r="AO64" s="49"/>
      <c r="AP64" s="543"/>
      <c r="AQ64" s="49"/>
      <c r="AR64" s="49"/>
      <c r="AS64" s="49"/>
      <c r="AT64" s="49"/>
      <c r="AU64" s="49"/>
      <c r="AV64" s="49"/>
      <c r="AW64" s="49"/>
      <c r="AX64" s="49"/>
      <c r="AY64" s="49"/>
      <c r="AZ64" s="49"/>
      <c r="BA64" s="49"/>
      <c r="BB64" s="49"/>
    </row>
    <row r="65" spans="1:62" s="14" customFormat="1">
      <c r="A65" s="79"/>
      <c r="B65" s="79" t="s">
        <v>49</v>
      </c>
      <c r="C65" s="80" t="s">
        <v>269</v>
      </c>
      <c r="D65" s="35"/>
      <c r="E65" s="35"/>
      <c r="F65" s="35"/>
      <c r="G65" s="35"/>
      <c r="H65" s="35"/>
      <c r="I65" s="35"/>
      <c r="J65" s="35"/>
      <c r="K65" s="35"/>
      <c r="L65" s="163"/>
      <c r="M65" s="163"/>
      <c r="N65" s="163"/>
      <c r="O65" s="163"/>
      <c r="P65" s="163"/>
      <c r="Q65" s="163"/>
      <c r="R65" s="173"/>
      <c r="S65" s="173"/>
      <c r="T65" s="163"/>
      <c r="U65" s="173"/>
      <c r="V65" s="163">
        <f>V70</f>
        <v>34.295000000000002</v>
      </c>
      <c r="W65" s="163">
        <f t="shared" ref="W65:AA65" si="79">W70</f>
        <v>30.734500000000004</v>
      </c>
      <c r="X65" s="163">
        <f t="shared" si="79"/>
        <v>65.029499999999999</v>
      </c>
      <c r="Y65" s="163">
        <f t="shared" si="79"/>
        <v>71.616799999999998</v>
      </c>
      <c r="Z65" s="163">
        <f t="shared" si="79"/>
        <v>87.054599999999994</v>
      </c>
      <c r="AA65" s="472">
        <f t="shared" si="79"/>
        <v>158.67140000000001</v>
      </c>
      <c r="AB65" s="163">
        <f>AB70</f>
        <v>75.400000000000006</v>
      </c>
      <c r="AC65" s="163">
        <f t="shared" ref="AC65:AD65" si="80">AC70</f>
        <v>86</v>
      </c>
      <c r="AD65" s="163">
        <f t="shared" si="80"/>
        <v>161.4</v>
      </c>
      <c r="AE65" s="524">
        <f>AE61+AE62</f>
        <v>67.474999999999994</v>
      </c>
      <c r="AF65" s="163">
        <f t="shared" ref="AF65:AG65" si="81">AF70</f>
        <v>88.199999999999989</v>
      </c>
      <c r="AG65" s="35">
        <f t="shared" si="81"/>
        <v>155.69999999999999</v>
      </c>
      <c r="AH65" s="163">
        <f>AH61+AH62-AH63</f>
        <v>67.689000000000021</v>
      </c>
      <c r="AI65" s="163">
        <f t="shared" ref="AI65:AJ65" si="82">AI70</f>
        <v>79.177000000000021</v>
      </c>
      <c r="AJ65" s="35">
        <f t="shared" si="82"/>
        <v>146.9</v>
      </c>
      <c r="AK65" s="163">
        <f>AK61+AK62-AK63</f>
        <v>76</v>
      </c>
      <c r="AL65" s="163">
        <f t="shared" ref="AL65:AM65" si="83">AL70</f>
        <v>71.697999999999979</v>
      </c>
      <c r="AM65" s="555">
        <f t="shared" si="83"/>
        <v>147.69999999999999</v>
      </c>
      <c r="AN65" s="594">
        <f>AN61+AN62-AN63</f>
        <v>52.2</v>
      </c>
      <c r="AO65" s="163">
        <f>AO61+AO62-AO63</f>
        <v>69.390717232919215</v>
      </c>
      <c r="AP65" s="163">
        <f>SUM(AN65:AO65)</f>
        <v>121.59071723291922</v>
      </c>
      <c r="AQ65" s="163">
        <f>AQ61+AQ62-AQ63</f>
        <v>73.129048757594603</v>
      </c>
      <c r="AR65" s="163">
        <f>AR61+AR62-AR63</f>
        <v>83.216698166536929</v>
      </c>
      <c r="AS65" s="163">
        <f>SUM(AQ65:AR65)</f>
        <v>156.34574692413153</v>
      </c>
      <c r="AT65" s="163">
        <f>AT61+AT62-AT63</f>
        <v>80.594561882507605</v>
      </c>
      <c r="AU65" s="163">
        <f>AU61+AU62-AU63</f>
        <v>91.443859267477194</v>
      </c>
      <c r="AV65" s="163">
        <f>SUM(AT65:AU65)</f>
        <v>172.0384211499848</v>
      </c>
      <c r="AW65" s="163">
        <f>AW61+AW62-AW63</f>
        <v>85.236641912717133</v>
      </c>
      <c r="AX65" s="163">
        <f>AX61+AX62-AX63</f>
        <v>96.33504317652671</v>
      </c>
      <c r="AY65" s="163">
        <f>SUM(AW65:AX65)</f>
        <v>181.57168508924383</v>
      </c>
      <c r="AZ65" s="163">
        <f>AZ61+AZ62-AZ63</f>
        <v>93.588317862075272</v>
      </c>
      <c r="BA65" s="163">
        <f>BA61+BA62-BA63</f>
        <v>106.17352546862797</v>
      </c>
      <c r="BB65" s="163">
        <f>SUM(AZ65:BA65)</f>
        <v>199.76184333070324</v>
      </c>
      <c r="BE65"/>
      <c r="BF65"/>
      <c r="BG65"/>
      <c r="BH65"/>
      <c r="BI65"/>
      <c r="BJ65"/>
    </row>
    <row r="66" spans="1:62" s="14" customFormat="1">
      <c r="A66" s="79"/>
      <c r="B66" s="79" t="s">
        <v>50</v>
      </c>
      <c r="C66" s="80" t="s">
        <v>269</v>
      </c>
      <c r="D66" s="35"/>
      <c r="E66" s="35"/>
      <c r="F66" s="35"/>
      <c r="G66" s="35"/>
      <c r="H66" s="35"/>
      <c r="I66" s="35"/>
      <c r="J66" s="35"/>
      <c r="K66" s="35"/>
      <c r="L66" s="163"/>
      <c r="M66" s="163"/>
      <c r="N66" s="163"/>
      <c r="O66" s="163"/>
      <c r="P66" s="163"/>
      <c r="Q66" s="163"/>
      <c r="R66" s="163"/>
      <c r="S66" s="163"/>
      <c r="T66" s="163"/>
      <c r="U66" s="163"/>
      <c r="V66" s="163">
        <f>V65+V51</f>
        <v>34.295000000000002</v>
      </c>
      <c r="W66" s="163">
        <f>W65+W51</f>
        <v>30.734500000000004</v>
      </c>
      <c r="X66" s="163">
        <f>SUM(V66:W66)</f>
        <v>65.029500000000013</v>
      </c>
      <c r="Y66" s="163">
        <f>Y65+Y51</f>
        <v>71.616799999999998</v>
      </c>
      <c r="Z66" s="163">
        <f>Z65+Z51</f>
        <v>87.054599999999994</v>
      </c>
      <c r="AA66" s="472">
        <f>SUM(Y66:Z66)</f>
        <v>158.67140000000001</v>
      </c>
      <c r="AB66" s="163">
        <f>AB65+AB51</f>
        <v>75.400000000000006</v>
      </c>
      <c r="AC66" s="163">
        <f>AC65+AC51</f>
        <v>86</v>
      </c>
      <c r="AD66" s="163">
        <f>SUM(AB66:AC66)</f>
        <v>161.4</v>
      </c>
      <c r="AE66" s="163">
        <f>AE65+AE51</f>
        <v>67.474999999999994</v>
      </c>
      <c r="AF66" s="163">
        <f>AF65+AF51</f>
        <v>88.199999999999989</v>
      </c>
      <c r="AG66" s="35">
        <f>SUM(AE66:AF66)</f>
        <v>155.67499999999998</v>
      </c>
      <c r="AH66" s="163">
        <f>AH65+AH51</f>
        <v>67.689000000000021</v>
      </c>
      <c r="AI66" s="163">
        <f>AI65+AI51</f>
        <v>79.177000000000021</v>
      </c>
      <c r="AJ66" s="35">
        <f>SUM(AH66:AI66)</f>
        <v>146.86600000000004</v>
      </c>
      <c r="AK66" s="163">
        <f>AK65+AK51</f>
        <v>76</v>
      </c>
      <c r="AL66" s="163">
        <f>AL65+AL51</f>
        <v>71.697999999999979</v>
      </c>
      <c r="AM66" s="555">
        <f>SUM(AK66:AL66)</f>
        <v>147.69799999999998</v>
      </c>
      <c r="AN66" s="594">
        <f>AN65+AN51</f>
        <v>52.2</v>
      </c>
      <c r="AO66" s="163">
        <f>AO65+AO51</f>
        <v>69.390717232919215</v>
      </c>
      <c r="AP66" s="163">
        <f>SUM(AN66:AO66)</f>
        <v>121.59071723291922</v>
      </c>
      <c r="AQ66" s="163">
        <f>AQ65+AQ51</f>
        <v>73.129048757594603</v>
      </c>
      <c r="AR66" s="163">
        <f>AR65+AR51</f>
        <v>83.216698166536929</v>
      </c>
      <c r="AS66" s="163">
        <f>SUM(AQ66:AR66)</f>
        <v>156.34574692413153</v>
      </c>
      <c r="AT66" s="163">
        <f>AT65+AT51</f>
        <v>80.594561882507605</v>
      </c>
      <c r="AU66" s="163">
        <f>AU65+AU51</f>
        <v>91.443859267477194</v>
      </c>
      <c r="AV66" s="163">
        <f>SUM(AT66:AU66)</f>
        <v>172.0384211499848</v>
      </c>
      <c r="AW66" s="163">
        <f>AW65+AW51</f>
        <v>85.236641912717133</v>
      </c>
      <c r="AX66" s="163">
        <f>AX65+AX51</f>
        <v>96.33504317652671</v>
      </c>
      <c r="AY66" s="163">
        <f>SUM(AW66:AX66)</f>
        <v>181.57168508924383</v>
      </c>
      <c r="AZ66" s="163">
        <f>AZ65+AZ51</f>
        <v>93.588317862075272</v>
      </c>
      <c r="BA66" s="163">
        <f>BA65+BA51</f>
        <v>106.17352546862797</v>
      </c>
      <c r="BB66" s="163">
        <f>SUM(AZ66:BA66)</f>
        <v>199.76184333070324</v>
      </c>
      <c r="BE66"/>
      <c r="BF66"/>
      <c r="BG66"/>
      <c r="BH66"/>
      <c r="BI66"/>
      <c r="BJ66"/>
    </row>
    <row r="67" spans="1:62" s="40" customFormat="1">
      <c r="B67" s="41" t="s">
        <v>51</v>
      </c>
      <c r="C67" s="73" t="s">
        <v>82</v>
      </c>
      <c r="D67" s="41"/>
      <c r="E67" s="41"/>
      <c r="F67" s="41"/>
      <c r="G67" s="41"/>
      <c r="H67" s="41"/>
      <c r="I67" s="41"/>
      <c r="J67" s="41"/>
      <c r="K67" s="41"/>
      <c r="L67" s="41"/>
      <c r="M67" s="41"/>
      <c r="N67" s="41"/>
      <c r="O67" s="41"/>
      <c r="P67" s="41"/>
      <c r="Q67" s="41"/>
      <c r="R67" s="41"/>
      <c r="S67" s="41"/>
      <c r="T67" s="41"/>
      <c r="U67" s="41"/>
      <c r="V67" s="41"/>
      <c r="W67" s="41"/>
      <c r="X67" s="41"/>
      <c r="Y67" s="41">
        <f t="shared" ref="Y67:AE67" si="84">Y66/V66-1</f>
        <v>1.0882577635223791</v>
      </c>
      <c r="Z67" s="41">
        <f t="shared" si="84"/>
        <v>1.8324716523776208</v>
      </c>
      <c r="AA67" s="476">
        <f t="shared" si="84"/>
        <v>1.4399910809709437</v>
      </c>
      <c r="AB67" s="41">
        <f t="shared" si="84"/>
        <v>5.2825593994705322E-2</v>
      </c>
      <c r="AC67" s="41">
        <f t="shared" si="84"/>
        <v>-1.2114236352817609E-2</v>
      </c>
      <c r="AD67" s="41">
        <f t="shared" si="84"/>
        <v>1.7196545817330655E-2</v>
      </c>
      <c r="AE67" s="41">
        <f t="shared" si="84"/>
        <v>-0.10510610079575611</v>
      </c>
      <c r="AF67" s="41">
        <f t="shared" ref="AF67" si="85">AF66/AC66-1</f>
        <v>2.5581395348837077E-2</v>
      </c>
      <c r="AG67" s="41">
        <f t="shared" ref="AG67" si="86">AG66/AD66-1</f>
        <v>-3.5470879801734911E-2</v>
      </c>
      <c r="AH67" s="41">
        <f t="shared" ref="AH67:AK67" si="87">AH66/AE66-1</f>
        <v>3.1715450166731607E-3</v>
      </c>
      <c r="AI67" s="41">
        <f t="shared" ref="AI67" si="88">AI66/AF66-1</f>
        <v>-0.10230158730158689</v>
      </c>
      <c r="AJ67" s="41">
        <f t="shared" ref="AJ67" si="89">AJ66/AG66-1</f>
        <v>-5.6585835876023394E-2</v>
      </c>
      <c r="AK67" s="41">
        <f t="shared" si="87"/>
        <v>0.12278213594527876</v>
      </c>
      <c r="AL67" s="41">
        <f t="shared" ref="AL67" si="90">AL66/AI66-1</f>
        <v>-9.4459249529535549E-2</v>
      </c>
      <c r="AM67" s="406">
        <f t="shared" ref="AM67:AN67" si="91">AM66/AJ66-1</f>
        <v>5.6650279846930385E-3</v>
      </c>
      <c r="AN67" s="591">
        <f t="shared" si="91"/>
        <v>-0.31315789473684208</v>
      </c>
      <c r="AO67" s="41">
        <f t="shared" ref="AO67:BB67" si="92">AO66/AL66-1</f>
        <v>-3.2180573615453234E-2</v>
      </c>
      <c r="AP67" s="41">
        <f t="shared" si="92"/>
        <v>-0.1767612477290198</v>
      </c>
      <c r="AQ67" s="41">
        <f t="shared" si="92"/>
        <v>0.40093963137154409</v>
      </c>
      <c r="AR67" s="41">
        <f t="shared" si="92"/>
        <v>0.19924827822731617</v>
      </c>
      <c r="AS67" s="41">
        <f t="shared" si="92"/>
        <v>0.28583620922833752</v>
      </c>
      <c r="AT67" s="41">
        <f t="shared" si="92"/>
        <v>0.10208683487268377</v>
      </c>
      <c r="AU67" s="41">
        <f t="shared" si="92"/>
        <v>9.8864305868946012E-2</v>
      </c>
      <c r="AV67" s="41">
        <f t="shared" si="92"/>
        <v>0.10037160929915356</v>
      </c>
      <c r="AW67" s="41">
        <f t="shared" si="92"/>
        <v>5.7597931197601815E-2</v>
      </c>
      <c r="AX67" s="41">
        <f t="shared" si="92"/>
        <v>5.3488380173704053E-2</v>
      </c>
      <c r="AY67" s="41">
        <f t="shared" si="92"/>
        <v>5.5413574918522723E-2</v>
      </c>
      <c r="AZ67" s="41">
        <f t="shared" si="92"/>
        <v>9.7982226445644249E-2</v>
      </c>
      <c r="BA67" s="41">
        <f t="shared" si="92"/>
        <v>0.10212776127657919</v>
      </c>
      <c r="BB67" s="41">
        <f t="shared" si="92"/>
        <v>0.10018168985169029</v>
      </c>
      <c r="BE67"/>
      <c r="BF67"/>
      <c r="BG67"/>
      <c r="BH67"/>
      <c r="BI67"/>
      <c r="BJ67"/>
    </row>
    <row r="69" spans="1:62">
      <c r="B69" s="7" t="s">
        <v>52</v>
      </c>
      <c r="C69" s="73" t="s">
        <v>269</v>
      </c>
      <c r="D69" s="31"/>
      <c r="E69" s="30"/>
      <c r="F69" s="31"/>
      <c r="G69" s="31"/>
      <c r="H69" s="30"/>
      <c r="I69" s="31"/>
      <c r="J69" s="31"/>
      <c r="K69" s="30"/>
      <c r="L69" s="164"/>
      <c r="M69" s="164"/>
      <c r="N69" s="48"/>
      <c r="O69" s="48"/>
      <c r="P69" s="48"/>
      <c r="Q69" s="48"/>
      <c r="R69" s="48"/>
      <c r="S69" s="48"/>
      <c r="T69" s="48"/>
      <c r="U69" s="48"/>
      <c r="V69" s="48">
        <v>0</v>
      </c>
      <c r="W69" s="48">
        <v>0</v>
      </c>
      <c r="X69" s="48">
        <v>0</v>
      </c>
      <c r="Y69" s="48">
        <v>0</v>
      </c>
      <c r="Z69" s="48">
        <v>0</v>
      </c>
      <c r="AA69" s="478">
        <v>0</v>
      </c>
      <c r="AB69" s="48">
        <v>0</v>
      </c>
      <c r="AC69" s="48">
        <v>0</v>
      </c>
      <c r="AD69" s="48">
        <v>0</v>
      </c>
      <c r="AE69" s="48">
        <v>0</v>
      </c>
      <c r="AF69" s="48">
        <v>0</v>
      </c>
      <c r="AG69" s="48">
        <v>0</v>
      </c>
      <c r="AH69" s="48">
        <v>0</v>
      </c>
      <c r="AI69" s="48">
        <v>0</v>
      </c>
      <c r="AJ69" s="48">
        <v>0</v>
      </c>
      <c r="AK69" s="48">
        <v>0</v>
      </c>
      <c r="AL69" s="48">
        <v>0</v>
      </c>
      <c r="AM69" s="437">
        <v>0</v>
      </c>
      <c r="AN69" s="595">
        <v>0</v>
      </c>
      <c r="AO69" s="48">
        <v>0</v>
      </c>
      <c r="AP69" s="48">
        <v>0</v>
      </c>
      <c r="AQ69" s="48">
        <v>0</v>
      </c>
      <c r="AR69" s="48">
        <v>0</v>
      </c>
      <c r="AS69" s="48">
        <v>0</v>
      </c>
      <c r="AT69" s="48">
        <v>0</v>
      </c>
      <c r="AU69" s="48">
        <v>0</v>
      </c>
      <c r="AV69" s="48">
        <v>0</v>
      </c>
      <c r="AW69" s="48">
        <v>0</v>
      </c>
      <c r="AX69" s="48">
        <v>0</v>
      </c>
      <c r="AY69" s="48">
        <v>0</v>
      </c>
      <c r="AZ69" s="48">
        <v>0</v>
      </c>
      <c r="BA69" s="48">
        <v>0</v>
      </c>
      <c r="BB69" s="48">
        <v>0</v>
      </c>
    </row>
    <row r="70" spans="1:62" s="14" customFormat="1">
      <c r="A70" s="79"/>
      <c r="B70" s="79" t="s">
        <v>53</v>
      </c>
      <c r="C70" s="80" t="s">
        <v>269</v>
      </c>
      <c r="D70" s="35"/>
      <c r="E70" s="35"/>
      <c r="F70" s="35"/>
      <c r="G70" s="35"/>
      <c r="H70" s="35"/>
      <c r="I70" s="35"/>
      <c r="J70" s="35"/>
      <c r="K70" s="35"/>
      <c r="L70" s="173"/>
      <c r="M70" s="163"/>
      <c r="N70" s="163"/>
      <c r="O70" s="163"/>
      <c r="P70" s="163"/>
      <c r="Q70" s="163"/>
      <c r="R70" s="163"/>
      <c r="S70" s="163"/>
      <c r="T70" s="163"/>
      <c r="U70" s="163"/>
      <c r="V70" s="163">
        <f>V74-V73-V72</f>
        <v>34.295000000000002</v>
      </c>
      <c r="W70" s="163">
        <f t="shared" ref="W70:AA70" si="93">W74-W73-W72</f>
        <v>30.734500000000004</v>
      </c>
      <c r="X70" s="163">
        <f t="shared" si="93"/>
        <v>65.029499999999999</v>
      </c>
      <c r="Y70" s="163">
        <f t="shared" si="93"/>
        <v>71.616799999999998</v>
      </c>
      <c r="Z70" s="163">
        <f t="shared" si="93"/>
        <v>87.054599999999994</v>
      </c>
      <c r="AA70" s="472">
        <f t="shared" si="93"/>
        <v>158.67140000000001</v>
      </c>
      <c r="AB70" s="163">
        <f>AB74-AB73-AB72</f>
        <v>75.400000000000006</v>
      </c>
      <c r="AC70" s="163">
        <f t="shared" ref="AC70" si="94">AC74-AC73-AC72</f>
        <v>86</v>
      </c>
      <c r="AD70" s="173">
        <v>161.4</v>
      </c>
      <c r="AE70" s="35">
        <f>AE74-AE73-AE72</f>
        <v>67.5</v>
      </c>
      <c r="AF70" s="163">
        <f t="shared" ref="AF70" si="95">AF74-AF73-AF72</f>
        <v>88.199999999999989</v>
      </c>
      <c r="AG70" s="36">
        <v>155.69999999999999</v>
      </c>
      <c r="AH70" s="545">
        <f>AH74-AH73-AH72</f>
        <v>67.722999999999999</v>
      </c>
      <c r="AI70" s="163">
        <f t="shared" ref="AI70" si="96">AI74-AI73-AI72</f>
        <v>79.177000000000021</v>
      </c>
      <c r="AJ70" s="36">
        <v>146.9</v>
      </c>
      <c r="AK70" s="173">
        <v>76</v>
      </c>
      <c r="AL70" s="163">
        <f t="shared" ref="AL70" si="97">AL74-AL73-AL72</f>
        <v>71.697999999999979</v>
      </c>
      <c r="AM70" s="529">
        <v>147.69999999999999</v>
      </c>
      <c r="AN70" s="596">
        <v>52.2</v>
      </c>
      <c r="AO70" s="524">
        <f>AO66-AO69</f>
        <v>69.390717232919215</v>
      </c>
      <c r="AP70" s="163">
        <f>SUM(AN70:AO70)</f>
        <v>121.59071723291922</v>
      </c>
      <c r="AQ70" s="163">
        <f>AQ66-AQ69</f>
        <v>73.129048757594603</v>
      </c>
      <c r="AR70" s="163">
        <f>AR66-AR69</f>
        <v>83.216698166536929</v>
      </c>
      <c r="AS70" s="163">
        <f>SUM(AQ70:AR70)</f>
        <v>156.34574692413153</v>
      </c>
      <c r="AT70" s="163">
        <f>AT66-AT69</f>
        <v>80.594561882507605</v>
      </c>
      <c r="AU70" s="163">
        <f>AU66-AU69</f>
        <v>91.443859267477194</v>
      </c>
      <c r="AV70" s="163">
        <f>SUM(AT70:AU70)</f>
        <v>172.0384211499848</v>
      </c>
      <c r="AW70" s="163">
        <f>AW66-AW69</f>
        <v>85.236641912717133</v>
      </c>
      <c r="AX70" s="163">
        <f>AX66-AX69</f>
        <v>96.33504317652671</v>
      </c>
      <c r="AY70" s="163">
        <f>SUM(AW70:AX70)</f>
        <v>181.57168508924383</v>
      </c>
      <c r="AZ70" s="163">
        <f>AZ66-AZ69</f>
        <v>93.588317862075272</v>
      </c>
      <c r="BA70" s="163">
        <f>BA66-BA69</f>
        <v>106.17352546862797</v>
      </c>
      <c r="BB70" s="163">
        <f>SUM(AZ70:BA70)</f>
        <v>199.76184333070324</v>
      </c>
      <c r="BE70"/>
      <c r="BF70"/>
      <c r="BG70"/>
      <c r="BH70"/>
      <c r="BI70"/>
      <c r="BJ70"/>
    </row>
    <row r="71" spans="1:62">
      <c r="D71" s="30"/>
      <c r="L71" s="49"/>
      <c r="M71" s="49"/>
      <c r="N71" s="49"/>
      <c r="O71" s="49"/>
      <c r="P71" s="49"/>
      <c r="Q71" s="49"/>
      <c r="R71" s="49"/>
      <c r="S71" s="49"/>
      <c r="T71" s="49"/>
      <c r="U71" s="49"/>
      <c r="V71" s="49"/>
      <c r="W71" s="49"/>
      <c r="X71" s="49"/>
      <c r="Y71" s="49"/>
      <c r="Z71" s="49"/>
      <c r="AB71" s="49"/>
      <c r="AC71" s="49"/>
      <c r="AD71" s="49"/>
      <c r="AE71" s="49"/>
      <c r="AF71" s="49"/>
      <c r="AG71" s="49"/>
      <c r="AH71" s="49"/>
      <c r="AI71" s="49"/>
      <c r="AJ71" s="49"/>
      <c r="AK71" s="49"/>
      <c r="AL71" s="49"/>
      <c r="AM71" s="407"/>
      <c r="AN71" s="588"/>
      <c r="AO71" s="49"/>
      <c r="AP71" s="49"/>
      <c r="AQ71" s="49"/>
      <c r="AR71" s="49"/>
      <c r="AS71" s="49"/>
      <c r="AT71" s="49"/>
      <c r="AU71" s="49"/>
      <c r="AV71" s="49"/>
      <c r="AW71" s="49"/>
      <c r="AX71" s="49"/>
      <c r="AY71" s="49"/>
      <c r="AZ71" s="49"/>
      <c r="BA71" s="49"/>
      <c r="BB71" s="49"/>
    </row>
    <row r="72" spans="1:62">
      <c r="B72" s="7" t="s">
        <v>54</v>
      </c>
      <c r="C72" s="73" t="s">
        <v>269</v>
      </c>
      <c r="D72" s="31"/>
      <c r="E72" s="30"/>
      <c r="F72" s="31"/>
      <c r="G72" s="31"/>
      <c r="H72" s="30"/>
      <c r="I72" s="31"/>
      <c r="J72" s="31"/>
      <c r="K72" s="30"/>
      <c r="L72" s="164"/>
      <c r="M72" s="164"/>
      <c r="N72" s="48"/>
      <c r="O72" s="49"/>
      <c r="P72" s="164"/>
      <c r="Q72" s="49"/>
      <c r="R72" s="164"/>
      <c r="S72" s="164"/>
      <c r="T72" s="49"/>
      <c r="U72" s="164"/>
      <c r="V72" s="49">
        <f>-SUM('Asia Pacific'!V22,Americas!V24,EMEA!V21,Corporate!V20)</f>
        <v>0</v>
      </c>
      <c r="W72" s="49">
        <f>-SUM('Asia Pacific'!W22,Americas!W24,EMEA!W21,Corporate!W20)</f>
        <v>0</v>
      </c>
      <c r="X72" s="49">
        <f>-SUM('Asia Pacific'!X22,Americas!X24,EMEA!X21,Corporate!X20)</f>
        <v>0</v>
      </c>
      <c r="Y72" s="49">
        <f>-SUM('Asia Pacific'!Y22,Americas!Y24,EMEA!Y21,Corporate!Y20)</f>
        <v>0</v>
      </c>
      <c r="Z72" s="49">
        <f>-SUM('Asia Pacific'!Z22,Americas!Z24,EMEA!Z21,Corporate!Z20)</f>
        <v>-6.4339999999999904</v>
      </c>
      <c r="AA72" s="394">
        <f>-SUM('Asia Pacific'!AA22,Americas!AA24,EMEA!AA21,Corporate!AA20)</f>
        <v>-6.4339999999999975</v>
      </c>
      <c r="AB72" s="49">
        <f>-SUM('Asia Pacific'!AB22,Americas!AB24,EMEA!AB21,Corporate!AB20)</f>
        <v>-5.789999999999992</v>
      </c>
      <c r="AC72" s="49">
        <f>-SUM('Asia Pacific'!AC22,Americas!AC24,EMEA!AC21,Corporate!AC20)</f>
        <v>-2.0120000000000147</v>
      </c>
      <c r="AD72" s="49">
        <f>-SUM('Asia Pacific'!AD22,Americas!AD24,EMEA!AD21,Corporate!AD20)</f>
        <v>-7.8020000000000067</v>
      </c>
      <c r="AE72" s="49">
        <f>-SUM('Asia Pacific'!AE22,Americas!AE24,EMEA!AE21,Corporate!AE20)</f>
        <v>11.10100000000001</v>
      </c>
      <c r="AF72" s="49">
        <f>-SUM('Asia Pacific'!AF22,Americas!AF24,EMEA!AF21,Corporate!AF20)</f>
        <v>-6.2910000000000075</v>
      </c>
      <c r="AG72" s="49">
        <f>-SUM('Asia Pacific'!AG22,Americas!AG24,EMEA!AG21,Corporate!AG20)</f>
        <v>4.8100000000000023</v>
      </c>
      <c r="AH72" s="49">
        <f>-SUM('Asia Pacific'!AH22,Americas!AH24,EMEA!AH21,Corporate!AH20)</f>
        <v>-12.195999999999996</v>
      </c>
      <c r="AI72" s="49">
        <f>-SUM('Asia Pacific'!AI22,Americas!AI24,EMEA!AI21,Corporate!AI20)</f>
        <v>-14.909000000000013</v>
      </c>
      <c r="AJ72" s="49">
        <f>-SUM('Asia Pacific'!AJ22,Americas!AJ24,EMEA!AJ21,Corporate!AJ20)</f>
        <v>-27.105000000000011</v>
      </c>
      <c r="AK72" s="49">
        <f>-SUM('Asia Pacific'!AK22,Americas!AK24,EMEA!AK21,Corporate!AK20)</f>
        <v>-1.0809999999999889</v>
      </c>
      <c r="AL72" s="49">
        <f>-SUM('Asia Pacific'!AL22,Americas!AL24,EMEA!AL21,Corporate!AL20)</f>
        <v>-6.8070000000000235</v>
      </c>
      <c r="AM72" s="407">
        <f>-SUM('Asia Pacific'!AM22,Americas!AM24,EMEA!AM21,Corporate!AM20)</f>
        <v>-7.8880000000000123</v>
      </c>
      <c r="AN72" s="588">
        <f>-SUM('Asia Pacific'!AN22,Americas!AN24,EMEA!AN21,Corporate!AN20)</f>
        <v>-0.42999999999999261</v>
      </c>
      <c r="AO72" s="48">
        <v>0</v>
      </c>
      <c r="AP72" s="49">
        <f>SUM(AN72:AO72)</f>
        <v>-0.42999999999999261</v>
      </c>
      <c r="AQ72" s="48">
        <v>0</v>
      </c>
      <c r="AR72" s="48">
        <v>0</v>
      </c>
      <c r="AS72" s="49">
        <f>SUM(AQ72:AR72)</f>
        <v>0</v>
      </c>
      <c r="AT72" s="48">
        <v>0</v>
      </c>
      <c r="AU72" s="48">
        <v>0</v>
      </c>
      <c r="AV72" s="49">
        <f>SUM(AT72:AU72)</f>
        <v>0</v>
      </c>
      <c r="AW72" s="48">
        <v>0</v>
      </c>
      <c r="AX72" s="48">
        <v>0</v>
      </c>
      <c r="AY72" s="49">
        <f>SUM(AW72:AX72)</f>
        <v>0</v>
      </c>
      <c r="AZ72" s="48">
        <v>0</v>
      </c>
      <c r="BA72" s="48">
        <v>0</v>
      </c>
      <c r="BB72" s="49">
        <f>SUM(AZ72:BA72)</f>
        <v>0</v>
      </c>
    </row>
    <row r="73" spans="1:62">
      <c r="B73" s="7" t="s">
        <v>55</v>
      </c>
      <c r="C73" s="73" t="s">
        <v>269</v>
      </c>
      <c r="D73" s="31"/>
      <c r="E73" s="30"/>
      <c r="F73" s="31"/>
      <c r="G73" s="31"/>
      <c r="H73" s="30"/>
      <c r="I73" s="31"/>
      <c r="J73" s="31"/>
      <c r="K73" s="30"/>
      <c r="L73" s="164"/>
      <c r="M73" s="164"/>
      <c r="N73" s="48"/>
      <c r="O73" s="49"/>
      <c r="P73" s="48"/>
      <c r="Q73" s="48"/>
      <c r="R73" s="49"/>
      <c r="S73" s="48"/>
      <c r="T73" s="49"/>
      <c r="U73" s="49"/>
      <c r="V73" s="164">
        <v>0</v>
      </c>
      <c r="W73" s="49">
        <f>X73-V73</f>
        <v>-5.0325000000000051</v>
      </c>
      <c r="X73" s="164">
        <f>(89.4-130.3+33.4)*0.671</f>
        <v>-5.0325000000000051</v>
      </c>
      <c r="Y73" s="164">
        <f>-7.9*0.722</f>
        <v>-5.7038000000000002</v>
      </c>
      <c r="Z73" s="49">
        <f>AA73-Y73</f>
        <v>-5.6505999999999998</v>
      </c>
      <c r="AA73" s="473">
        <f>-15.2*0.747</f>
        <v>-11.3544</v>
      </c>
      <c r="AB73" s="164">
        <f>63.7-75.4-AB72</f>
        <v>-5.9100000000000108</v>
      </c>
      <c r="AC73" s="49">
        <f>AD73-AB73</f>
        <v>-10.244999999999976</v>
      </c>
      <c r="AD73" s="164">
        <f>137.443-161.4-AD72</f>
        <v>-16.154999999999987</v>
      </c>
      <c r="AE73" s="164">
        <f>66.622-67.5-AE72</f>
        <v>-11.97900000000001</v>
      </c>
      <c r="AF73" s="49">
        <f>AG73-AE73</f>
        <v>-8.8809999999999754</v>
      </c>
      <c r="AG73" s="164">
        <f>139.65-155.7-AG72</f>
        <v>-20.859999999999985</v>
      </c>
      <c r="AH73" s="164">
        <f>3.3-7.8</f>
        <v>-4.5</v>
      </c>
      <c r="AI73" s="49">
        <f>AJ73-AH73</f>
        <v>-5.1499999999999986</v>
      </c>
      <c r="AJ73" s="164">
        <f>110.145-AJ70-AJ72</f>
        <v>-9.6499999999999986</v>
      </c>
      <c r="AK73" s="49">
        <f>AK74-AK70-AK72</f>
        <v>-7.7270000000000181</v>
      </c>
      <c r="AL73" s="49">
        <f>AM73-AK73</f>
        <v>-7.0889999999999631</v>
      </c>
      <c r="AM73" s="426">
        <f>124.996-AM70-AM72</f>
        <v>-14.815999999999981</v>
      </c>
      <c r="AN73" s="588">
        <f>AN74-AN70-AN72</f>
        <v>-8.0700000000000074</v>
      </c>
      <c r="AO73" s="48">
        <v>0</v>
      </c>
      <c r="AP73" s="49">
        <f>SUM(AN73:AO73)</f>
        <v>-8.0700000000000074</v>
      </c>
      <c r="AQ73" s="48">
        <v>0</v>
      </c>
      <c r="AR73" s="48">
        <v>0</v>
      </c>
      <c r="AS73" s="49">
        <f>SUM(AQ73:AR73)</f>
        <v>0</v>
      </c>
      <c r="AT73" s="48">
        <v>0</v>
      </c>
      <c r="AU73" s="48">
        <v>0</v>
      </c>
      <c r="AV73" s="49">
        <f>SUM(AT73:AU73)</f>
        <v>0</v>
      </c>
      <c r="AW73" s="48">
        <v>0</v>
      </c>
      <c r="AX73" s="48">
        <v>0</v>
      </c>
      <c r="AY73" s="49">
        <f>SUM(AW73:AX73)</f>
        <v>0</v>
      </c>
      <c r="AZ73" s="48">
        <v>0</v>
      </c>
      <c r="BA73" s="48">
        <v>0</v>
      </c>
      <c r="BB73" s="49">
        <f>SUM(AZ73:BA73)</f>
        <v>0</v>
      </c>
    </row>
    <row r="74" spans="1:62">
      <c r="A74" s="82"/>
      <c r="B74" s="79" t="s">
        <v>56</v>
      </c>
      <c r="C74" s="80" t="s">
        <v>269</v>
      </c>
      <c r="D74" s="43"/>
      <c r="E74" s="43"/>
      <c r="F74" s="43"/>
      <c r="G74" s="35"/>
      <c r="H74" s="35"/>
      <c r="I74" s="35"/>
      <c r="J74" s="35"/>
      <c r="K74" s="35"/>
      <c r="L74" s="173"/>
      <c r="M74" s="163"/>
      <c r="N74" s="163"/>
      <c r="O74" s="163"/>
      <c r="P74" s="163"/>
      <c r="Q74" s="163"/>
      <c r="R74" s="163"/>
      <c r="S74" s="163"/>
      <c r="T74" s="163"/>
      <c r="U74" s="173"/>
      <c r="V74" s="173">
        <v>34.295000000000002</v>
      </c>
      <c r="W74" s="163">
        <f>X74-V74</f>
        <v>25.701999999999998</v>
      </c>
      <c r="X74" s="173">
        <v>59.997</v>
      </c>
      <c r="Y74" s="173">
        <v>65.912999999999997</v>
      </c>
      <c r="Z74" s="163">
        <f>AA74-Y74</f>
        <v>74.970000000000013</v>
      </c>
      <c r="AA74" s="479">
        <v>140.88300000000001</v>
      </c>
      <c r="AB74" s="173">
        <v>63.7</v>
      </c>
      <c r="AC74" s="163">
        <f>AD74-AB74</f>
        <v>73.743000000000009</v>
      </c>
      <c r="AD74" s="173">
        <v>137.44300000000001</v>
      </c>
      <c r="AE74" s="36">
        <v>66.622</v>
      </c>
      <c r="AF74" s="163">
        <f>AG74-AE74</f>
        <v>73.028000000000006</v>
      </c>
      <c r="AG74" s="36">
        <v>139.65</v>
      </c>
      <c r="AH74" s="36">
        <v>51.027000000000001</v>
      </c>
      <c r="AI74" s="163">
        <f>AJ74-AH74</f>
        <v>59.117999999999995</v>
      </c>
      <c r="AJ74" s="36">
        <v>110.145</v>
      </c>
      <c r="AK74" s="36">
        <v>67.191999999999993</v>
      </c>
      <c r="AL74" s="163">
        <f>AM74-AK74</f>
        <v>57.802000000000007</v>
      </c>
      <c r="AM74" s="529">
        <v>124.994</v>
      </c>
      <c r="AN74" s="597">
        <v>43.7</v>
      </c>
      <c r="AO74" s="524">
        <f t="shared" ref="AO74:BB74" si="98">AO65+AO72+AO73</f>
        <v>69.390717232919215</v>
      </c>
      <c r="AP74" s="163">
        <f t="shared" si="98"/>
        <v>113.09071723291922</v>
      </c>
      <c r="AQ74" s="163">
        <f t="shared" si="98"/>
        <v>73.129048757594603</v>
      </c>
      <c r="AR74" s="163">
        <f t="shared" si="98"/>
        <v>83.216698166536929</v>
      </c>
      <c r="AS74" s="163">
        <f t="shared" si="98"/>
        <v>156.34574692413153</v>
      </c>
      <c r="AT74" s="163">
        <f t="shared" si="98"/>
        <v>80.594561882507605</v>
      </c>
      <c r="AU74" s="163">
        <f t="shared" si="98"/>
        <v>91.443859267477194</v>
      </c>
      <c r="AV74" s="163">
        <f t="shared" si="98"/>
        <v>172.0384211499848</v>
      </c>
      <c r="AW74" s="163">
        <f t="shared" si="98"/>
        <v>85.236641912717133</v>
      </c>
      <c r="AX74" s="163">
        <f t="shared" si="98"/>
        <v>96.33504317652671</v>
      </c>
      <c r="AY74" s="163">
        <f t="shared" si="98"/>
        <v>181.57168508924383</v>
      </c>
      <c r="AZ74" s="163">
        <f t="shared" si="98"/>
        <v>93.588317862075272</v>
      </c>
      <c r="BA74" s="163">
        <f t="shared" si="98"/>
        <v>106.17352546862797</v>
      </c>
      <c r="BB74" s="163">
        <f t="shared" si="98"/>
        <v>199.76184333070324</v>
      </c>
    </row>
    <row r="75" spans="1:62">
      <c r="B75" s="14"/>
      <c r="G75" s="78"/>
      <c r="V75" s="32"/>
      <c r="Y75" s="32"/>
      <c r="AB75" s="32"/>
      <c r="AE75" s="32"/>
    </row>
    <row r="76" spans="1:62" s="13" customFormat="1">
      <c r="A76" s="117" t="s">
        <v>92</v>
      </c>
      <c r="B76" s="117"/>
      <c r="C76" s="117"/>
      <c r="D76" s="117"/>
      <c r="E76" s="117"/>
      <c r="F76" s="117"/>
      <c r="G76" s="117"/>
      <c r="H76" s="117"/>
      <c r="I76" s="117"/>
      <c r="J76" s="117"/>
      <c r="K76" s="117"/>
      <c r="L76" s="117"/>
      <c r="M76" s="117"/>
      <c r="N76" s="117"/>
      <c r="O76" s="117"/>
      <c r="P76" s="117"/>
      <c r="Q76" s="117"/>
      <c r="R76" s="117"/>
      <c r="S76" s="117"/>
      <c r="T76" s="117"/>
      <c r="U76" s="117"/>
      <c r="V76" s="117"/>
      <c r="W76" s="117"/>
      <c r="X76" s="117"/>
      <c r="Y76" s="117"/>
      <c r="Z76" s="117"/>
      <c r="AA76" s="480"/>
      <c r="AB76" s="117"/>
      <c r="AC76" s="117"/>
      <c r="AD76" s="117"/>
      <c r="AE76" s="117"/>
      <c r="AF76" s="117"/>
      <c r="AG76" s="117"/>
      <c r="AI76" s="117"/>
      <c r="AJ76" s="117"/>
      <c r="AL76" s="117"/>
      <c r="AM76" s="556"/>
      <c r="AN76" s="598"/>
      <c r="BE76"/>
      <c r="BF76"/>
      <c r="BG76"/>
      <c r="BH76"/>
      <c r="BI76"/>
      <c r="BJ76"/>
    </row>
    <row r="77" spans="1:62">
      <c r="B77" s="83" t="s">
        <v>7</v>
      </c>
    </row>
    <row r="78" spans="1:62">
      <c r="B78" s="180" t="s">
        <v>274</v>
      </c>
      <c r="C78" s="73" t="s">
        <v>82</v>
      </c>
      <c r="D78" s="38"/>
      <c r="E78" s="38"/>
      <c r="F78" s="38"/>
      <c r="G78" s="38"/>
      <c r="H78" s="38"/>
      <c r="I78" s="38"/>
      <c r="J78" s="38"/>
      <c r="K78" s="38"/>
      <c r="L78" s="32"/>
      <c r="M78" s="32"/>
      <c r="N78" s="32"/>
      <c r="O78" s="32"/>
      <c r="P78" s="32"/>
      <c r="Q78" s="32"/>
      <c r="R78" s="32"/>
      <c r="S78" s="32"/>
      <c r="T78" s="32"/>
      <c r="U78" s="32"/>
      <c r="V78" s="32"/>
      <c r="W78" s="32"/>
      <c r="X78" s="32"/>
      <c r="Y78" s="32">
        <f t="shared" ref="Y78:AH81" si="99">Y11/V11-1</f>
        <v>0.16217318357645527</v>
      </c>
      <c r="Z78" s="32">
        <f t="shared" si="99"/>
        <v>-0.3247445384073292</v>
      </c>
      <c r="AA78" s="474">
        <f t="shared" si="99"/>
        <v>-0.15399826766248836</v>
      </c>
      <c r="AB78" s="32">
        <f t="shared" si="99"/>
        <v>0.11209359679990349</v>
      </c>
      <c r="AC78" s="32">
        <f t="shared" ref="AC78:AC81" si="100">AC11/Z11-1</f>
        <v>-4.6264804271456961E-2</v>
      </c>
      <c r="AD78" s="32">
        <f t="shared" ref="AD78:AD81" si="101">AD11/AA11-1</f>
        <v>3.0019704052853369E-2</v>
      </c>
      <c r="AE78" s="32">
        <f t="shared" si="99"/>
        <v>-7.0496177700850926E-2</v>
      </c>
      <c r="AF78" s="32">
        <f t="shared" ref="AF78:AF81" si="102">AF11/AC11-1</f>
        <v>-0.14753009223073332</v>
      </c>
      <c r="AG78" s="32">
        <f t="shared" ref="AG78:AG81" si="103">AG11/AD11-1</f>
        <v>-0.10746436609152299</v>
      </c>
      <c r="AH78" s="32">
        <f t="shared" si="99"/>
        <v>-0.23440470186600471</v>
      </c>
      <c r="AI78" s="32">
        <f t="shared" ref="AI78:AI81" si="104">AI11/AF11-1</f>
        <v>0.57013019758859351</v>
      </c>
      <c r="AJ78" s="32">
        <f t="shared" ref="AJ78:AK81" si="105">AJ11/AG11-1</f>
        <v>0.13435595713385151</v>
      </c>
      <c r="AK78" s="32">
        <f t="shared" si="105"/>
        <v>0.90343176376695933</v>
      </c>
      <c r="AL78" s="32">
        <f t="shared" ref="AL78:AL81" si="106">AL11/AI11-1</f>
        <v>-0.10763009408965163</v>
      </c>
      <c r="AM78" s="33">
        <f t="shared" ref="AM78:AN81" si="107">AM11/AJ11-1</f>
        <v>0.26198040160047409</v>
      </c>
      <c r="AN78" s="581">
        <f t="shared" si="107"/>
        <v>-7.2876110611959088E-3</v>
      </c>
      <c r="AO78" s="32">
        <f t="shared" ref="AO78:AR81" si="108">AO11/AL11-1</f>
        <v>5.0500746092528415E-2</v>
      </c>
      <c r="AP78" s="32">
        <f t="shared" si="108"/>
        <v>1.8637382567434191E-2</v>
      </c>
      <c r="AQ78" s="32">
        <f t="shared" si="108"/>
        <v>0.20555985880310912</v>
      </c>
      <c r="AR78" s="32">
        <f t="shared" si="108"/>
        <v>3.511890072984869E-2</v>
      </c>
      <c r="AS78" s="32">
        <f t="shared" ref="AS78:BB81" si="109">AS11/AP11-1</f>
        <v>0.12670489587042555</v>
      </c>
      <c r="AT78" s="32">
        <f t="shared" si="109"/>
        <v>7.4799437687129489E-2</v>
      </c>
      <c r="AU78" s="32">
        <f t="shared" si="109"/>
        <v>5.1566632856604233E-2</v>
      </c>
      <c r="AV78" s="32">
        <f t="shared" si="109"/>
        <v>6.492444536913955E-2</v>
      </c>
      <c r="AW78" s="32">
        <f t="shared" si="109"/>
        <v>3.7361076047975894E-2</v>
      </c>
      <c r="AX78" s="32">
        <f t="shared" si="109"/>
        <v>3.6340765293813249E-2</v>
      </c>
      <c r="AY78" s="32">
        <f t="shared" si="109"/>
        <v>3.6932837668206542E-2</v>
      </c>
      <c r="AZ78" s="32">
        <f t="shared" si="109"/>
        <v>2.840282262259608E-2</v>
      </c>
      <c r="BA78" s="32">
        <f t="shared" si="109"/>
        <v>3.0020158381313333E-2</v>
      </c>
      <c r="BB78" s="32">
        <f t="shared" si="109"/>
        <v>2.9081252968751414E-2</v>
      </c>
    </row>
    <row r="79" spans="1:62">
      <c r="B79" s="180" t="s">
        <v>275</v>
      </c>
      <c r="C79" s="73" t="s">
        <v>82</v>
      </c>
      <c r="D79" s="38"/>
      <c r="E79" s="38"/>
      <c r="F79" s="38"/>
      <c r="G79" s="38"/>
      <c r="H79" s="38"/>
      <c r="I79" s="38"/>
      <c r="J79" s="38"/>
      <c r="K79" s="38"/>
      <c r="L79" s="32"/>
      <c r="M79" s="32"/>
      <c r="N79" s="32"/>
      <c r="O79" s="32"/>
      <c r="P79" s="32"/>
      <c r="Q79" s="32"/>
      <c r="R79" s="32"/>
      <c r="S79" s="32"/>
      <c r="T79" s="32"/>
      <c r="U79" s="32"/>
      <c r="V79" s="32"/>
      <c r="W79" s="32"/>
      <c r="X79" s="32"/>
      <c r="Y79" s="32">
        <f t="shared" si="99"/>
        <v>0.21982261229921751</v>
      </c>
      <c r="Z79" s="32">
        <f t="shared" si="99"/>
        <v>-0.32164306886385696</v>
      </c>
      <c r="AA79" s="474">
        <f t="shared" si="99"/>
        <v>-0.14769380219911055</v>
      </c>
      <c r="AB79" s="32">
        <f t="shared" si="99"/>
        <v>0.15168725530137195</v>
      </c>
      <c r="AC79" s="32">
        <f t="shared" si="100"/>
        <v>0.34404605185829484</v>
      </c>
      <c r="AD79" s="32">
        <f t="shared" si="101"/>
        <v>0.25560279004498754</v>
      </c>
      <c r="AE79" s="32">
        <f t="shared" si="99"/>
        <v>0.28106554108946358</v>
      </c>
      <c r="AF79" s="32">
        <f t="shared" si="102"/>
        <v>1.1674810612271713E-2</v>
      </c>
      <c r="AG79" s="32">
        <f t="shared" si="103"/>
        <v>0.12528509226622431</v>
      </c>
      <c r="AH79" s="32">
        <f t="shared" si="99"/>
        <v>-2.0686395185031126E-3</v>
      </c>
      <c r="AI79" s="32">
        <f t="shared" si="104"/>
        <v>-2.4869525754481425E-2</v>
      </c>
      <c r="AJ79" s="32">
        <f t="shared" si="105"/>
        <v>-1.3922516119536876E-2</v>
      </c>
      <c r="AK79" s="32">
        <f t="shared" si="105"/>
        <v>3.3227810997772389E-2</v>
      </c>
      <c r="AL79" s="32">
        <f t="shared" si="106"/>
        <v>-7.3060787585849329E-2</v>
      </c>
      <c r="AM79" s="33">
        <f t="shared" si="107"/>
        <v>-2.1416762658700184E-2</v>
      </c>
      <c r="AN79" s="581">
        <f t="shared" si="107"/>
        <v>-7.190549679996372E-2</v>
      </c>
      <c r="AO79" s="32">
        <f t="shared" si="108"/>
        <v>6.970726138200134E-2</v>
      </c>
      <c r="AP79" s="32">
        <f t="shared" si="108"/>
        <v>-2.9424842287211206E-3</v>
      </c>
      <c r="AQ79" s="32">
        <f t="shared" si="108"/>
        <v>6.020557457884923E-2</v>
      </c>
      <c r="AR79" s="32">
        <f t="shared" si="108"/>
        <v>5.9991048694747695E-2</v>
      </c>
      <c r="AS79" s="32">
        <f t="shared" si="109"/>
        <v>6.0093491958379319E-2</v>
      </c>
      <c r="AT79" s="32">
        <f t="shared" si="109"/>
        <v>4.9967922043312685E-2</v>
      </c>
      <c r="AU79" s="32">
        <f t="shared" si="109"/>
        <v>4.9983944874915753E-2</v>
      </c>
      <c r="AV79" s="32">
        <f t="shared" si="109"/>
        <v>4.9976292629519747E-2</v>
      </c>
      <c r="AW79" s="32">
        <f t="shared" si="109"/>
        <v>3.9981369383110366E-2</v>
      </c>
      <c r="AX79" s="32">
        <f t="shared" si="109"/>
        <v>4.0022265464305207E-2</v>
      </c>
      <c r="AY79" s="32">
        <f t="shared" si="109"/>
        <v>4.0002734312638566E-2</v>
      </c>
      <c r="AZ79" s="32">
        <f t="shared" si="109"/>
        <v>3.9996500986816397E-2</v>
      </c>
      <c r="BA79" s="32">
        <f t="shared" si="109"/>
        <v>3.9996760029434197E-2</v>
      </c>
      <c r="BB79" s="32">
        <f t="shared" si="109"/>
        <v>3.9996636318394785E-2</v>
      </c>
    </row>
    <row r="80" spans="1:62">
      <c r="B80" s="180" t="s">
        <v>276</v>
      </c>
      <c r="C80" s="73" t="s">
        <v>82</v>
      </c>
      <c r="D80" s="38"/>
      <c r="E80" s="38"/>
      <c r="F80" s="38"/>
      <c r="G80" s="38"/>
      <c r="H80" s="38"/>
      <c r="I80" s="38"/>
      <c r="J80" s="38"/>
      <c r="K80" s="38"/>
      <c r="L80" s="32"/>
      <c r="M80" s="32"/>
      <c r="N80" s="32"/>
      <c r="O80" s="32"/>
      <c r="P80" s="32"/>
      <c r="Q80" s="32"/>
      <c r="R80" s="32"/>
      <c r="S80" s="32"/>
      <c r="T80" s="32"/>
      <c r="U80" s="32"/>
      <c r="V80" s="32"/>
      <c r="W80" s="32"/>
      <c r="X80" s="32"/>
      <c r="Y80" s="32">
        <f t="shared" si="99"/>
        <v>0.1486022518807748</v>
      </c>
      <c r="Z80" s="32">
        <f t="shared" si="99"/>
        <v>-0.24318497067627098</v>
      </c>
      <c r="AA80" s="474">
        <f t="shared" si="99"/>
        <v>-9.96210287419943E-2</v>
      </c>
      <c r="AB80" s="32">
        <f t="shared" si="99"/>
        <v>5.9263112394042139E-2</v>
      </c>
      <c r="AC80" s="32">
        <f t="shared" si="100"/>
        <v>-5.6206149235686231E-2</v>
      </c>
      <c r="AD80" s="32">
        <f t="shared" si="101"/>
        <v>-2.2295131373460952E-3</v>
      </c>
      <c r="AE80" s="32">
        <f t="shared" si="99"/>
        <v>-0.11688176951487728</v>
      </c>
      <c r="AF80" s="32">
        <f t="shared" si="102"/>
        <v>-1.5671951975688159E-2</v>
      </c>
      <c r="AG80" s="32">
        <f t="shared" si="103"/>
        <v>-6.5898723488969968E-2</v>
      </c>
      <c r="AH80" s="32">
        <f t="shared" si="99"/>
        <v>-5.4353359491866593E-3</v>
      </c>
      <c r="AI80" s="32">
        <f t="shared" si="104"/>
        <v>-5.4022248527263783E-2</v>
      </c>
      <c r="AJ80" s="32">
        <f t="shared" si="105"/>
        <v>-3.1226345069853223E-2</v>
      </c>
      <c r="AK80" s="32">
        <f t="shared" si="105"/>
        <v>-4.0460197339927118E-2</v>
      </c>
      <c r="AL80" s="32">
        <f t="shared" si="106"/>
        <v>6.6956935348139179E-3</v>
      </c>
      <c r="AM80" s="33">
        <f t="shared" si="107"/>
        <v>-1.6017811897862333E-2</v>
      </c>
      <c r="AN80" s="581">
        <f t="shared" si="107"/>
        <v>2.4234515925187328E-2</v>
      </c>
      <c r="AO80" s="32">
        <f t="shared" si="108"/>
        <v>2.9294177509631369E-2</v>
      </c>
      <c r="AP80" s="32">
        <f t="shared" si="108"/>
        <v>2.6917635812058416E-2</v>
      </c>
      <c r="AQ80" s="32">
        <f t="shared" si="108"/>
        <v>3.4411290236423975E-2</v>
      </c>
      <c r="AR80" s="32">
        <f t="shared" si="108"/>
        <v>5.500000000000016E-2</v>
      </c>
      <c r="AS80" s="32">
        <f t="shared" si="109"/>
        <v>4.5354674354239011E-2</v>
      </c>
      <c r="AT80" s="32">
        <f t="shared" si="109"/>
        <v>7.4999999999999734E-2</v>
      </c>
      <c r="AU80" s="32">
        <f t="shared" si="109"/>
        <v>6.4999999999999947E-2</v>
      </c>
      <c r="AV80" s="32">
        <f t="shared" si="109"/>
        <v>6.9635721638378723E-2</v>
      </c>
      <c r="AW80" s="32">
        <f t="shared" si="109"/>
        <v>4.4999999999999929E-2</v>
      </c>
      <c r="AX80" s="32">
        <f t="shared" si="109"/>
        <v>4.4999999999999929E-2</v>
      </c>
      <c r="AY80" s="32">
        <f t="shared" si="109"/>
        <v>4.4999999999999929E-2</v>
      </c>
      <c r="AZ80" s="32">
        <f t="shared" si="109"/>
        <v>4.0000000000000036E-2</v>
      </c>
      <c r="BA80" s="32">
        <f t="shared" si="109"/>
        <v>4.0000000000000036E-2</v>
      </c>
      <c r="BB80" s="32">
        <f t="shared" si="109"/>
        <v>4.0000000000000036E-2</v>
      </c>
    </row>
    <row r="81" spans="2:54">
      <c r="B81" s="74" t="s">
        <v>160</v>
      </c>
      <c r="C81" s="73" t="s">
        <v>82</v>
      </c>
      <c r="D81" s="38"/>
      <c r="E81" s="38"/>
      <c r="F81" s="38"/>
      <c r="G81" s="38"/>
      <c r="H81" s="38"/>
      <c r="I81" s="38"/>
      <c r="J81" s="38"/>
      <c r="K81" s="38"/>
      <c r="L81" s="32"/>
      <c r="M81" s="32"/>
      <c r="N81" s="32"/>
      <c r="O81" s="32"/>
      <c r="P81" s="32"/>
      <c r="Q81" s="32"/>
      <c r="R81" s="32"/>
      <c r="S81" s="32"/>
      <c r="T81" s="32"/>
      <c r="U81" s="32"/>
      <c r="V81" s="32"/>
      <c r="W81" s="32"/>
      <c r="X81" s="32"/>
      <c r="Y81" s="32">
        <f t="shared" si="99"/>
        <v>0.18948763650510747</v>
      </c>
      <c r="Z81" s="32">
        <f t="shared" si="99"/>
        <v>-0.30359881024958901</v>
      </c>
      <c r="AA81" s="474">
        <f t="shared" si="99"/>
        <v>-0.13695599661206648</v>
      </c>
      <c r="AB81" s="32">
        <f t="shared" si="99"/>
        <v>0.1201885594106662</v>
      </c>
      <c r="AC81" s="32">
        <f t="shared" si="100"/>
        <v>0.17140308524890258</v>
      </c>
      <c r="AD81" s="32">
        <f t="shared" si="101"/>
        <v>0.14754785165764717</v>
      </c>
      <c r="AE81" s="32">
        <f t="shared" si="99"/>
        <v>0.11719491348476541</v>
      </c>
      <c r="AF81" s="32">
        <f t="shared" si="102"/>
        <v>-1.7069918726805078E-2</v>
      </c>
      <c r="AG81" s="32">
        <f t="shared" si="103"/>
        <v>4.3978317264758537E-2</v>
      </c>
      <c r="AH81" s="32">
        <f t="shared" si="99"/>
        <v>-3.9121747388414008E-2</v>
      </c>
      <c r="AI81" s="32">
        <f t="shared" si="104"/>
        <v>4.3823421835535115E-2</v>
      </c>
      <c r="AJ81" s="32">
        <f t="shared" si="105"/>
        <v>3.4645131383119754E-3</v>
      </c>
      <c r="AK81" s="32">
        <f t="shared" si="105"/>
        <v>0.12705691848862544</v>
      </c>
      <c r="AL81" s="32">
        <f t="shared" si="106"/>
        <v>-6.4558360774694901E-2</v>
      </c>
      <c r="AM81" s="33">
        <f t="shared" si="107"/>
        <v>2.4719710415934459E-2</v>
      </c>
      <c r="AN81" s="581">
        <f t="shared" si="107"/>
        <v>-4.184637574607919E-2</v>
      </c>
      <c r="AO81" s="32">
        <f t="shared" si="108"/>
        <v>5.804545225642288E-2</v>
      </c>
      <c r="AP81" s="32">
        <f t="shared" si="108"/>
        <v>6.8554224285017895E-3</v>
      </c>
      <c r="AQ81" s="32">
        <f t="shared" si="108"/>
        <v>8.7239969274154339E-2</v>
      </c>
      <c r="AR81" s="32">
        <f t="shared" si="108"/>
        <v>5.4553730100559861E-2</v>
      </c>
      <c r="AS81" s="32">
        <f t="shared" si="109"/>
        <v>7.049373349312793E-2</v>
      </c>
      <c r="AT81" s="32">
        <f t="shared" si="109"/>
        <v>6.0334358721499948E-2</v>
      </c>
      <c r="AU81" s="32">
        <f t="shared" si="109"/>
        <v>5.3226975881105476E-2</v>
      </c>
      <c r="AV81" s="32">
        <f t="shared" si="109"/>
        <v>5.6747233482572268E-2</v>
      </c>
      <c r="AW81" s="32">
        <f t="shared" si="109"/>
        <v>4.0222787181681374E-2</v>
      </c>
      <c r="AX81" s="32">
        <f t="shared" si="109"/>
        <v>4.0370270116170559E-2</v>
      </c>
      <c r="AY81" s="32">
        <f t="shared" si="109"/>
        <v>4.0296974462794344E-2</v>
      </c>
      <c r="AZ81" s="32">
        <f t="shared" si="109"/>
        <v>3.7158760975801508E-2</v>
      </c>
      <c r="BA81" s="32">
        <f t="shared" si="109"/>
        <v>3.8254000220122597E-2</v>
      </c>
      <c r="BB81" s="32">
        <f t="shared" si="109"/>
        <v>3.7709730121980645E-2</v>
      </c>
    </row>
    <row r="82" spans="2:54">
      <c r="D82" s="30"/>
      <c r="E82" s="30"/>
      <c r="F82" s="30"/>
      <c r="G82" s="30"/>
      <c r="H82" s="30"/>
      <c r="I82" s="30"/>
      <c r="J82" s="30"/>
      <c r="K82" s="30"/>
      <c r="L82" s="113"/>
      <c r="M82" s="113"/>
      <c r="N82" s="113"/>
      <c r="O82" s="113"/>
      <c r="P82" s="113"/>
      <c r="Q82" s="113"/>
      <c r="R82" s="113"/>
      <c r="S82" s="113"/>
      <c r="T82" s="113"/>
      <c r="U82" s="113"/>
      <c r="V82" s="113"/>
      <c r="W82" s="113"/>
      <c r="X82" s="113"/>
      <c r="Y82" s="113"/>
      <c r="Z82" s="113"/>
      <c r="AB82" s="113"/>
      <c r="AC82" s="113"/>
      <c r="AD82" s="113"/>
      <c r="AE82" s="113"/>
      <c r="AF82" s="113"/>
      <c r="AG82" s="113"/>
      <c r="AH82" s="113"/>
      <c r="AI82" s="113"/>
      <c r="AJ82" s="113"/>
      <c r="AK82" s="113"/>
      <c r="AL82" s="113"/>
      <c r="AM82" s="414"/>
      <c r="AN82" s="599"/>
      <c r="AO82" s="113"/>
      <c r="AP82" s="113"/>
      <c r="AQ82" s="113"/>
      <c r="AR82" s="113"/>
      <c r="AS82" s="113"/>
      <c r="AT82" s="113"/>
      <c r="AU82" s="113"/>
      <c r="AV82" s="113"/>
      <c r="AW82" s="113"/>
      <c r="AX82" s="113"/>
      <c r="AY82" s="113"/>
      <c r="AZ82" s="113"/>
      <c r="BA82" s="113"/>
      <c r="BB82" s="113"/>
    </row>
    <row r="83" spans="2:54">
      <c r="B83" s="7" t="s">
        <v>99</v>
      </c>
      <c r="C83" s="73" t="s">
        <v>82</v>
      </c>
      <c r="D83" s="38"/>
      <c r="E83" s="38"/>
      <c r="F83" s="38"/>
      <c r="G83" s="38"/>
      <c r="H83" s="38"/>
      <c r="I83" s="38"/>
      <c r="J83" s="38"/>
      <c r="K83" s="38"/>
      <c r="L83" s="32"/>
      <c r="M83" s="32"/>
      <c r="N83" s="32"/>
      <c r="O83" s="32"/>
      <c r="P83" s="32"/>
      <c r="Q83" s="32"/>
      <c r="R83" s="32"/>
      <c r="S83" s="32"/>
      <c r="T83" s="32"/>
      <c r="U83" s="32"/>
      <c r="V83" s="32"/>
      <c r="W83" s="32"/>
      <c r="X83" s="32"/>
      <c r="Y83" s="32">
        <f t="shared" ref="Y83:BB83" si="110">Y18/V18-1</f>
        <v>0.19098909557408605</v>
      </c>
      <c r="Z83" s="32">
        <f t="shared" si="110"/>
        <v>-0.3045229408498682</v>
      </c>
      <c r="AA83" s="474">
        <f t="shared" si="110"/>
        <v>-0.13838048676414816</v>
      </c>
      <c r="AB83" s="32">
        <f t="shared" si="110"/>
        <v>0.124188906219032</v>
      </c>
      <c r="AC83" s="32">
        <f t="shared" ref="AC83" si="111">AC18/Z18-1</f>
        <v>0.21020418037545996</v>
      </c>
      <c r="AD83" s="32">
        <f t="shared" ref="AD83" si="112">AD18/AA18-1</f>
        <v>0.1703389525897705</v>
      </c>
      <c r="AE83" s="32">
        <f t="shared" si="110"/>
        <v>0.1522799352285682</v>
      </c>
      <c r="AF83" s="32">
        <f t="shared" ref="AF83" si="113">AF18/AC18-1</f>
        <v>-1.2029369930419587E-2</v>
      </c>
      <c r="AG83" s="32">
        <f t="shared" ref="AG83" si="114">AG18/AD18-1</f>
        <v>6.1119642369642513E-2</v>
      </c>
      <c r="AH83" s="32">
        <f t="shared" si="110"/>
        <v>-1.9575918842507867E-2</v>
      </c>
      <c r="AI83" s="32">
        <f t="shared" ref="AI83" si="115">AI18/AF18-1</f>
        <v>2.1358688377623558E-2</v>
      </c>
      <c r="AJ83" s="32">
        <f t="shared" ref="AJ83" si="116">AJ18/AG18-1</f>
        <v>1.569381621833621E-3</v>
      </c>
      <c r="AK83" s="32">
        <f t="shared" si="110"/>
        <v>0.14756865226307769</v>
      </c>
      <c r="AL83" s="32">
        <f t="shared" ref="AL83" si="117">AL18/AI18-1</f>
        <v>-2.7530191626347733E-2</v>
      </c>
      <c r="AM83" s="33">
        <f t="shared" ref="AM83" si="118">AM18/AJ18-1</f>
        <v>5.5331951573103444E-2</v>
      </c>
      <c r="AN83" s="581">
        <f t="shared" si="110"/>
        <v>-4.6035253686116606E-2</v>
      </c>
      <c r="AO83" s="32">
        <f t="shared" si="110"/>
        <v>5.9647020709633347E-2</v>
      </c>
      <c r="AP83" s="32">
        <f t="shared" si="110"/>
        <v>5.2638376134790388E-3</v>
      </c>
      <c r="AQ83" s="32">
        <f t="shared" si="110"/>
        <v>9.0274195843898841E-2</v>
      </c>
      <c r="AR83" s="32">
        <f t="shared" si="110"/>
        <v>5.5260240638813629E-2</v>
      </c>
      <c r="AS83" s="32">
        <f t="shared" si="110"/>
        <v>7.2358657852925168E-2</v>
      </c>
      <c r="AT83" s="32">
        <f t="shared" si="110"/>
        <v>6.0811334145491891E-2</v>
      </c>
      <c r="AU83" s="32">
        <f t="shared" si="110"/>
        <v>5.3555874814109616E-2</v>
      </c>
      <c r="AV83" s="32">
        <f t="shared" si="110"/>
        <v>5.7158137017869537E-2</v>
      </c>
      <c r="AW83" s="32">
        <f t="shared" si="110"/>
        <v>4.0643697303494486E-2</v>
      </c>
      <c r="AX83" s="32">
        <f t="shared" si="110"/>
        <v>4.0787303069736991E-2</v>
      </c>
      <c r="AY83" s="32">
        <f t="shared" si="110"/>
        <v>4.0715757873017067E-2</v>
      </c>
      <c r="AZ83" s="32">
        <f t="shared" si="110"/>
        <v>3.7527271220106906E-2</v>
      </c>
      <c r="BA83" s="32">
        <f t="shared" si="110"/>
        <v>3.8702415289906256E-2</v>
      </c>
      <c r="BB83" s="32">
        <f t="shared" si="110"/>
        <v>3.81169924735556E-2</v>
      </c>
    </row>
    <row r="84" spans="2:54">
      <c r="B84" s="7" t="s">
        <v>108</v>
      </c>
      <c r="C84" s="73" t="s">
        <v>82</v>
      </c>
      <c r="D84" s="38"/>
      <c r="E84" s="38"/>
      <c r="F84" s="38"/>
      <c r="G84" s="38"/>
      <c r="H84" s="38"/>
      <c r="I84" s="38"/>
      <c r="J84" s="38"/>
      <c r="K84" s="38"/>
      <c r="L84" s="32"/>
      <c r="M84" s="32"/>
      <c r="N84" s="32"/>
      <c r="O84" s="32"/>
      <c r="P84" s="32"/>
      <c r="Q84" s="32"/>
      <c r="R84" s="32"/>
      <c r="S84" s="32"/>
      <c r="T84" s="32"/>
      <c r="U84" s="32"/>
      <c r="V84" s="32"/>
      <c r="W84" s="32"/>
      <c r="X84" s="32"/>
      <c r="Y84" s="32">
        <f t="shared" ref="Y84:BB84" si="119">Y14/V14-1</f>
        <v>0.18948763650510747</v>
      </c>
      <c r="Z84" s="32">
        <f t="shared" si="119"/>
        <v>-0.30359881024958901</v>
      </c>
      <c r="AA84" s="474">
        <f t="shared" si="119"/>
        <v>-0.13695599661206648</v>
      </c>
      <c r="AB84" s="32">
        <f t="shared" si="119"/>
        <v>0.1201885594106662</v>
      </c>
      <c r="AC84" s="32">
        <f t="shared" ref="AC84" si="120">AC14/Z14-1</f>
        <v>0.17140308524890258</v>
      </c>
      <c r="AD84" s="32">
        <f t="shared" ref="AD84" si="121">AD14/AA14-1</f>
        <v>0.14754785165764717</v>
      </c>
      <c r="AE84" s="32">
        <f t="shared" si="119"/>
        <v>0.11719491348476541</v>
      </c>
      <c r="AF84" s="32">
        <f t="shared" ref="AF84" si="122">AF14/AC14-1</f>
        <v>-1.7069918726805078E-2</v>
      </c>
      <c r="AG84" s="32">
        <f t="shared" ref="AG84" si="123">AG14/AD14-1</f>
        <v>4.3978317264758537E-2</v>
      </c>
      <c r="AH84" s="32">
        <f t="shared" si="119"/>
        <v>-3.9121747388414008E-2</v>
      </c>
      <c r="AI84" s="32">
        <f t="shared" ref="AI84" si="124">AI14/AF14-1</f>
        <v>4.3823421835535115E-2</v>
      </c>
      <c r="AJ84" s="32">
        <f t="shared" ref="AJ84" si="125">AJ14/AG14-1</f>
        <v>3.4645131383119754E-3</v>
      </c>
      <c r="AK84" s="32">
        <f t="shared" si="119"/>
        <v>0.12705691848862544</v>
      </c>
      <c r="AL84" s="32">
        <f t="shared" ref="AL84" si="126">AL14/AI14-1</f>
        <v>-6.4558360774694901E-2</v>
      </c>
      <c r="AM84" s="33">
        <f t="shared" ref="AM84" si="127">AM14/AJ14-1</f>
        <v>2.4719710415934459E-2</v>
      </c>
      <c r="AN84" s="581">
        <f t="shared" si="119"/>
        <v>-4.184637574607919E-2</v>
      </c>
      <c r="AO84" s="32">
        <f t="shared" si="119"/>
        <v>5.804545225642288E-2</v>
      </c>
      <c r="AP84" s="32">
        <f t="shared" si="119"/>
        <v>6.8554224285017895E-3</v>
      </c>
      <c r="AQ84" s="32">
        <f t="shared" si="119"/>
        <v>8.7239969274154339E-2</v>
      </c>
      <c r="AR84" s="32">
        <f t="shared" si="119"/>
        <v>5.4553730100559861E-2</v>
      </c>
      <c r="AS84" s="32">
        <f t="shared" si="119"/>
        <v>7.049373349312793E-2</v>
      </c>
      <c r="AT84" s="32">
        <f t="shared" si="119"/>
        <v>6.0334358721499948E-2</v>
      </c>
      <c r="AU84" s="32">
        <f t="shared" si="119"/>
        <v>5.3226975881105476E-2</v>
      </c>
      <c r="AV84" s="32">
        <f t="shared" si="119"/>
        <v>5.6747233482572268E-2</v>
      </c>
      <c r="AW84" s="32">
        <f t="shared" si="119"/>
        <v>4.0222787181681374E-2</v>
      </c>
      <c r="AX84" s="32">
        <f t="shared" si="119"/>
        <v>4.0370270116170559E-2</v>
      </c>
      <c r="AY84" s="32">
        <f t="shared" si="119"/>
        <v>4.0296974462794344E-2</v>
      </c>
      <c r="AZ84" s="32">
        <f t="shared" si="119"/>
        <v>3.7158760975801508E-2</v>
      </c>
      <c r="BA84" s="32">
        <f t="shared" si="119"/>
        <v>3.8254000220122597E-2</v>
      </c>
      <c r="BB84" s="32">
        <f t="shared" si="119"/>
        <v>3.7709730121980645E-2</v>
      </c>
    </row>
    <row r="85" spans="2:54">
      <c r="C85" s="73"/>
      <c r="D85" s="38"/>
      <c r="E85" s="38"/>
      <c r="F85" s="38"/>
      <c r="G85" s="38"/>
      <c r="H85" s="38"/>
      <c r="I85" s="38"/>
      <c r="J85" s="38"/>
      <c r="K85" s="38"/>
      <c r="L85" s="38"/>
      <c r="M85" s="38"/>
      <c r="N85" s="38"/>
      <c r="O85" s="38"/>
      <c r="P85" s="38"/>
      <c r="Q85" s="38"/>
      <c r="R85" s="38"/>
      <c r="S85" s="38"/>
      <c r="T85" s="38"/>
      <c r="U85" s="38"/>
      <c r="V85" s="38"/>
      <c r="W85" s="38"/>
      <c r="X85" s="38"/>
      <c r="Y85" s="38"/>
      <c r="Z85" s="38"/>
      <c r="AA85" s="474"/>
      <c r="AB85" s="38"/>
      <c r="AC85" s="38"/>
      <c r="AD85" s="38"/>
      <c r="AE85" s="38"/>
      <c r="AF85" s="38"/>
      <c r="AG85" s="38"/>
      <c r="AH85" s="38"/>
      <c r="AI85" s="38"/>
      <c r="AJ85" s="38"/>
      <c r="AK85" s="38"/>
      <c r="AL85" s="38"/>
      <c r="AM85" s="408"/>
      <c r="AN85" s="586"/>
      <c r="AO85" s="38"/>
      <c r="AP85" s="38"/>
      <c r="AQ85" s="38"/>
      <c r="AR85" s="38"/>
      <c r="AS85" s="38"/>
      <c r="AT85" s="38"/>
      <c r="AU85" s="38"/>
      <c r="AV85" s="38"/>
      <c r="AW85" s="38"/>
      <c r="AX85" s="38"/>
      <c r="AY85" s="38"/>
      <c r="AZ85" s="38"/>
      <c r="BA85" s="38"/>
      <c r="BB85" s="38"/>
    </row>
    <row r="86" spans="2:54">
      <c r="B86" s="83" t="s">
        <v>444</v>
      </c>
      <c r="C86" s="73"/>
      <c r="D86" s="38"/>
      <c r="E86" s="38"/>
      <c r="F86" s="38"/>
      <c r="G86" s="38"/>
      <c r="H86" s="38"/>
      <c r="I86" s="38"/>
      <c r="J86" s="38"/>
      <c r="K86" s="38"/>
      <c r="L86" s="38"/>
      <c r="M86" s="38"/>
      <c r="N86" s="38"/>
      <c r="O86" s="38"/>
      <c r="P86" s="38"/>
      <c r="Q86" s="38"/>
      <c r="R86" s="38"/>
      <c r="S86" s="38"/>
      <c r="T86" s="38"/>
      <c r="U86" s="38"/>
      <c r="V86" s="38"/>
      <c r="W86" s="38"/>
      <c r="X86" s="38"/>
      <c r="Y86" s="38"/>
      <c r="Z86" s="38"/>
      <c r="AA86" s="474"/>
      <c r="AB86" s="38"/>
      <c r="AC86" s="38"/>
      <c r="AD86" s="38"/>
      <c r="AE86" s="38"/>
      <c r="AF86" s="38"/>
      <c r="AG86" s="38"/>
      <c r="AH86" s="38"/>
      <c r="AI86" s="38"/>
      <c r="AJ86" s="38"/>
      <c r="AK86" s="38"/>
      <c r="AL86" s="38"/>
      <c r="AM86" s="408"/>
      <c r="AN86" s="586"/>
      <c r="AO86" s="38"/>
      <c r="AP86" s="38"/>
      <c r="AQ86" s="38"/>
      <c r="AR86" s="38"/>
      <c r="AS86" s="38"/>
      <c r="AT86" s="38"/>
      <c r="AU86" s="38"/>
      <c r="AV86" s="38"/>
      <c r="AW86" s="38"/>
      <c r="AX86" s="38"/>
      <c r="AY86" s="38"/>
      <c r="AZ86" s="38"/>
      <c r="BA86" s="38"/>
      <c r="BB86" s="38"/>
    </row>
    <row r="87" spans="2:54">
      <c r="B87" s="180" t="s">
        <v>274</v>
      </c>
      <c r="C87" s="73" t="s">
        <v>82</v>
      </c>
      <c r="D87" s="38"/>
      <c r="E87" s="38"/>
      <c r="F87" s="38"/>
      <c r="G87" s="38"/>
      <c r="H87" s="38"/>
      <c r="I87" s="32"/>
      <c r="J87" s="32"/>
      <c r="K87" s="32"/>
      <c r="L87" s="32"/>
      <c r="M87" s="32"/>
      <c r="N87" s="32"/>
      <c r="O87" s="32"/>
      <c r="P87" s="32"/>
      <c r="Q87" s="32"/>
      <c r="R87" s="32"/>
      <c r="S87" s="32"/>
      <c r="T87" s="32"/>
      <c r="U87" s="32"/>
      <c r="V87" s="32"/>
      <c r="W87" s="32"/>
      <c r="X87" s="32"/>
      <c r="Y87" s="32">
        <f>+'Asia Pacific'!Y11</f>
        <v>0.16217318357645527</v>
      </c>
      <c r="Z87" s="32">
        <f>+'Asia Pacific'!Z11</f>
        <v>-0.3247445384073292</v>
      </c>
      <c r="AA87" s="474">
        <f>+'Asia Pacific'!AA33</f>
        <v>0</v>
      </c>
      <c r="AB87" s="32">
        <f>+'Asia Pacific'!AB11</f>
        <v>0.11209359679990349</v>
      </c>
      <c r="AC87" s="32">
        <f>+'Asia Pacific'!AC11</f>
        <v>-4.6264804271456961E-2</v>
      </c>
      <c r="AD87" s="32">
        <f>+'Asia Pacific'!AD33</f>
        <v>0</v>
      </c>
      <c r="AE87" s="32">
        <f>+'Asia Pacific'!AE11</f>
        <v>-7.0496177700850926E-2</v>
      </c>
      <c r="AF87" s="32">
        <f>+'Asia Pacific'!AF11</f>
        <v>-0.14753009223073332</v>
      </c>
      <c r="AG87" s="32">
        <f>+'Asia Pacific'!AG33</f>
        <v>0</v>
      </c>
      <c r="AH87" s="32">
        <f>+'Asia Pacific'!AH33</f>
        <v>0</v>
      </c>
      <c r="AI87" s="32">
        <f>+'Asia Pacific'!AI11</f>
        <v>0.57013019758859351</v>
      </c>
      <c r="AJ87" s="32">
        <f>+'Asia Pacific'!AJ33</f>
        <v>0</v>
      </c>
      <c r="AK87" s="32">
        <f>+'Asia Pacific'!AK33</f>
        <v>0</v>
      </c>
      <c r="AL87" s="32">
        <f>+'Asia Pacific'!AL11</f>
        <v>-0.10763009408965163</v>
      </c>
      <c r="AM87" s="33">
        <f>+'Asia Pacific'!AM33</f>
        <v>0</v>
      </c>
      <c r="AN87" s="581">
        <f>+'Asia Pacific'!AN33</f>
        <v>0</v>
      </c>
      <c r="AO87" s="32">
        <f>+'Asia Pacific'!AO33</f>
        <v>2.3552035896666611E-2</v>
      </c>
      <c r="AP87" s="32">
        <f>+'Asia Pacific'!AP33</f>
        <v>7.788736505899041E-2</v>
      </c>
      <c r="AQ87" s="32">
        <f>+'Asia Pacific'!AQ33</f>
        <v>5.0696071630482439E-2</v>
      </c>
      <c r="AR87" s="32">
        <f>+'Asia Pacific'!AR33</f>
        <v>5.1520514539903237E-2</v>
      </c>
      <c r="AS87" s="32">
        <f>+'Asia Pacific'!AS33</f>
        <v>5.1035474943120551E-2</v>
      </c>
      <c r="AT87" s="32">
        <f>+'Asia Pacific'!AT33</f>
        <v>8.0169124245189488E-2</v>
      </c>
      <c r="AU87" s="32">
        <f>+'Asia Pacific'!AU33</f>
        <v>5.5495774022788949E-2</v>
      </c>
      <c r="AV87" s="32">
        <f>+'Asia Pacific'!AV33</f>
        <v>7.0007011988646672E-2</v>
      </c>
      <c r="AW87" s="32">
        <f>+'Asia Pacific'!AW33</f>
        <v>3.9345335591289249E-2</v>
      </c>
      <c r="AX87" s="32">
        <f>+'Asia Pacific'!AX33</f>
        <v>3.9245914252767078E-2</v>
      </c>
      <c r="AY87" s="32">
        <f>+'Asia Pacific'!AY33</f>
        <v>3.9304942662336861E-2</v>
      </c>
      <c r="AZ87" s="32">
        <f>+'Asia Pacific'!AZ33</f>
        <v>2.9345335591289247E-2</v>
      </c>
      <c r="BA87" s="32">
        <f>+'Asia Pacific'!BA33</f>
        <v>3.1768605273034344E-2</v>
      </c>
      <c r="BB87" s="32">
        <f>+'Asia Pacific'!BB33</f>
        <v>3.0329806351558908E-2</v>
      </c>
    </row>
    <row r="88" spans="2:54">
      <c r="B88" s="180" t="s">
        <v>275</v>
      </c>
      <c r="C88" s="73" t="s">
        <v>82</v>
      </c>
      <c r="D88" s="38"/>
      <c r="E88" s="38"/>
      <c r="F88" s="38"/>
      <c r="G88" s="38"/>
      <c r="H88" s="38"/>
      <c r="I88" s="32"/>
      <c r="J88" s="32"/>
      <c r="K88" s="32"/>
      <c r="L88" s="32"/>
      <c r="M88" s="32"/>
      <c r="N88" s="32"/>
      <c r="O88" s="32"/>
      <c r="P88" s="32"/>
      <c r="Q88" s="32"/>
      <c r="R88" s="32"/>
      <c r="S88" s="32"/>
      <c r="T88" s="32"/>
      <c r="U88" s="32"/>
      <c r="V88" s="32"/>
      <c r="W88" s="32"/>
      <c r="X88" s="32"/>
      <c r="Y88" s="32">
        <f>+Americas!Y9</f>
        <v>0.22163533715349004</v>
      </c>
      <c r="Z88" s="32">
        <f>+Americas!Z9</f>
        <v>-0.32261167642635447</v>
      </c>
      <c r="AA88" s="474">
        <f>+Americas!AA9</f>
        <v>-0.14786803732886533</v>
      </c>
      <c r="AB88" s="32">
        <f>+Americas!AB9</f>
        <v>0.15060199256423212</v>
      </c>
      <c r="AC88" s="32">
        <f>+Americas!AC9</f>
        <v>0.34568429754506158</v>
      </c>
      <c r="AD88" s="32">
        <f>+Americas!AD9</f>
        <v>0.25588810333041745</v>
      </c>
      <c r="AE88" s="32">
        <f>+Americas!AE9</f>
        <v>0.27962657087240772</v>
      </c>
      <c r="AF88" s="32">
        <f>+Americas!AF9</f>
        <v>1.205818469031783E-2</v>
      </c>
      <c r="AG88" s="32">
        <f>+Americas!AG9</f>
        <v>0.12489453404028827</v>
      </c>
      <c r="AH88" s="32">
        <f>+Americas!AH9</f>
        <v>3.3856781113539292E-4</v>
      </c>
      <c r="AI88" s="32">
        <f>+Americas!AI9</f>
        <v>-2.3666445545713399E-2</v>
      </c>
      <c r="AJ88" s="32">
        <f>+Americas!AJ9</f>
        <v>-1.2150817667805458E-2</v>
      </c>
      <c r="AK88" s="32">
        <f>+Americas!AK9</f>
        <v>3.3422255649701027E-2</v>
      </c>
      <c r="AL88" s="32">
        <f>+Americas!AL9</f>
        <v>-7.3666260333193456E-2</v>
      </c>
      <c r="AM88" s="33">
        <f>+Americas!AM9</f>
        <v>-2.1644512544614636E-2</v>
      </c>
      <c r="AN88" s="581">
        <f>+Americas!AN9</f>
        <v>-7.1910572341562728E-2</v>
      </c>
      <c r="AO88" s="32">
        <f>+Americas!AO9</f>
        <v>7.0000000000000007E-2</v>
      </c>
      <c r="AP88" s="32">
        <f>+Americas!AP9</f>
        <v>-2.8178606731187328E-3</v>
      </c>
      <c r="AQ88" s="32">
        <f>+Americas!AQ9</f>
        <v>0.06</v>
      </c>
      <c r="AR88" s="32">
        <f>+Americas!AR9</f>
        <v>0.06</v>
      </c>
      <c r="AS88" s="32">
        <f>+Americas!AS9</f>
        <v>6.0000000000000053E-2</v>
      </c>
      <c r="AT88" s="32">
        <f>+Americas!AT9</f>
        <v>0.05</v>
      </c>
      <c r="AU88" s="32">
        <f>+Americas!AU9</f>
        <v>0.05</v>
      </c>
      <c r="AV88" s="32">
        <f>+Americas!AV9</f>
        <v>5.0000000000000044E-2</v>
      </c>
      <c r="AW88" s="32">
        <f>+Americas!AW9</f>
        <v>0.04</v>
      </c>
      <c r="AX88" s="32">
        <f>+Americas!AX9</f>
        <v>0.04</v>
      </c>
      <c r="AY88" s="32">
        <f>+Americas!AY9</f>
        <v>4.0000000000000036E-2</v>
      </c>
      <c r="AZ88" s="32">
        <f>+Americas!AZ9</f>
        <v>0.04</v>
      </c>
      <c r="BA88" s="32">
        <f>+Americas!BA9</f>
        <v>0.04</v>
      </c>
      <c r="BB88" s="32">
        <f>+Americas!BB9</f>
        <v>4.0000000000000036E-2</v>
      </c>
    </row>
    <row r="89" spans="2:54">
      <c r="B89" s="180" t="s">
        <v>276</v>
      </c>
      <c r="C89" s="73" t="s">
        <v>82</v>
      </c>
      <c r="D89" s="38"/>
      <c r="E89" s="38"/>
      <c r="F89" s="38"/>
      <c r="G89" s="38"/>
      <c r="H89" s="38"/>
      <c r="I89" s="32"/>
      <c r="J89" s="32"/>
      <c r="K89" s="32"/>
      <c r="L89" s="32"/>
      <c r="M89" s="32"/>
      <c r="N89" s="32"/>
      <c r="O89" s="32"/>
      <c r="P89" s="32"/>
      <c r="Q89" s="32"/>
      <c r="R89" s="32"/>
      <c r="S89" s="32"/>
      <c r="T89" s="32"/>
      <c r="U89" s="32"/>
      <c r="V89" s="32"/>
      <c r="W89" s="32"/>
      <c r="X89" s="32"/>
      <c r="Y89" s="32">
        <f>+EMEA!Y30</f>
        <v>0.10805084745762694</v>
      </c>
      <c r="Z89" s="32">
        <f>+EMEA!Z30</f>
        <v>0.43295019157088155</v>
      </c>
      <c r="AA89" s="474">
        <f>+EMEA!AA30</f>
        <v>0.25535610885929372</v>
      </c>
      <c r="AB89" s="32">
        <f>+EMEA!AB30</f>
        <v>1.2428298279158811E-2</v>
      </c>
      <c r="AC89" s="32">
        <f>+EMEA!AC30</f>
        <v>6.2388591800357496E-3</v>
      </c>
      <c r="AD89" s="32">
        <f>+EMEA!AD30</f>
        <v>9.2250922509224953E-3</v>
      </c>
      <c r="AE89" s="32">
        <f>+EMEA!AE30</f>
        <v>2.6440037771482405E-2</v>
      </c>
      <c r="AF89" s="32">
        <f>+EMEA!AF30</f>
        <v>8.8573959255979773E-3</v>
      </c>
      <c r="AG89" s="32">
        <f>+EMEA!AG30</f>
        <v>1.7367458866544894E-2</v>
      </c>
      <c r="AH89" s="32">
        <f>+EMEA!AH30</f>
        <v>-6.7157313707451705E-2</v>
      </c>
      <c r="AI89" s="32">
        <f>+EMEA!AI30</f>
        <v>-5.1799824407374961E-2</v>
      </c>
      <c r="AJ89" s="32">
        <f>+EMEA!AJ30</f>
        <v>-5.9299191374663107E-2</v>
      </c>
      <c r="AK89" s="32">
        <f>+EMEA!AK30</f>
        <v>-7.0019723865877848E-2</v>
      </c>
      <c r="AL89" s="32">
        <f>+EMEA!AL30</f>
        <v>-1.6666666666666607E-2</v>
      </c>
      <c r="AM89" s="33">
        <f>+EMEA!AM30</f>
        <v>-4.2502387774594141E-2</v>
      </c>
      <c r="AN89" s="581">
        <f>+EMEA!AN30</f>
        <v>-1.2725344644750836E-2</v>
      </c>
      <c r="AO89" s="32">
        <f>+EMEA!AO30</f>
        <v>0</v>
      </c>
      <c r="AP89" s="32">
        <f>+EMEA!AP30</f>
        <v>-5.9850374064837064E-3</v>
      </c>
      <c r="AQ89" s="32">
        <f>+EMEA!AQ30</f>
        <v>0.04</v>
      </c>
      <c r="AR89" s="32">
        <f>+EMEA!AR30</f>
        <v>5.5E-2</v>
      </c>
      <c r="AS89" s="32">
        <f>+EMEA!AS30</f>
        <v>4.7992975413948757E-2</v>
      </c>
      <c r="AT89" s="32">
        <f>+EMEA!AT30</f>
        <v>7.4999999999999997E-2</v>
      </c>
      <c r="AU89" s="32">
        <f>+EMEA!AU30</f>
        <v>6.5000000000000002E-2</v>
      </c>
      <c r="AV89" s="32">
        <f>+EMEA!AV30</f>
        <v>6.9635721638378723E-2</v>
      </c>
      <c r="AW89" s="32">
        <f>+EMEA!AW30</f>
        <v>4.4999999999999998E-2</v>
      </c>
      <c r="AX89" s="32">
        <f>+EMEA!AX30</f>
        <v>4.4999999999999998E-2</v>
      </c>
      <c r="AY89" s="32">
        <f>+EMEA!AY30</f>
        <v>4.4999999999999929E-2</v>
      </c>
      <c r="AZ89" s="32">
        <f>+EMEA!AZ30</f>
        <v>0.04</v>
      </c>
      <c r="BA89" s="32">
        <f>+EMEA!BA30</f>
        <v>0.04</v>
      </c>
      <c r="BB89" s="32">
        <f>+EMEA!BB30</f>
        <v>4.0000000000000036E-2</v>
      </c>
    </row>
    <row r="90" spans="2:54">
      <c r="C90" s="73"/>
      <c r="I90" s="113"/>
      <c r="J90" s="113"/>
      <c r="K90" s="113"/>
      <c r="L90" s="113"/>
      <c r="M90" s="113"/>
      <c r="N90" s="113"/>
      <c r="O90" s="113"/>
      <c r="P90" s="113"/>
      <c r="Q90" s="113"/>
      <c r="R90" s="113"/>
      <c r="S90" s="113"/>
      <c r="T90" s="113"/>
      <c r="U90" s="113"/>
      <c r="V90" s="113"/>
      <c r="W90" s="113"/>
      <c r="X90" s="113"/>
      <c r="Y90" s="113"/>
      <c r="Z90" s="113"/>
      <c r="AB90" s="113"/>
      <c r="AC90" s="113"/>
      <c r="AD90" s="113"/>
      <c r="AE90" s="113"/>
      <c r="AF90" s="113"/>
      <c r="AG90" s="113"/>
      <c r="AH90" s="113"/>
      <c r="AI90" s="113"/>
      <c r="AJ90" s="113"/>
      <c r="AK90" s="113"/>
      <c r="AL90" s="113"/>
      <c r="AM90" s="414"/>
      <c r="AN90" s="599"/>
      <c r="AO90" s="113"/>
      <c r="AP90" s="113"/>
      <c r="AQ90" s="113"/>
      <c r="AR90" s="113"/>
      <c r="AS90" s="113"/>
      <c r="AT90" s="113"/>
      <c r="AU90" s="113"/>
      <c r="AV90" s="113"/>
      <c r="AW90" s="113"/>
      <c r="AX90" s="113"/>
      <c r="AY90" s="113"/>
      <c r="AZ90" s="113"/>
      <c r="BA90" s="113"/>
      <c r="BB90" s="113"/>
    </row>
    <row r="91" spans="2:54">
      <c r="B91" s="83" t="s">
        <v>100</v>
      </c>
      <c r="C91" s="73"/>
      <c r="I91" s="113"/>
      <c r="J91" s="113"/>
      <c r="K91" s="113"/>
      <c r="L91" s="113"/>
      <c r="M91" s="113"/>
      <c r="N91" s="113"/>
      <c r="O91" s="113"/>
      <c r="P91" s="113"/>
      <c r="Q91" s="113"/>
      <c r="R91" s="113"/>
      <c r="S91" s="113"/>
      <c r="T91" s="113"/>
      <c r="U91" s="113"/>
      <c r="V91" s="113"/>
      <c r="W91" s="113"/>
      <c r="X91" s="113"/>
      <c r="Y91" s="113"/>
      <c r="Z91" s="113"/>
      <c r="AB91" s="113"/>
      <c r="AC91" s="113"/>
      <c r="AD91" s="113"/>
      <c r="AE91" s="113"/>
      <c r="AF91" s="113"/>
      <c r="AG91" s="113"/>
      <c r="AH91" s="113"/>
      <c r="AI91" s="113"/>
      <c r="AJ91" s="113"/>
      <c r="AK91" s="113"/>
      <c r="AL91" s="113"/>
      <c r="AM91" s="414"/>
      <c r="AN91" s="599"/>
      <c r="AO91" s="113"/>
      <c r="AP91" s="113"/>
      <c r="AQ91" s="113"/>
      <c r="AR91" s="113"/>
      <c r="AS91" s="113"/>
      <c r="AT91" s="113"/>
      <c r="AU91" s="113"/>
      <c r="AV91" s="113"/>
      <c r="AW91" s="113"/>
      <c r="AX91" s="113"/>
      <c r="AY91" s="113"/>
      <c r="AZ91" s="113"/>
      <c r="BA91" s="113"/>
      <c r="BB91" s="113"/>
    </row>
    <row r="92" spans="2:54">
      <c r="B92" s="180" t="s">
        <v>274</v>
      </c>
      <c r="C92" s="73" t="s">
        <v>82</v>
      </c>
      <c r="D92" s="38"/>
      <c r="E92" s="38"/>
      <c r="F92" s="38"/>
      <c r="G92" s="38"/>
      <c r="H92" s="38"/>
      <c r="I92" s="32"/>
      <c r="J92" s="32"/>
      <c r="K92" s="32"/>
      <c r="L92" s="32"/>
      <c r="M92" s="32"/>
      <c r="N92" s="32"/>
      <c r="O92" s="32"/>
      <c r="P92" s="32"/>
      <c r="Q92" s="32"/>
      <c r="R92" s="32"/>
      <c r="S92" s="32"/>
      <c r="T92" s="32"/>
      <c r="U92" s="32"/>
      <c r="V92" s="32">
        <f t="shared" ref="V92:AJ92" si="128">V42/V11</f>
        <v>0.12563499091205668</v>
      </c>
      <c r="W92" s="32">
        <f t="shared" si="128"/>
        <v>0.12130021141649049</v>
      </c>
      <c r="X92" s="32">
        <f t="shared" si="128"/>
        <v>0.12282027815457026</v>
      </c>
      <c r="Y92" s="32">
        <f t="shared" ref="Y92:AA94" si="129">Y42/Y11</f>
        <v>0.16852637172045271</v>
      </c>
      <c r="Z92" s="32">
        <f t="shared" si="129"/>
        <v>0.21510105575071986</v>
      </c>
      <c r="AA92" s="474">
        <f t="shared" si="129"/>
        <v>0.19266506973689293</v>
      </c>
      <c r="AB92" s="32">
        <f t="shared" ref="AB92:AD92" si="130">AB42/AB11</f>
        <v>0.16837047454204529</v>
      </c>
      <c r="AC92" s="32">
        <f t="shared" si="130"/>
        <v>0.13447709863998747</v>
      </c>
      <c r="AD92" s="32">
        <f t="shared" si="130"/>
        <v>0.15210521380345085</v>
      </c>
      <c r="AE92" s="32">
        <f t="shared" ref="AE92:AG92" si="131">AE42/AE11</f>
        <v>0.13905807502812587</v>
      </c>
      <c r="AF92" s="32">
        <f t="shared" si="131"/>
        <v>9.2055196442488371E-2</v>
      </c>
      <c r="AG92" s="32">
        <f t="shared" si="131"/>
        <v>0.11751418365202772</v>
      </c>
      <c r="AH92" s="32">
        <f t="shared" si="128"/>
        <v>5.2914275579878142E-2</v>
      </c>
      <c r="AI92" s="32">
        <f t="shared" si="128"/>
        <v>4.6409775396541529E-2</v>
      </c>
      <c r="AJ92" s="32">
        <f t="shared" si="128"/>
        <v>4.8787603734439841E-2</v>
      </c>
      <c r="AK92" s="32">
        <f t="shared" ref="AK92:AM92" si="132">AK42/AK11</f>
        <v>6.1375661375661389E-2</v>
      </c>
      <c r="AL92" s="32">
        <f t="shared" si="132"/>
        <v>-2.6339037398161258E-3</v>
      </c>
      <c r="AM92" s="33">
        <f t="shared" si="132"/>
        <v>3.2659711493649712E-2</v>
      </c>
      <c r="AN92" s="581">
        <f t="shared" ref="AN92" si="133">AN42/AN11</f>
        <v>2.9498525073746316E-2</v>
      </c>
      <c r="AO92" s="32">
        <f t="shared" ref="AO92:BB92" si="134">AO42/AO11</f>
        <v>3.3434550698336285E-2</v>
      </c>
      <c r="AP92" s="32">
        <f t="shared" si="134"/>
        <v>3.1319537805883903E-2</v>
      </c>
      <c r="AQ92" s="32">
        <f t="shared" si="134"/>
        <v>4.8269781453986256E-2</v>
      </c>
      <c r="AR92" s="32">
        <f t="shared" si="134"/>
        <v>3.578064178160488E-2</v>
      </c>
      <c r="AS92" s="32">
        <f t="shared" si="134"/>
        <v>4.296133250764856E-2</v>
      </c>
      <c r="AT92" s="32">
        <f t="shared" si="134"/>
        <v>6.4243722518359414E-2</v>
      </c>
      <c r="AU92" s="32">
        <f t="shared" si="134"/>
        <v>5.6738440243154359E-2</v>
      </c>
      <c r="AV92" s="32">
        <f t="shared" si="134"/>
        <v>6.1093652886991909E-2</v>
      </c>
      <c r="AW92" s="32">
        <f t="shared" si="134"/>
        <v>6.5009490804227035E-2</v>
      </c>
      <c r="AX92" s="32">
        <f t="shared" si="134"/>
        <v>5.7735932896851215E-2</v>
      </c>
      <c r="AY92" s="32">
        <f t="shared" si="134"/>
        <v>6.1958422167251136E-2</v>
      </c>
      <c r="AZ92" s="32">
        <f t="shared" si="134"/>
        <v>6.537709701859766E-2</v>
      </c>
      <c r="BA92" s="32">
        <f t="shared" si="134"/>
        <v>5.8341645133414367E-2</v>
      </c>
      <c r="BB92" s="32">
        <f t="shared" si="134"/>
        <v>6.2423215090027677E-2</v>
      </c>
    </row>
    <row r="93" spans="2:54">
      <c r="B93" s="180" t="s">
        <v>275</v>
      </c>
      <c r="C93" s="73" t="s">
        <v>82</v>
      </c>
      <c r="D93" s="38"/>
      <c r="E93" s="38"/>
      <c r="F93" s="38"/>
      <c r="G93" s="38"/>
      <c r="H93" s="38"/>
      <c r="I93" s="32"/>
      <c r="J93" s="32"/>
      <c r="K93" s="32"/>
      <c r="L93" s="32"/>
      <c r="M93" s="32"/>
      <c r="N93" s="32"/>
      <c r="O93" s="32"/>
      <c r="P93" s="32"/>
      <c r="Q93" s="32"/>
      <c r="R93" s="32"/>
      <c r="S93" s="32"/>
      <c r="T93" s="32"/>
      <c r="U93" s="32"/>
      <c r="V93" s="32">
        <f t="shared" ref="V93:AJ93" si="135">V43/V12</f>
        <v>0.1181616030592219</v>
      </c>
      <c r="W93" s="32">
        <f t="shared" si="135"/>
        <v>8.4872356584295303E-2</v>
      </c>
      <c r="X93" s="32">
        <f t="shared" si="135"/>
        <v>9.5566737065985508E-2</v>
      </c>
      <c r="Y93" s="32">
        <f t="shared" si="129"/>
        <v>0.16046360679735672</v>
      </c>
      <c r="Z93" s="32">
        <f t="shared" si="129"/>
        <v>0.17104891981475828</v>
      </c>
      <c r="AA93" s="474">
        <f t="shared" si="129"/>
        <v>0.16618197519183944</v>
      </c>
      <c r="AB93" s="32">
        <f t="shared" ref="AB93:AD93" si="136">AB43/AB12</f>
        <v>0.14232995680157803</v>
      </c>
      <c r="AC93" s="32">
        <f t="shared" si="136"/>
        <v>0.14000590299412985</v>
      </c>
      <c r="AD93" s="32">
        <f t="shared" si="136"/>
        <v>0.14098602731828688</v>
      </c>
      <c r="AE93" s="32">
        <f t="shared" ref="AE93:AG93" si="137">AE43/AE12</f>
        <v>0.13493660696317167</v>
      </c>
      <c r="AF93" s="32">
        <f t="shared" si="137"/>
        <v>0.15847731422952666</v>
      </c>
      <c r="AG93" s="32">
        <f t="shared" si="137"/>
        <v>0.1471751066490351</v>
      </c>
      <c r="AH93" s="32">
        <f t="shared" si="135"/>
        <v>0.16238714972446947</v>
      </c>
      <c r="AI93" s="32">
        <f t="shared" si="135"/>
        <v>0.18336890301333922</v>
      </c>
      <c r="AJ93" s="32">
        <f t="shared" si="135"/>
        <v>0.17317418594767783</v>
      </c>
      <c r="AK93" s="32">
        <f t="shared" ref="AK93:AM93" si="138">AK43/AK12</f>
        <v>0.17089555626163133</v>
      </c>
      <c r="AL93" s="32">
        <f t="shared" si="138"/>
        <v>0.1728589872328217</v>
      </c>
      <c r="AM93" s="33">
        <f t="shared" si="138"/>
        <v>0.1718517138599106</v>
      </c>
      <c r="AN93" s="581">
        <f t="shared" ref="AN93" si="139">AN43/AN12</f>
        <v>0.1264253418008153</v>
      </c>
      <c r="AO93" s="32">
        <f t="shared" ref="AO93:BB93" si="140">AO43/AO12</f>
        <v>0.15229210275315658</v>
      </c>
      <c r="AP93" s="32">
        <f t="shared" si="140"/>
        <v>0.13993986179801454</v>
      </c>
      <c r="AQ93" s="32">
        <f t="shared" si="140"/>
        <v>0.16303891633540452</v>
      </c>
      <c r="AR93" s="32">
        <f t="shared" si="140"/>
        <v>0.17128867862150904</v>
      </c>
      <c r="AS93" s="32">
        <f t="shared" si="140"/>
        <v>0.1673487254949578</v>
      </c>
      <c r="AT93" s="32">
        <f t="shared" si="140"/>
        <v>0.16670729476172158</v>
      </c>
      <c r="AU93" s="32">
        <f t="shared" si="140"/>
        <v>0.17469694757966703</v>
      </c>
      <c r="AV93" s="32">
        <f t="shared" si="140"/>
        <v>0.17088124895057585</v>
      </c>
      <c r="AW93" s="32">
        <f t="shared" si="140"/>
        <v>0.16997135352279086</v>
      </c>
      <c r="AX93" s="32">
        <f t="shared" si="140"/>
        <v>0.17791432532885404</v>
      </c>
      <c r="AY93" s="32">
        <f t="shared" si="140"/>
        <v>0.17412099854727051</v>
      </c>
      <c r="AZ93" s="32">
        <f t="shared" si="140"/>
        <v>0.17322128885284019</v>
      </c>
      <c r="BA93" s="32">
        <f t="shared" si="140"/>
        <v>0.18111701328072782</v>
      </c>
      <c r="BB93" s="32">
        <f t="shared" si="140"/>
        <v>0.17734625093054465</v>
      </c>
    </row>
    <row r="94" spans="2:54">
      <c r="B94" s="180" t="s">
        <v>276</v>
      </c>
      <c r="C94" s="73" t="s">
        <v>82</v>
      </c>
      <c r="D94" s="38"/>
      <c r="E94" s="38"/>
      <c r="F94" s="38"/>
      <c r="G94" s="38"/>
      <c r="H94" s="38"/>
      <c r="I94" s="32"/>
      <c r="J94" s="32"/>
      <c r="K94" s="32"/>
      <c r="L94" s="32"/>
      <c r="M94" s="32"/>
      <c r="N94" s="32"/>
      <c r="O94" s="32"/>
      <c r="P94" s="32"/>
      <c r="Q94" s="32"/>
      <c r="R94" s="32"/>
      <c r="S94" s="32"/>
      <c r="T94" s="32"/>
      <c r="U94" s="32"/>
      <c r="V94" s="32">
        <f t="shared" ref="V94:AJ94" si="141">V44/V13</f>
        <v>0.24598178972347981</v>
      </c>
      <c r="W94" s="32">
        <f t="shared" si="141"/>
        <v>0.15438639184289293</v>
      </c>
      <c r="X94" s="32">
        <f t="shared" si="141"/>
        <v>0.18795000909654364</v>
      </c>
      <c r="Y94" s="32">
        <f t="shared" si="129"/>
        <v>0.27659293883202801</v>
      </c>
      <c r="Z94" s="32">
        <f t="shared" si="129"/>
        <v>0.28328156451166886</v>
      </c>
      <c r="AA94" s="474">
        <f t="shared" si="129"/>
        <v>0.28015493575166445</v>
      </c>
      <c r="AB94" s="32">
        <f t="shared" ref="AB94:AD94" si="142">AB44/AB13</f>
        <v>0.28332019200177061</v>
      </c>
      <c r="AC94" s="32">
        <f t="shared" si="142"/>
        <v>0.30164419217901456</v>
      </c>
      <c r="AD94" s="32">
        <f t="shared" si="142"/>
        <v>0.29255065370133282</v>
      </c>
      <c r="AE94" s="32">
        <f t="shared" ref="AE94:AG94" si="143">AE44/AE13</f>
        <v>0.26933890964341378</v>
      </c>
      <c r="AF94" s="32">
        <f t="shared" si="143"/>
        <v>0.27471462491087439</v>
      </c>
      <c r="AG94" s="32">
        <f t="shared" si="143"/>
        <v>0.27219245834895017</v>
      </c>
      <c r="AH94" s="32">
        <f t="shared" si="141"/>
        <v>0.22957893990818104</v>
      </c>
      <c r="AI94" s="32">
        <f t="shared" si="141"/>
        <v>0.24001317185613399</v>
      </c>
      <c r="AJ94" s="32">
        <f t="shared" si="141"/>
        <v>0.23498733140143524</v>
      </c>
      <c r="AK94" s="32">
        <f t="shared" ref="AK94:AM94" si="144">AK44/AK13</f>
        <v>0.22732681717835718</v>
      </c>
      <c r="AL94" s="32">
        <f t="shared" si="144"/>
        <v>0.22679363233263067</v>
      </c>
      <c r="AM94" s="33">
        <f t="shared" si="144"/>
        <v>0.22704407122014023</v>
      </c>
      <c r="AN94" s="581">
        <f t="shared" ref="AN94" si="145">AN44/AN13</f>
        <v>0.19871157975705908</v>
      </c>
      <c r="AO94" s="32">
        <f t="shared" ref="AO94:BB94" si="146">AO44/AO13</f>
        <v>0.22746233521657255</v>
      </c>
      <c r="AP94" s="32">
        <f t="shared" si="146"/>
        <v>0.2139932833841334</v>
      </c>
      <c r="AQ94" s="32">
        <f t="shared" si="146"/>
        <v>0.23742225068164913</v>
      </c>
      <c r="AR94" s="32">
        <f t="shared" si="146"/>
        <v>0.24498112298176555</v>
      </c>
      <c r="AS94" s="32">
        <f t="shared" si="146"/>
        <v>0.24147704019342633</v>
      </c>
      <c r="AT94" s="32">
        <f t="shared" si="146"/>
        <v>0.24077739134444853</v>
      </c>
      <c r="AU94" s="32">
        <f t="shared" si="146"/>
        <v>0.24730586426422618</v>
      </c>
      <c r="AV94" s="32">
        <f t="shared" si="146"/>
        <v>0.24426426830215092</v>
      </c>
      <c r="AW94" s="32">
        <f t="shared" si="146"/>
        <v>0.24226597049888754</v>
      </c>
      <c r="AX94" s="32">
        <f t="shared" si="146"/>
        <v>0.24856648952106286</v>
      </c>
      <c r="AY94" s="32">
        <f t="shared" si="146"/>
        <v>0.24563109659651361</v>
      </c>
      <c r="AZ94" s="32">
        <f t="shared" si="146"/>
        <v>0.24343393260467816</v>
      </c>
      <c r="BA94" s="32">
        <f t="shared" si="146"/>
        <v>0.24955559549181167</v>
      </c>
      <c r="BB94" s="32">
        <f t="shared" si="146"/>
        <v>0.24670353110439816</v>
      </c>
    </row>
    <row r="95" spans="2:54">
      <c r="B95" s="7" t="s">
        <v>91</v>
      </c>
      <c r="C95" s="73" t="s">
        <v>82</v>
      </c>
      <c r="D95" s="38"/>
      <c r="E95" s="38"/>
      <c r="F95" s="38"/>
      <c r="G95" s="38"/>
      <c r="H95" s="38"/>
      <c r="I95" s="32"/>
      <c r="J95" s="32"/>
      <c r="K95" s="32"/>
      <c r="L95" s="32"/>
      <c r="M95" s="32"/>
      <c r="N95" s="32"/>
      <c r="O95" s="32"/>
      <c r="P95" s="32"/>
      <c r="Q95" s="32"/>
      <c r="R95" s="32"/>
      <c r="S95" s="32"/>
      <c r="T95" s="32"/>
      <c r="U95" s="32"/>
      <c r="V95" s="32">
        <f t="shared" ref="V95:AJ95" si="147">V47</f>
        <v>0.1492666950156975</v>
      </c>
      <c r="W95" s="32">
        <f t="shared" si="147"/>
        <v>0.10610994106671101</v>
      </c>
      <c r="X95" s="32">
        <f t="shared" si="147"/>
        <v>0.12069513794822088</v>
      </c>
      <c r="Y95" s="32">
        <f t="shared" ref="Y95:AD95" si="148">Y47</f>
        <v>0.18846433230268386</v>
      </c>
      <c r="Z95" s="32">
        <f t="shared" si="148"/>
        <v>0.19824813306628111</v>
      </c>
      <c r="AA95" s="474">
        <f t="shared" si="148"/>
        <v>0.19369093276410307</v>
      </c>
      <c r="AB95" s="32">
        <f t="shared" si="148"/>
        <v>0.17628805252874361</v>
      </c>
      <c r="AC95" s="32">
        <f t="shared" si="148"/>
        <v>0.16637509094048739</v>
      </c>
      <c r="AD95" s="32">
        <f t="shared" si="148"/>
        <v>0.17088236815110919</v>
      </c>
      <c r="AE95" s="32">
        <f t="shared" ref="AE95:AG95" si="149">AE47</f>
        <v>0.15583057929724595</v>
      </c>
      <c r="AF95" s="32">
        <f t="shared" si="149"/>
        <v>0.17192697488357625</v>
      </c>
      <c r="AG95" s="32">
        <f t="shared" si="149"/>
        <v>0.16409489779094774</v>
      </c>
      <c r="AH95" s="32">
        <f t="shared" si="147"/>
        <v>0.15304612114905961</v>
      </c>
      <c r="AI95" s="32">
        <f t="shared" si="147"/>
        <v>0.16250574233768675</v>
      </c>
      <c r="AJ95" s="32">
        <f t="shared" si="147"/>
        <v>0.15809828204975185</v>
      </c>
      <c r="AK95" s="32">
        <f t="shared" ref="AK95:AM95" si="150">AK47</f>
        <v>0.15327348798837143</v>
      </c>
      <c r="AL95" s="32">
        <f t="shared" si="150"/>
        <v>0.14700434460728939</v>
      </c>
      <c r="AM95" s="33">
        <f t="shared" si="150"/>
        <v>0.15021699616338127</v>
      </c>
      <c r="AN95" s="581">
        <f t="shared" ref="AN95" si="151">AN47</f>
        <v>0.11135289009680763</v>
      </c>
      <c r="AO95" s="32">
        <f t="shared" ref="AO95:BB95" si="152">AO47</f>
        <v>0.1386530309560268</v>
      </c>
      <c r="AP95" s="32">
        <f t="shared" si="152"/>
        <v>0.12533965049636592</v>
      </c>
      <c r="AQ95" s="32">
        <f t="shared" si="152"/>
        <v>0.14163469625243894</v>
      </c>
      <c r="AR95" s="32">
        <f t="shared" si="152"/>
        <v>0.15520302875246397</v>
      </c>
      <c r="AS95" s="32">
        <f t="shared" si="152"/>
        <v>0.14848268925548611</v>
      </c>
      <c r="AT95" s="32">
        <f t="shared" si="152"/>
        <v>0.14844072747992137</v>
      </c>
      <c r="AU95" s="32">
        <f t="shared" si="152"/>
        <v>0.16201884861005625</v>
      </c>
      <c r="AV95" s="32">
        <f t="shared" si="152"/>
        <v>0.15527083221547222</v>
      </c>
      <c r="AW95" s="32">
        <f t="shared" si="152"/>
        <v>0.15114645619218012</v>
      </c>
      <c r="AX95" s="32">
        <f t="shared" si="152"/>
        <v>0.16485205686409035</v>
      </c>
      <c r="AY95" s="32">
        <f t="shared" si="152"/>
        <v>0.15804117178900287</v>
      </c>
      <c r="AZ95" s="32">
        <f t="shared" si="152"/>
        <v>0.15379148800509174</v>
      </c>
      <c r="BA95" s="32">
        <f t="shared" si="152"/>
        <v>0.16757977440318331</v>
      </c>
      <c r="BB95" s="32">
        <f t="shared" si="152"/>
        <v>0.16073143737671705</v>
      </c>
    </row>
    <row r="96" spans="2:54">
      <c r="B96" s="7" t="s">
        <v>200</v>
      </c>
      <c r="C96" s="73"/>
      <c r="D96" s="38"/>
      <c r="E96" s="38"/>
      <c r="F96" s="38"/>
      <c r="G96" s="38"/>
      <c r="H96" s="38"/>
      <c r="I96" s="32"/>
      <c r="J96" s="32"/>
      <c r="K96" s="32"/>
      <c r="L96" s="32"/>
      <c r="M96" s="32"/>
      <c r="N96" s="32"/>
      <c r="O96" s="32"/>
      <c r="P96" s="32"/>
      <c r="Q96" s="32"/>
      <c r="R96" s="32"/>
      <c r="S96" s="32"/>
      <c r="T96" s="32"/>
      <c r="U96" s="32"/>
      <c r="V96" s="32"/>
      <c r="W96" s="32"/>
      <c r="X96" s="32"/>
      <c r="Y96" s="32"/>
      <c r="Z96" s="32"/>
      <c r="AA96" s="474"/>
      <c r="AB96" s="32"/>
      <c r="AC96" s="32"/>
      <c r="AD96" s="32"/>
      <c r="AE96" s="32"/>
      <c r="AF96" s="32"/>
      <c r="AG96" s="32"/>
      <c r="AH96" s="32"/>
      <c r="AI96" s="32"/>
      <c r="AJ96" s="32"/>
      <c r="AK96" s="32"/>
      <c r="AL96" s="32"/>
      <c r="AM96" s="33"/>
      <c r="AN96" s="581"/>
      <c r="AO96" s="32"/>
      <c r="AP96" s="32"/>
      <c r="AQ96" s="32"/>
      <c r="AR96" s="32"/>
      <c r="AS96" s="32"/>
      <c r="AT96" s="32"/>
      <c r="AU96" s="32"/>
      <c r="AV96" s="32"/>
      <c r="AW96" s="32"/>
      <c r="AX96" s="32"/>
      <c r="AY96" s="32"/>
      <c r="AZ96" s="32"/>
      <c r="BA96" s="32"/>
      <c r="BB96" s="32"/>
    </row>
    <row r="97" spans="1:62">
      <c r="C97" s="73"/>
      <c r="F97" s="38"/>
      <c r="G97" s="38"/>
      <c r="H97" s="38"/>
      <c r="I97" s="32"/>
      <c r="J97" s="32"/>
      <c r="K97" s="32"/>
      <c r="L97" s="113"/>
      <c r="M97" s="113"/>
      <c r="N97" s="113"/>
      <c r="O97" s="113"/>
      <c r="P97" s="113"/>
      <c r="Q97" s="113"/>
      <c r="R97" s="113"/>
      <c r="S97" s="113"/>
      <c r="T97" s="113"/>
      <c r="U97" s="113"/>
      <c r="V97" s="113"/>
      <c r="W97" s="113"/>
      <c r="X97" s="113"/>
      <c r="Y97" s="113"/>
      <c r="Z97" s="113"/>
      <c r="AB97" s="113"/>
      <c r="AC97" s="113"/>
      <c r="AD97" s="113"/>
      <c r="AE97" s="113"/>
      <c r="AF97" s="113"/>
      <c r="AG97" s="113"/>
      <c r="AH97" s="113"/>
      <c r="AI97" s="113"/>
      <c r="AJ97" s="113"/>
      <c r="AK97" s="113"/>
      <c r="AL97" s="113"/>
      <c r="AM97" s="414"/>
      <c r="AN97" s="599"/>
      <c r="AP97" s="113"/>
      <c r="AS97" s="113"/>
      <c r="AV97" s="113"/>
      <c r="AY97" s="113"/>
      <c r="BB97" s="113"/>
    </row>
    <row r="98" spans="1:62">
      <c r="B98" s="83" t="s">
        <v>22</v>
      </c>
      <c r="C98" s="73" t="s">
        <v>82</v>
      </c>
      <c r="D98" s="38"/>
      <c r="E98" s="38"/>
      <c r="F98" s="38"/>
      <c r="G98" s="38"/>
      <c r="H98" s="38"/>
      <c r="I98" s="32"/>
      <c r="J98" s="32"/>
      <c r="K98" s="32"/>
      <c r="L98" s="32"/>
      <c r="M98" s="32"/>
      <c r="N98" s="32"/>
      <c r="O98" s="32"/>
      <c r="P98" s="32"/>
      <c r="Q98" s="32"/>
      <c r="R98" s="32"/>
      <c r="S98" s="32"/>
      <c r="T98" s="32"/>
      <c r="U98" s="32"/>
      <c r="V98" s="32">
        <f t="shared" ref="V98:AJ98" si="153">V37/V14</f>
        <v>0.19564450315307572</v>
      </c>
      <c r="W98" s="32">
        <f t="shared" si="153"/>
        <v>0.15346209979862918</v>
      </c>
      <c r="X98" s="32">
        <f t="shared" si="153"/>
        <v>0.16771800650067423</v>
      </c>
      <c r="Y98" s="32">
        <f t="shared" ref="Y98:AD98" si="154">Y37/Y14</f>
        <v>0.22819567887853168</v>
      </c>
      <c r="Z98" s="32">
        <f t="shared" si="154"/>
        <v>0.23331863219747714</v>
      </c>
      <c r="AA98" s="32">
        <f t="shared" si="154"/>
        <v>0.23093240981036486</v>
      </c>
      <c r="AB98" s="32">
        <f t="shared" si="154"/>
        <v>0.21297193793106955</v>
      </c>
      <c r="AC98" s="32">
        <f t="shared" si="154"/>
        <v>0.20260691345862594</v>
      </c>
      <c r="AD98" s="32">
        <f t="shared" si="154"/>
        <v>0.20731973698530326</v>
      </c>
      <c r="AE98" s="32">
        <f t="shared" ref="AE98:AG98" si="155">AE37/AE14</f>
        <v>0.19464387464387464</v>
      </c>
      <c r="AF98" s="32">
        <f t="shared" si="155"/>
        <v>0.21094656747968885</v>
      </c>
      <c r="AG98" s="32">
        <f t="shared" si="155"/>
        <v>0.20301411164367711</v>
      </c>
      <c r="AH98" s="32">
        <f t="shared" si="153"/>
        <v>0.19735031895480235</v>
      </c>
      <c r="AI98" s="32">
        <f t="shared" si="153"/>
        <v>0.20669518636903542</v>
      </c>
      <c r="AJ98" s="32">
        <f t="shared" si="153"/>
        <v>0.20234119256706729</v>
      </c>
      <c r="AK98" s="32">
        <f t="shared" ref="AK98:AM98" si="156">AK37/AK14</f>
        <v>0.20176056436835477</v>
      </c>
      <c r="AL98" s="32">
        <f t="shared" si="156"/>
        <v>0.19746874271843232</v>
      </c>
      <c r="AM98" s="33">
        <f t="shared" si="156"/>
        <v>0.19966810659702852</v>
      </c>
      <c r="AN98" s="581">
        <f t="shared" ref="AN98" si="157">AN37/AN14</f>
        <v>0.16268683161981023</v>
      </c>
      <c r="AO98" s="32">
        <f t="shared" ref="AO98:BB98" si="158">AO37/AO14</f>
        <v>0.18766329347600422</v>
      </c>
      <c r="AP98" s="32">
        <f t="shared" si="158"/>
        <v>0.17548309481173885</v>
      </c>
      <c r="AQ98" s="32">
        <f t="shared" si="158"/>
        <v>0.18977085047128028</v>
      </c>
      <c r="AR98" s="32">
        <f t="shared" si="158"/>
        <v>0.20258478254454876</v>
      </c>
      <c r="AS98" s="32">
        <f t="shared" si="158"/>
        <v>0.19623809448811896</v>
      </c>
      <c r="AT98" s="32">
        <f t="shared" si="158"/>
        <v>0.19472407098793107</v>
      </c>
      <c r="AU98" s="32">
        <f t="shared" si="158"/>
        <v>0.20799791915469662</v>
      </c>
      <c r="AV98" s="32">
        <f t="shared" si="158"/>
        <v>0.20140111948042067</v>
      </c>
      <c r="AW98" s="32">
        <f t="shared" si="158"/>
        <v>0.19650910834762189</v>
      </c>
      <c r="AX98" s="32">
        <f t="shared" si="158"/>
        <v>0.20991021427074077</v>
      </c>
      <c r="AY98" s="32">
        <f t="shared" si="158"/>
        <v>0.20325064534659268</v>
      </c>
      <c r="AZ98" s="32">
        <f t="shared" si="158"/>
        <v>0.19838350407764266</v>
      </c>
      <c r="BA98" s="32">
        <f t="shared" si="158"/>
        <v>0.21182585451775982</v>
      </c>
      <c r="BB98" s="32">
        <f t="shared" si="158"/>
        <v>0.20514933623376688</v>
      </c>
    </row>
    <row r="99" spans="1:62" collapsed="1"/>
    <row r="100" spans="1:62">
      <c r="B100" s="83" t="s">
        <v>101</v>
      </c>
      <c r="N100" s="30"/>
      <c r="O100" s="30"/>
      <c r="P100" s="30"/>
      <c r="Q100" s="30"/>
      <c r="R100" s="30"/>
      <c r="S100" s="30"/>
      <c r="T100" s="30"/>
      <c r="U100" s="30"/>
      <c r="V100" s="30"/>
      <c r="W100" s="30"/>
      <c r="X100" s="30"/>
      <c r="Y100" s="30"/>
      <c r="Z100" s="30"/>
      <c r="AB100" s="30"/>
      <c r="AC100" s="30"/>
      <c r="AD100" s="30"/>
      <c r="AE100" s="30"/>
      <c r="AF100" s="30"/>
      <c r="AG100" s="30"/>
      <c r="AH100" s="30"/>
      <c r="AI100" s="30"/>
      <c r="AJ100" s="30"/>
      <c r="AK100" s="30"/>
      <c r="AL100" s="30"/>
      <c r="AM100" s="405"/>
      <c r="AN100" s="600"/>
      <c r="AO100" s="30"/>
      <c r="AP100" s="30"/>
      <c r="AQ100" s="30"/>
      <c r="AR100" s="30"/>
      <c r="AS100" s="30"/>
      <c r="AT100" s="30"/>
      <c r="AU100" s="30"/>
      <c r="AV100" s="30"/>
      <c r="AW100" s="30"/>
      <c r="AX100" s="30"/>
      <c r="AY100" s="30"/>
      <c r="AZ100" s="30"/>
      <c r="BA100" s="30"/>
      <c r="BB100" s="30"/>
    </row>
    <row r="101" spans="1:62">
      <c r="B101" s="7" t="s">
        <v>102</v>
      </c>
      <c r="C101" s="73" t="s">
        <v>269</v>
      </c>
      <c r="D101" s="30"/>
      <c r="E101" s="30"/>
      <c r="F101" s="30"/>
      <c r="G101" s="30"/>
      <c r="H101" s="30"/>
      <c r="I101" s="30"/>
      <c r="J101" s="30"/>
      <c r="K101" s="30"/>
      <c r="L101" s="49"/>
      <c r="M101" s="49"/>
      <c r="N101" s="49"/>
      <c r="O101" s="49"/>
      <c r="P101" s="49"/>
      <c r="Q101" s="49"/>
      <c r="R101" s="49"/>
      <c r="S101" s="49"/>
      <c r="T101" s="49"/>
      <c r="U101" s="49"/>
      <c r="V101" s="49">
        <f>V61+V51</f>
        <v>58.014999999999986</v>
      </c>
      <c r="W101" s="49">
        <f>W61+W51</f>
        <v>79.844999999999999</v>
      </c>
      <c r="X101" s="49">
        <f>SUM(V101:W101)</f>
        <v>137.85999999999999</v>
      </c>
      <c r="Y101" s="49">
        <f>Y61+Y51</f>
        <v>94.852999999999994</v>
      </c>
      <c r="Z101" s="49">
        <f>Z61+Z51</f>
        <v>114.84799999999997</v>
      </c>
      <c r="AA101" s="394">
        <f>SUM(Y101:Z101)</f>
        <v>209.70099999999996</v>
      </c>
      <c r="AB101" s="49">
        <f>AB61+AB51</f>
        <v>97.97799999999998</v>
      </c>
      <c r="AC101" s="49">
        <f>AC61+AC51</f>
        <v>107.61500000000001</v>
      </c>
      <c r="AD101" s="49">
        <f>SUM(AB101:AC101)</f>
        <v>205.59299999999999</v>
      </c>
      <c r="AE101" s="49">
        <f>AE61+AE51</f>
        <v>87.174999999999997</v>
      </c>
      <c r="AF101" s="49">
        <f>AF61+AF51</f>
        <v>101.74099999999997</v>
      </c>
      <c r="AG101" s="49">
        <f>SUM(AE101:AF101)</f>
        <v>188.91599999999997</v>
      </c>
      <c r="AH101" s="49">
        <f>AH61+AH51</f>
        <v>81.789000000000016</v>
      </c>
      <c r="AI101" s="49">
        <f>AI61+AI51</f>
        <v>101.84900000000002</v>
      </c>
      <c r="AJ101" s="49">
        <f>SUM(AH101:AI101)</f>
        <v>183.63800000000003</v>
      </c>
      <c r="AK101" s="49">
        <f>AK61+AK51</f>
        <v>93.792000000000002</v>
      </c>
      <c r="AL101" s="49">
        <f>AL61+AL51</f>
        <v>89.012999999999977</v>
      </c>
      <c r="AM101" s="407">
        <f>SUM(AK101:AL101)</f>
        <v>182.80499999999998</v>
      </c>
      <c r="AN101" s="588">
        <f>AN61+AN51</f>
        <v>63.719000000000023</v>
      </c>
      <c r="AO101" s="49">
        <f>AO61+AO51</f>
        <v>87.836350927745841</v>
      </c>
      <c r="AP101" s="49">
        <f>SUM(AN101:AO101)</f>
        <v>151.55535092774585</v>
      </c>
      <c r="AQ101" s="49">
        <f>AQ61+AQ51</f>
        <v>93.755190714864881</v>
      </c>
      <c r="AR101" s="49">
        <f>AR61+AR51</f>
        <v>106.68807457248325</v>
      </c>
      <c r="AS101" s="49">
        <f>SUM(AQ101:AR101)</f>
        <v>200.44326528734814</v>
      </c>
      <c r="AT101" s="49">
        <f>AT61+AT51</f>
        <v>104.66826218507481</v>
      </c>
      <c r="AU101" s="49">
        <f>AU61+AU51</f>
        <v>118.75825878893143</v>
      </c>
      <c r="AV101" s="49">
        <f>SUM(AT101:AU101)</f>
        <v>223.42652097400622</v>
      </c>
      <c r="AW101" s="49">
        <f>AW61+AW51</f>
        <v>110.69693754898329</v>
      </c>
      <c r="AX101" s="49">
        <f>AX61+AX51</f>
        <v>125.11044568380092</v>
      </c>
      <c r="AY101" s="49">
        <f>SUM(AW101:AX101)</f>
        <v>235.80738323278422</v>
      </c>
      <c r="AZ101" s="49">
        <f>AZ61+AZ51</f>
        <v>121.5432699507471</v>
      </c>
      <c r="BA101" s="49">
        <f>BA61+BA51</f>
        <v>137.88769541380256</v>
      </c>
      <c r="BB101" s="49">
        <f>SUM(AZ101:BA101)</f>
        <v>259.43096536454965</v>
      </c>
    </row>
    <row r="102" spans="1:62" s="44" customFormat="1">
      <c r="B102" s="44" t="s">
        <v>103</v>
      </c>
      <c r="C102" s="84" t="s">
        <v>269</v>
      </c>
      <c r="D102" s="85"/>
      <c r="E102" s="85"/>
      <c r="F102" s="85"/>
      <c r="G102" s="85"/>
      <c r="H102" s="85"/>
      <c r="I102" s="85"/>
      <c r="J102" s="85"/>
      <c r="K102" s="85"/>
      <c r="L102" s="178"/>
      <c r="M102" s="178"/>
      <c r="N102" s="178"/>
      <c r="O102" s="49"/>
      <c r="P102" s="178"/>
      <c r="Q102" s="178"/>
      <c r="R102" s="49"/>
      <c r="S102" s="178"/>
      <c r="T102" s="178"/>
      <c r="U102" s="49"/>
      <c r="V102" s="178"/>
      <c r="W102" s="178"/>
      <c r="X102" s="49"/>
      <c r="Y102" s="178"/>
      <c r="Z102" s="178"/>
      <c r="AA102" s="394"/>
      <c r="AB102" s="178"/>
      <c r="AC102" s="178"/>
      <c r="AD102" s="49"/>
      <c r="AE102" s="178"/>
      <c r="AF102" s="178"/>
      <c r="AG102" s="49"/>
      <c r="AH102" s="178"/>
      <c r="AI102" s="178"/>
      <c r="AJ102" s="49"/>
      <c r="AK102" s="178"/>
      <c r="AL102" s="178"/>
      <c r="AM102" s="407"/>
      <c r="AN102" s="601"/>
      <c r="AO102" s="178"/>
      <c r="AP102" s="49"/>
      <c r="AQ102" s="178"/>
      <c r="AR102" s="178"/>
      <c r="AS102" s="49"/>
      <c r="AT102" s="178"/>
      <c r="AU102" s="178"/>
      <c r="AV102" s="49"/>
      <c r="AW102" s="178"/>
      <c r="AX102" s="178"/>
      <c r="AY102" s="49"/>
      <c r="AZ102" s="178"/>
      <c r="BA102" s="178"/>
      <c r="BB102" s="49"/>
      <c r="BE102"/>
      <c r="BF102"/>
      <c r="BG102"/>
      <c r="BH102"/>
      <c r="BI102"/>
      <c r="BJ102"/>
    </row>
    <row r="103" spans="1:62">
      <c r="B103" s="7" t="s">
        <v>104</v>
      </c>
      <c r="C103" s="73" t="s">
        <v>269</v>
      </c>
      <c r="D103" s="30"/>
      <c r="E103" s="30"/>
      <c r="F103" s="30"/>
      <c r="G103" s="30"/>
      <c r="H103" s="30"/>
      <c r="I103" s="30"/>
      <c r="J103" s="30"/>
      <c r="K103" s="30"/>
      <c r="L103" s="49"/>
      <c r="M103" s="49"/>
      <c r="N103" s="49"/>
      <c r="O103" s="49"/>
      <c r="P103" s="49"/>
      <c r="Q103" s="49"/>
      <c r="R103" s="49"/>
      <c r="S103" s="49"/>
      <c r="T103" s="49"/>
      <c r="U103" s="49"/>
      <c r="V103" s="49">
        <f t="shared" ref="V103:AA103" si="159">SUM(V101:V102)</f>
        <v>58.014999999999986</v>
      </c>
      <c r="W103" s="49">
        <f t="shared" si="159"/>
        <v>79.844999999999999</v>
      </c>
      <c r="X103" s="49">
        <f t="shared" si="159"/>
        <v>137.85999999999999</v>
      </c>
      <c r="Y103" s="49">
        <f t="shared" si="159"/>
        <v>94.852999999999994</v>
      </c>
      <c r="Z103" s="49">
        <f t="shared" si="159"/>
        <v>114.84799999999997</v>
      </c>
      <c r="AA103" s="394">
        <f t="shared" si="159"/>
        <v>209.70099999999996</v>
      </c>
      <c r="AB103" s="49">
        <f t="shared" ref="AB103:AD103" si="160">SUM(AB101:AB102)</f>
        <v>97.97799999999998</v>
      </c>
      <c r="AC103" s="49">
        <f t="shared" si="160"/>
        <v>107.61500000000001</v>
      </c>
      <c r="AD103" s="49">
        <f t="shared" si="160"/>
        <v>205.59299999999999</v>
      </c>
      <c r="AE103" s="49">
        <f>SUM(AE101:AE102)</f>
        <v>87.174999999999997</v>
      </c>
      <c r="AF103" s="49">
        <f t="shared" ref="AF103:AG103" si="161">SUM(AF101:AF102)</f>
        <v>101.74099999999997</v>
      </c>
      <c r="AG103" s="49">
        <f t="shared" si="161"/>
        <v>188.91599999999997</v>
      </c>
      <c r="AH103" s="49">
        <f>SUM(AH101:AH102)</f>
        <v>81.789000000000016</v>
      </c>
      <c r="AI103" s="49">
        <f t="shared" ref="AI103:AJ103" si="162">SUM(AI101:AI102)</f>
        <v>101.84900000000002</v>
      </c>
      <c r="AJ103" s="49">
        <f t="shared" si="162"/>
        <v>183.63800000000003</v>
      </c>
      <c r="AK103" s="49">
        <f>SUM(AK101:AK102)</f>
        <v>93.792000000000002</v>
      </c>
      <c r="AL103" s="49">
        <f t="shared" ref="AL103:AM103" si="163">SUM(AL101:AL102)</f>
        <v>89.012999999999977</v>
      </c>
      <c r="AM103" s="407">
        <f t="shared" si="163"/>
        <v>182.80499999999998</v>
      </c>
      <c r="AN103" s="588">
        <f>SUM(AN101:AN102)</f>
        <v>63.719000000000023</v>
      </c>
      <c r="AO103" s="49">
        <f>SUM(AO101:AO102)</f>
        <v>87.836350927745841</v>
      </c>
      <c r="AP103" s="49">
        <f>SUM(AN103:AO103)</f>
        <v>151.55535092774585</v>
      </c>
      <c r="AQ103" s="49">
        <f>SUM(AQ101:AQ102)</f>
        <v>93.755190714864881</v>
      </c>
      <c r="AR103" s="49">
        <f>SUM(AR101:AR102)</f>
        <v>106.68807457248325</v>
      </c>
      <c r="AS103" s="49">
        <f>SUM(AQ103:AR103)</f>
        <v>200.44326528734814</v>
      </c>
      <c r="AT103" s="49">
        <f>SUM(AT101:AT102)</f>
        <v>104.66826218507481</v>
      </c>
      <c r="AU103" s="49">
        <f>SUM(AU101:AU102)</f>
        <v>118.75825878893143</v>
      </c>
      <c r="AV103" s="49">
        <f>SUM(AT103:AU103)</f>
        <v>223.42652097400622</v>
      </c>
      <c r="AW103" s="49">
        <f>SUM(AW101:AW102)</f>
        <v>110.69693754898329</v>
      </c>
      <c r="AX103" s="49">
        <f>SUM(AX101:AX102)</f>
        <v>125.11044568380092</v>
      </c>
      <c r="AY103" s="49">
        <f>SUM(AW103:AX103)</f>
        <v>235.80738323278422</v>
      </c>
      <c r="AZ103" s="49">
        <f>SUM(AZ101:AZ102)</f>
        <v>121.5432699507471</v>
      </c>
      <c r="BA103" s="49">
        <f>SUM(BA101:BA102)</f>
        <v>137.88769541380256</v>
      </c>
      <c r="BB103" s="49">
        <f>SUM(AZ103:BA103)</f>
        <v>259.43096536454965</v>
      </c>
    </row>
    <row r="104" spans="1:62">
      <c r="B104" s="7" t="s">
        <v>105</v>
      </c>
      <c r="C104" s="73" t="s">
        <v>82</v>
      </c>
      <c r="D104" s="86"/>
      <c r="E104" s="86"/>
      <c r="F104" s="38"/>
      <c r="G104" s="38"/>
      <c r="H104" s="38"/>
      <c r="I104" s="38"/>
      <c r="J104" s="38"/>
      <c r="K104" s="38"/>
      <c r="L104" s="38"/>
      <c r="M104" s="38"/>
      <c r="N104" s="38"/>
      <c r="O104" s="38"/>
      <c r="P104" s="38"/>
      <c r="Q104" s="38"/>
      <c r="R104" s="38"/>
      <c r="S104" s="38"/>
      <c r="T104" s="38"/>
      <c r="U104" s="38"/>
      <c r="V104" s="38">
        <f t="shared" ref="V104:AA104" si="164">-V106/V103</f>
        <v>0.40885977764371273</v>
      </c>
      <c r="W104" s="38">
        <f t="shared" si="164"/>
        <v>0.61507295384808069</v>
      </c>
      <c r="X104" s="38">
        <f t="shared" si="164"/>
        <v>0.52829319599593783</v>
      </c>
      <c r="Y104" s="38">
        <f t="shared" si="164"/>
        <v>0.24497063877789849</v>
      </c>
      <c r="Z104" s="38">
        <f t="shared" si="164"/>
        <v>0.24200160211758123</v>
      </c>
      <c r="AA104" s="474">
        <f t="shared" si="164"/>
        <v>0.24334457155664482</v>
      </c>
      <c r="AB104" s="38">
        <f t="shared" ref="AB104:AD104" si="165">-AB106/AB103</f>
        <v>0.23043948641531747</v>
      </c>
      <c r="AC104" s="38">
        <f t="shared" si="165"/>
        <v>0.20085489940993353</v>
      </c>
      <c r="AD104" s="38">
        <f t="shared" si="165"/>
        <v>0.21495381652099035</v>
      </c>
      <c r="AE104" s="38">
        <f t="shared" ref="AE104:AG104" si="166">-AE106/AE103</f>
        <v>0.22598221967307142</v>
      </c>
      <c r="AF104" s="38">
        <f t="shared" si="166"/>
        <v>0.13284713144160171</v>
      </c>
      <c r="AG104" s="38">
        <f t="shared" si="166"/>
        <v>0.17582417582417581</v>
      </c>
      <c r="AH104" s="38">
        <f>-AH106/AH103</f>
        <v>0.17239482081942556</v>
      </c>
      <c r="AI104" s="38">
        <f t="shared" ref="AI104:AJ104" si="167">-AI106/AI103</f>
        <v>0.22227022356626014</v>
      </c>
      <c r="AJ104" s="38">
        <f t="shared" si="167"/>
        <v>0.20005663315871458</v>
      </c>
      <c r="AK104" s="38">
        <f>-AK106/AK103</f>
        <v>0.18969634936881616</v>
      </c>
      <c r="AL104" s="38">
        <f t="shared" ref="AL104:AM104" si="168">-AL106/AL103</f>
        <v>0.19449967982204858</v>
      </c>
      <c r="AM104" s="408">
        <f t="shared" si="168"/>
        <v>0.19203522879571136</v>
      </c>
      <c r="AN104" s="586">
        <f>-AN106/AN103</f>
        <v>0.1807781038622705</v>
      </c>
      <c r="AO104" s="87">
        <v>0.21</v>
      </c>
      <c r="AP104" s="38">
        <f t="shared" ref="AP104" si="169">-AP106/AP103</f>
        <v>0.19771412564055432</v>
      </c>
      <c r="AQ104" s="87">
        <v>0.22</v>
      </c>
      <c r="AR104" s="87">
        <v>0.22</v>
      </c>
      <c r="AS104" s="38">
        <f t="shared" ref="AS104" si="170">-AS106/AS103</f>
        <v>0.21999999999999997</v>
      </c>
      <c r="AT104" s="87">
        <v>0.23</v>
      </c>
      <c r="AU104" s="87">
        <v>0.23</v>
      </c>
      <c r="AV104" s="38">
        <f t="shared" ref="AV104" si="171">-AV106/AV103</f>
        <v>0.23000000000000004</v>
      </c>
      <c r="AW104" s="87">
        <v>0.23</v>
      </c>
      <c r="AX104" s="87">
        <v>0.23</v>
      </c>
      <c r="AY104" s="38">
        <f t="shared" ref="AY104" si="172">-AY106/AY103</f>
        <v>0.22999999999999998</v>
      </c>
      <c r="AZ104" s="87">
        <v>0.23</v>
      </c>
      <c r="BA104" s="87">
        <v>0.23</v>
      </c>
      <c r="BB104" s="38">
        <f t="shared" ref="BB104" si="173">-BB106/BB103</f>
        <v>0.23</v>
      </c>
    </row>
    <row r="105" spans="1:62">
      <c r="B105" s="161" t="s">
        <v>106</v>
      </c>
      <c r="C105" s="73" t="s">
        <v>269</v>
      </c>
      <c r="D105" s="30"/>
      <c r="E105" s="30"/>
      <c r="F105" s="30"/>
      <c r="G105" s="30"/>
      <c r="H105" s="30"/>
      <c r="I105" s="30"/>
      <c r="J105" s="30"/>
      <c r="K105" s="30"/>
      <c r="L105" s="49"/>
      <c r="M105" s="49"/>
      <c r="N105" s="49"/>
      <c r="O105" s="49"/>
      <c r="P105" s="49"/>
      <c r="Q105" s="49"/>
      <c r="R105" s="49"/>
      <c r="S105" s="49"/>
      <c r="T105" s="49"/>
      <c r="U105" s="49"/>
      <c r="V105" s="49">
        <f>-(V104*V103)</f>
        <v>-23.719999999999988</v>
      </c>
      <c r="W105" s="49">
        <f>-(W103*W104)</f>
        <v>-49.110500000000002</v>
      </c>
      <c r="X105" s="49">
        <f>W105+V105</f>
        <v>-72.830499999999986</v>
      </c>
      <c r="Y105" s="49">
        <f>-(Y104*Y103)</f>
        <v>-23.236200000000004</v>
      </c>
      <c r="Z105" s="49">
        <f>-(Z103*Z104)</f>
        <v>-27.793399999999963</v>
      </c>
      <c r="AA105" s="394">
        <f>Z105+Y105</f>
        <v>-51.029599999999967</v>
      </c>
      <c r="AB105" s="49">
        <f>-(AB104*AB103)</f>
        <v>-22.577999999999971</v>
      </c>
      <c r="AC105" s="49">
        <f>-(AC103*AC104)</f>
        <v>-21.614999999999998</v>
      </c>
      <c r="AD105" s="49">
        <f>AC105+AB105</f>
        <v>-44.192999999999969</v>
      </c>
      <c r="AE105" s="49">
        <f>-(AE104*AE103)</f>
        <v>-19.7</v>
      </c>
      <c r="AF105" s="49">
        <f>-(AF103*AF104)</f>
        <v>-13.515999999999995</v>
      </c>
      <c r="AG105" s="49">
        <f>AF105+AE105</f>
        <v>-33.215999999999994</v>
      </c>
      <c r="AH105" s="49">
        <f>-(AH104*AH103)</f>
        <v>-14.1</v>
      </c>
      <c r="AI105" s="49">
        <f>-(AI103*AI104)</f>
        <v>-22.638000000000034</v>
      </c>
      <c r="AJ105" s="49">
        <f>AI105+AH105</f>
        <v>-36.738000000000035</v>
      </c>
      <c r="AK105" s="49">
        <f>-(AK104*AK103)</f>
        <v>-17.792000000000005</v>
      </c>
      <c r="AL105" s="49">
        <f>-(AL103*AL104)</f>
        <v>-17.313000000000006</v>
      </c>
      <c r="AM105" s="407">
        <f>AL105+AK105</f>
        <v>-35.105000000000011</v>
      </c>
      <c r="AN105" s="588">
        <f>-(AN104*AN103)</f>
        <v>-11.519000000000018</v>
      </c>
      <c r="AO105" s="49">
        <f>-(AO103*AO104)</f>
        <v>-18.445633694826626</v>
      </c>
      <c r="AP105" s="49">
        <f>AO105+AN105</f>
        <v>-29.964633694826645</v>
      </c>
      <c r="AQ105" s="49">
        <f>-(AQ104*AQ103)</f>
        <v>-20.626141957270274</v>
      </c>
      <c r="AR105" s="49">
        <f>-(AR103*AR104)</f>
        <v>-23.471376405946312</v>
      </c>
      <c r="AS105" s="49">
        <f>AR105+AQ105</f>
        <v>-44.097518363216587</v>
      </c>
      <c r="AT105" s="49">
        <f>-(AT104*AT103)</f>
        <v>-24.073700302567207</v>
      </c>
      <c r="AU105" s="49">
        <f>-(AU103*AU104)</f>
        <v>-27.314399521454231</v>
      </c>
      <c r="AV105" s="49">
        <f>AU105+AT105</f>
        <v>-51.388099824021438</v>
      </c>
      <c r="AW105" s="49">
        <f>-(AW104*AW103)</f>
        <v>-25.460295636266157</v>
      </c>
      <c r="AX105" s="49">
        <f>-(AX103*AX104)</f>
        <v>-28.775402507274212</v>
      </c>
      <c r="AY105" s="49">
        <f>AX105+AW105</f>
        <v>-54.235698143540368</v>
      </c>
      <c r="AZ105" s="49">
        <f>-(AZ104*AZ103)</f>
        <v>-27.954952088671835</v>
      </c>
      <c r="BA105" s="49">
        <f>-(BA103*BA104)</f>
        <v>-31.714169945174589</v>
      </c>
      <c r="BB105" s="49">
        <f>BA105+AZ105</f>
        <v>-59.669122033846421</v>
      </c>
    </row>
    <row r="106" spans="1:62">
      <c r="B106" s="161" t="s">
        <v>107</v>
      </c>
      <c r="C106" s="73" t="s">
        <v>269</v>
      </c>
      <c r="D106" s="30"/>
      <c r="E106" s="30"/>
      <c r="F106" s="31"/>
      <c r="G106" s="30"/>
      <c r="H106" s="30"/>
      <c r="I106" s="30"/>
      <c r="J106" s="30"/>
      <c r="K106" s="30"/>
      <c r="L106" s="49"/>
      <c r="M106" s="49"/>
      <c r="N106" s="49"/>
      <c r="O106" s="49"/>
      <c r="P106" s="49"/>
      <c r="Q106" s="49"/>
      <c r="R106" s="49"/>
      <c r="S106" s="49"/>
      <c r="T106" s="49"/>
      <c r="U106" s="49"/>
      <c r="V106" s="49">
        <f t="shared" ref="V106:AA106" si="174">V62</f>
        <v>-23.719999999999988</v>
      </c>
      <c r="W106" s="49">
        <f t="shared" si="174"/>
        <v>-49.110500000000002</v>
      </c>
      <c r="X106" s="49">
        <f t="shared" si="174"/>
        <v>-72.830499999999986</v>
      </c>
      <c r="Y106" s="49">
        <f t="shared" si="174"/>
        <v>-23.236200000000004</v>
      </c>
      <c r="Z106" s="49">
        <f t="shared" si="174"/>
        <v>-27.793399999999963</v>
      </c>
      <c r="AA106" s="394">
        <f t="shared" si="174"/>
        <v>-51.029599999999967</v>
      </c>
      <c r="AB106" s="49">
        <f t="shared" ref="AB106:AD106" si="175">AB62</f>
        <v>-22.577999999999971</v>
      </c>
      <c r="AC106" s="49">
        <f t="shared" si="175"/>
        <v>-21.614999999999998</v>
      </c>
      <c r="AD106" s="49">
        <f t="shared" si="175"/>
        <v>-44.192999999999969</v>
      </c>
      <c r="AE106" s="49">
        <f t="shared" ref="AE106:AG106" si="176">AE62</f>
        <v>-19.7</v>
      </c>
      <c r="AF106" s="49">
        <f t="shared" si="176"/>
        <v>-13.515999999999995</v>
      </c>
      <c r="AG106" s="49">
        <f t="shared" si="176"/>
        <v>-33.215999999999994</v>
      </c>
      <c r="AH106" s="49">
        <f t="shared" ref="AH106:AJ106" si="177">AH62</f>
        <v>-14.1</v>
      </c>
      <c r="AI106" s="49">
        <f t="shared" si="177"/>
        <v>-22.638000000000034</v>
      </c>
      <c r="AJ106" s="49">
        <f t="shared" si="177"/>
        <v>-36.738000000000035</v>
      </c>
      <c r="AK106" s="49">
        <f t="shared" ref="AK106:AM106" si="178">AK62</f>
        <v>-17.792000000000005</v>
      </c>
      <c r="AL106" s="49">
        <f t="shared" si="178"/>
        <v>-17.313000000000006</v>
      </c>
      <c r="AM106" s="407">
        <f t="shared" si="178"/>
        <v>-35.105000000000011</v>
      </c>
      <c r="AN106" s="588">
        <f t="shared" ref="AN106" si="179">AN62</f>
        <v>-11.519000000000018</v>
      </c>
      <c r="AO106" s="49">
        <f>AO105</f>
        <v>-18.445633694826626</v>
      </c>
      <c r="AP106" s="49">
        <f>AO106+AN106</f>
        <v>-29.964633694826645</v>
      </c>
      <c r="AQ106" s="49">
        <f>AQ105</f>
        <v>-20.626141957270274</v>
      </c>
      <c r="AR106" s="49">
        <f>AR105</f>
        <v>-23.471376405946312</v>
      </c>
      <c r="AS106" s="49">
        <f>AR106+AQ106</f>
        <v>-44.097518363216587</v>
      </c>
      <c r="AT106" s="49">
        <f>AT105</f>
        <v>-24.073700302567207</v>
      </c>
      <c r="AU106" s="49">
        <f>AU105</f>
        <v>-27.314399521454231</v>
      </c>
      <c r="AV106" s="49">
        <f>AU106+AT106</f>
        <v>-51.388099824021438</v>
      </c>
      <c r="AW106" s="49">
        <f>AW105</f>
        <v>-25.460295636266157</v>
      </c>
      <c r="AX106" s="49">
        <f>AX105</f>
        <v>-28.775402507274212</v>
      </c>
      <c r="AY106" s="49">
        <f>AX106+AW106</f>
        <v>-54.235698143540368</v>
      </c>
      <c r="AZ106" s="49">
        <f>AZ105</f>
        <v>-27.954952088671835</v>
      </c>
      <c r="BA106" s="49">
        <f>BA105</f>
        <v>-31.714169945174589</v>
      </c>
      <c r="BB106" s="49">
        <f>BA106+AZ106</f>
        <v>-59.669122033846421</v>
      </c>
    </row>
    <row r="107" spans="1:62" s="40" customFormat="1">
      <c r="B107" s="40" t="s">
        <v>232</v>
      </c>
      <c r="C107" s="179" t="s">
        <v>82</v>
      </c>
      <c r="D107" s="88"/>
      <c r="E107" s="88"/>
      <c r="F107" s="88"/>
      <c r="G107" s="41"/>
      <c r="H107" s="88"/>
      <c r="I107" s="88"/>
      <c r="J107" s="41"/>
      <c r="K107" s="88"/>
      <c r="L107" s="41"/>
      <c r="M107" s="41"/>
      <c r="N107" s="41"/>
      <c r="O107" s="41"/>
      <c r="P107" s="41"/>
      <c r="Q107" s="41"/>
      <c r="R107" s="41"/>
      <c r="S107" s="41"/>
      <c r="T107" s="41"/>
      <c r="U107" s="41"/>
      <c r="V107" s="41">
        <f t="shared" ref="V107:AA107" si="180">-V106/V101</f>
        <v>0.40885977764371273</v>
      </c>
      <c r="W107" s="41">
        <f t="shared" si="180"/>
        <v>0.61507295384808069</v>
      </c>
      <c r="X107" s="41">
        <f t="shared" si="180"/>
        <v>0.52829319599593783</v>
      </c>
      <c r="Y107" s="41">
        <f t="shared" si="180"/>
        <v>0.24497063877789849</v>
      </c>
      <c r="Z107" s="41">
        <f t="shared" si="180"/>
        <v>0.24200160211758123</v>
      </c>
      <c r="AA107" s="476">
        <f t="shared" si="180"/>
        <v>0.24334457155664482</v>
      </c>
      <c r="AB107" s="41">
        <f t="shared" ref="AB107:AD107" si="181">-AB106/AB101</f>
        <v>0.23043948641531747</v>
      </c>
      <c r="AC107" s="41">
        <f t="shared" si="181"/>
        <v>0.20085489940993353</v>
      </c>
      <c r="AD107" s="41">
        <f t="shared" si="181"/>
        <v>0.21495381652099035</v>
      </c>
      <c r="AE107" s="41">
        <f t="shared" ref="AE107:AG107" si="182">-AE106/AE101</f>
        <v>0.22598221967307142</v>
      </c>
      <c r="AF107" s="41">
        <f t="shared" si="182"/>
        <v>0.13284713144160171</v>
      </c>
      <c r="AG107" s="41">
        <f t="shared" si="182"/>
        <v>0.17582417582417581</v>
      </c>
      <c r="AH107" s="88">
        <f t="shared" ref="AH107:AJ107" si="183">-AH106/AH101</f>
        <v>0.17239482081942556</v>
      </c>
      <c r="AI107" s="41">
        <f t="shared" si="183"/>
        <v>0.22227022356626014</v>
      </c>
      <c r="AJ107" s="41">
        <f t="shared" si="183"/>
        <v>0.20005663315871458</v>
      </c>
      <c r="AK107" s="88">
        <f t="shared" ref="AK107:AM107" si="184">-AK106/AK101</f>
        <v>0.18969634936881616</v>
      </c>
      <c r="AL107" s="41">
        <f t="shared" si="184"/>
        <v>0.19449967982204858</v>
      </c>
      <c r="AM107" s="406">
        <f t="shared" si="184"/>
        <v>0.19203522879571136</v>
      </c>
      <c r="AN107" s="590">
        <f t="shared" ref="AN107" si="185">-AN106/AN101</f>
        <v>0.1807781038622705</v>
      </c>
      <c r="AO107" s="88">
        <f t="shared" ref="AO107:BB107" si="186">-AO106/AO101</f>
        <v>0.21</v>
      </c>
      <c r="AP107" s="88">
        <f t="shared" si="186"/>
        <v>0.19771412564055432</v>
      </c>
      <c r="AQ107" s="88">
        <f t="shared" si="186"/>
        <v>0.22</v>
      </c>
      <c r="AR107" s="88">
        <f t="shared" si="186"/>
        <v>0.21999999999999997</v>
      </c>
      <c r="AS107" s="88">
        <f t="shared" si="186"/>
        <v>0.21999999999999997</v>
      </c>
      <c r="AT107" s="88">
        <f t="shared" si="186"/>
        <v>0.23</v>
      </c>
      <c r="AU107" s="88">
        <f t="shared" si="186"/>
        <v>0.23</v>
      </c>
      <c r="AV107" s="88">
        <f t="shared" si="186"/>
        <v>0.23000000000000004</v>
      </c>
      <c r="AW107" s="88">
        <f t="shared" si="186"/>
        <v>0.23</v>
      </c>
      <c r="AX107" s="88">
        <f t="shared" si="186"/>
        <v>0.23</v>
      </c>
      <c r="AY107" s="88">
        <f t="shared" si="186"/>
        <v>0.22999999999999998</v>
      </c>
      <c r="AZ107" s="88">
        <f t="shared" si="186"/>
        <v>0.23</v>
      </c>
      <c r="BA107" s="88">
        <f t="shared" si="186"/>
        <v>0.23</v>
      </c>
      <c r="BB107" s="88">
        <f t="shared" si="186"/>
        <v>0.23</v>
      </c>
      <c r="BE107"/>
      <c r="BF107"/>
      <c r="BG107"/>
      <c r="BH107"/>
      <c r="BI107"/>
      <c r="BJ107"/>
    </row>
    <row r="109" spans="1:62" s="9" customFormat="1">
      <c r="A109" s="22" t="s">
        <v>119</v>
      </c>
      <c r="B109" s="22"/>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81"/>
      <c r="AB109" s="45"/>
      <c r="AC109" s="45"/>
      <c r="AD109" s="45"/>
      <c r="AE109" s="45"/>
      <c r="AF109" s="45"/>
      <c r="AG109" s="45"/>
      <c r="AI109" s="45"/>
      <c r="AJ109" s="45"/>
      <c r="AL109" s="45"/>
      <c r="AM109" s="557"/>
      <c r="AN109" s="602"/>
      <c r="BE109"/>
      <c r="BF109"/>
      <c r="BG109"/>
      <c r="BH109"/>
      <c r="BI109"/>
      <c r="BJ109"/>
    </row>
    <row r="110" spans="1:62" collapsed="1"/>
    <row r="111" spans="1:62" hidden="1">
      <c r="B111" s="7" t="s">
        <v>146</v>
      </c>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B111" s="30"/>
      <c r="AC111" s="30"/>
      <c r="AD111" s="30"/>
      <c r="AE111" s="30"/>
      <c r="AF111" s="30"/>
      <c r="AG111" s="30"/>
      <c r="AH111" s="30"/>
      <c r="AI111" s="30"/>
      <c r="AJ111" s="30"/>
      <c r="AK111" s="30"/>
      <c r="AL111" s="30"/>
      <c r="AM111" s="405"/>
      <c r="AN111" s="600"/>
      <c r="AO111" s="30"/>
      <c r="AP111" s="30"/>
      <c r="AQ111" s="30"/>
      <c r="AR111" s="30"/>
      <c r="AS111" s="30"/>
      <c r="AT111" s="30"/>
      <c r="AU111" s="30"/>
      <c r="AV111" s="30"/>
      <c r="AW111" s="30"/>
      <c r="AX111" s="30"/>
      <c r="AY111" s="30"/>
      <c r="AZ111" s="30"/>
      <c r="BA111" s="30"/>
      <c r="BB111" s="30"/>
    </row>
    <row r="112" spans="1:62" hidden="1">
      <c r="B112" s="7" t="s">
        <v>147</v>
      </c>
    </row>
    <row r="113" spans="1:62" hidden="1">
      <c r="B113" s="7" t="s">
        <v>175</v>
      </c>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B113" s="30"/>
      <c r="AC113" s="30"/>
      <c r="AD113" s="30"/>
      <c r="AE113" s="30"/>
      <c r="AF113" s="30"/>
      <c r="AG113" s="30"/>
      <c r="AH113" s="30"/>
      <c r="AI113" s="30"/>
      <c r="AJ113" s="30"/>
      <c r="AK113" s="30"/>
      <c r="AL113" s="30"/>
      <c r="AM113" s="405"/>
      <c r="AN113" s="600"/>
      <c r="AO113" s="30"/>
      <c r="AP113" s="30"/>
      <c r="AQ113" s="30"/>
      <c r="AR113" s="30"/>
      <c r="AS113" s="30"/>
      <c r="AT113" s="30"/>
      <c r="AU113" s="30"/>
      <c r="AV113" s="30"/>
      <c r="AW113" s="30"/>
      <c r="AX113" s="30"/>
      <c r="AY113" s="30"/>
      <c r="AZ113" s="30"/>
      <c r="BA113" s="30"/>
      <c r="BB113" s="30"/>
    </row>
    <row r="114" spans="1:62" hidden="1">
      <c r="B114" s="14" t="s">
        <v>120</v>
      </c>
      <c r="C114" s="76" t="s">
        <v>82</v>
      </c>
    </row>
    <row r="115" spans="1:62" hidden="1"/>
    <row r="116" spans="1:62" collapsed="1">
      <c r="B116" s="83" t="s">
        <v>185</v>
      </c>
    </row>
    <row r="117" spans="1:62">
      <c r="B117" s="7" t="s">
        <v>121</v>
      </c>
      <c r="C117" s="84" t="s">
        <v>269</v>
      </c>
      <c r="D117" s="30"/>
      <c r="E117" s="30"/>
      <c r="F117" s="30"/>
      <c r="G117" s="30"/>
      <c r="H117" s="30"/>
      <c r="I117" s="30"/>
      <c r="J117" s="30"/>
      <c r="K117" s="30"/>
      <c r="L117" s="165"/>
      <c r="M117" s="165"/>
      <c r="N117" s="165"/>
      <c r="O117" s="165"/>
      <c r="P117" s="165"/>
      <c r="Q117" s="165"/>
      <c r="R117" s="165"/>
      <c r="S117" s="165"/>
      <c r="T117" s="165"/>
      <c r="U117" s="165"/>
      <c r="V117" s="165"/>
      <c r="W117" s="165"/>
      <c r="X117" s="165">
        <f t="shared" ref="X117:AA117" si="187">X37</f>
        <v>219.40400000000002</v>
      </c>
      <c r="Y117" s="165">
        <f t="shared" si="187"/>
        <v>120.004</v>
      </c>
      <c r="Z117" s="165">
        <f t="shared" si="187"/>
        <v>140.72099999999998</v>
      </c>
      <c r="AA117" s="394">
        <f t="shared" si="187"/>
        <v>260.72499999999997</v>
      </c>
      <c r="AB117" s="165">
        <f t="shared" ref="AB117:AD117" si="188">AB37</f>
        <v>125.45899999999997</v>
      </c>
      <c r="AC117" s="165">
        <f t="shared" si="188"/>
        <v>143.143</v>
      </c>
      <c r="AD117" s="165">
        <f t="shared" si="188"/>
        <v>268.60199999999998</v>
      </c>
      <c r="AE117" s="165">
        <f t="shared" ref="AE117:AG117" si="189">AE37</f>
        <v>128.1</v>
      </c>
      <c r="AF117" s="165">
        <f t="shared" si="189"/>
        <v>146.49099999999999</v>
      </c>
      <c r="AG117" s="165">
        <f t="shared" si="189"/>
        <v>274.59100000000001</v>
      </c>
      <c r="AH117" s="165">
        <f>AH38+AH72+AH73-AH63</f>
        <v>108.10400000000001</v>
      </c>
      <c r="AI117" s="165">
        <f t="shared" ref="AI117:AJ117" si="190">AI37</f>
        <v>149.82900000000001</v>
      </c>
      <c r="AJ117" s="165">
        <f t="shared" si="190"/>
        <v>274.62900000000002</v>
      </c>
      <c r="AK117" s="165">
        <f>AK38+AK72+AK73-AK63</f>
        <v>134.99200000000002</v>
      </c>
      <c r="AL117" s="165">
        <f t="shared" ref="AL117:AM117" si="191">AL37</f>
        <v>133.9</v>
      </c>
      <c r="AM117" s="428">
        <f t="shared" si="191"/>
        <v>277.7</v>
      </c>
      <c r="AN117" s="577">
        <f>AN38+AN72+AN73-AN63</f>
        <v>102.59900000000002</v>
      </c>
      <c r="AO117" s="165">
        <f>AO38+AO72+AO73-AO63</f>
        <v>134.63744909575945</v>
      </c>
      <c r="AP117" s="165">
        <f>SUM(AN117:AO117)</f>
        <v>237.23644909575947</v>
      </c>
      <c r="AQ117" s="165">
        <f>AQ38+AQ72+AQ73-AQ63</f>
        <v>140.90054151415359</v>
      </c>
      <c r="AR117" s="165">
        <f>AR38+AR72+AR73-AR63</f>
        <v>153.27173465757343</v>
      </c>
      <c r="AS117" s="165">
        <f>SUM(AQ117:AR117)</f>
        <v>294.17227617172705</v>
      </c>
      <c r="AT117" s="165">
        <f>AT38+AT72+AT73-AT63</f>
        <v>153.30122781055388</v>
      </c>
      <c r="AU117" s="165">
        <f>AU38+AU72+AU73-AU63</f>
        <v>165.74338994516975</v>
      </c>
      <c r="AV117" s="165">
        <f>SUM(AT117:AU117)</f>
        <v>319.04461775572361</v>
      </c>
      <c r="AW117" s="165">
        <f>AW38+AW72+AW73-AW63</f>
        <v>160.92926988146658</v>
      </c>
      <c r="AX117" s="165">
        <f>AX38+AX72+AX73-AX63</f>
        <v>174.01982681990773</v>
      </c>
      <c r="AY117" s="165">
        <f>SUM(AW117:AX117)</f>
        <v>334.94909670137429</v>
      </c>
      <c r="AZ117" s="165">
        <f>AZ38+AZ72+AZ73-AZ63</f>
        <v>168.50126014382116</v>
      </c>
      <c r="BA117" s="165">
        <f>BA38+BA72+BA73-BA63</f>
        <v>182.32563730254029</v>
      </c>
      <c r="BB117" s="165">
        <f>SUM(AZ117:BA117)</f>
        <v>350.82689744636144</v>
      </c>
    </row>
    <row r="118" spans="1:62">
      <c r="B118" s="7" t="s">
        <v>122</v>
      </c>
      <c r="C118" s="84" t="s">
        <v>269</v>
      </c>
      <c r="D118" s="31"/>
      <c r="E118" s="30"/>
      <c r="F118" s="31"/>
      <c r="G118" s="30"/>
      <c r="H118" s="30"/>
      <c r="I118" s="30"/>
      <c r="J118" s="30"/>
      <c r="K118" s="30"/>
      <c r="L118" s="165"/>
      <c r="M118" s="165"/>
      <c r="N118" s="165"/>
      <c r="O118" s="165"/>
      <c r="P118" s="165"/>
      <c r="Q118" s="165"/>
      <c r="R118" s="165"/>
      <c r="S118" s="165"/>
      <c r="T118" s="165"/>
      <c r="U118" s="165"/>
      <c r="V118" s="165"/>
      <c r="W118" s="165"/>
      <c r="X118" s="165"/>
      <c r="Y118" s="165"/>
      <c r="Z118" s="165"/>
      <c r="AB118" s="165"/>
      <c r="AC118" s="165"/>
      <c r="AD118" s="165"/>
      <c r="AE118" s="165"/>
      <c r="AF118" s="165"/>
      <c r="AG118" s="165"/>
      <c r="AH118" s="165"/>
      <c r="AI118" s="165"/>
      <c r="AJ118" s="165"/>
      <c r="AK118" s="165"/>
      <c r="AL118" s="165"/>
      <c r="AM118" s="428"/>
      <c r="AN118" s="577"/>
      <c r="AO118" s="165"/>
      <c r="AP118" s="165"/>
      <c r="AQ118" s="165"/>
      <c r="AR118" s="165"/>
      <c r="AS118" s="165"/>
      <c r="AT118" s="165"/>
      <c r="AU118" s="165"/>
      <c r="AV118" s="165"/>
      <c r="AW118" s="165"/>
      <c r="AX118" s="165"/>
      <c r="AY118" s="165"/>
      <c r="AZ118" s="165"/>
      <c r="BA118" s="165"/>
      <c r="BB118" s="165"/>
    </row>
    <row r="119" spans="1:62">
      <c r="B119" s="7" t="s">
        <v>123</v>
      </c>
      <c r="C119" s="84" t="s">
        <v>269</v>
      </c>
      <c r="D119" s="31"/>
      <c r="E119" s="30"/>
      <c r="F119" s="31"/>
      <c r="G119" s="31"/>
      <c r="H119" s="30"/>
      <c r="I119" s="31"/>
      <c r="J119" s="31"/>
      <c r="K119" s="50"/>
      <c r="L119" s="165"/>
      <c r="M119" s="171"/>
      <c r="N119" s="165"/>
      <c r="O119" s="171"/>
      <c r="P119" s="171"/>
      <c r="Q119" s="165"/>
      <c r="R119" s="171"/>
      <c r="S119" s="171"/>
      <c r="T119" s="165"/>
      <c r="U119" s="171"/>
      <c r="V119" s="171"/>
      <c r="W119" s="165"/>
      <c r="X119" s="171">
        <v>-25.15</v>
      </c>
      <c r="Y119" s="171">
        <v>-23.103000000000002</v>
      </c>
      <c r="Z119" s="165">
        <f>AA119-Y119</f>
        <v>-21.158999999999999</v>
      </c>
      <c r="AA119" s="473">
        <v>-44.262</v>
      </c>
      <c r="AB119" s="171">
        <v>-31.334</v>
      </c>
      <c r="AC119" s="165">
        <f>AD119-AB119</f>
        <v>-12.065999999999999</v>
      </c>
      <c r="AD119" s="171">
        <v>-43.4</v>
      </c>
      <c r="AE119" s="171">
        <v>-23.943999999999999</v>
      </c>
      <c r="AF119" s="165">
        <f>AG119-AE119</f>
        <v>-18.456</v>
      </c>
      <c r="AG119" s="171">
        <v>-42.4</v>
      </c>
      <c r="AH119" s="171">
        <v>-29.602</v>
      </c>
      <c r="AI119" s="165">
        <f>AJ119-AH119</f>
        <v>-10.199999999999999</v>
      </c>
      <c r="AJ119" s="171">
        <v>-39.802</v>
      </c>
      <c r="AK119" s="171">
        <v>-18.277999999999999</v>
      </c>
      <c r="AL119" s="165">
        <f>AM119-AK119</f>
        <v>-19.814</v>
      </c>
      <c r="AM119" s="425">
        <v>-38.091999999999999</v>
      </c>
      <c r="AN119" s="580">
        <v>-10.321999999999999</v>
      </c>
      <c r="AO119" s="165">
        <f>AO62</f>
        <v>-18.445633694826626</v>
      </c>
      <c r="AP119" s="643">
        <f>SUM(AN119:AO119)</f>
        <v>-28.767633694826625</v>
      </c>
      <c r="AQ119" s="165">
        <f>AQ62</f>
        <v>-20.626141957270274</v>
      </c>
      <c r="AR119" s="165">
        <f>AR62</f>
        <v>-23.471376405946312</v>
      </c>
      <c r="AS119" s="165">
        <f>SUM(AQ119:AR119)</f>
        <v>-44.097518363216587</v>
      </c>
      <c r="AT119" s="165">
        <f>AT62</f>
        <v>-24.073700302567207</v>
      </c>
      <c r="AU119" s="165">
        <f>AU62</f>
        <v>-27.314399521454231</v>
      </c>
      <c r="AV119" s="165">
        <f>SUM(AT119:AU119)</f>
        <v>-51.388099824021438</v>
      </c>
      <c r="AW119" s="165">
        <f>AW62</f>
        <v>-25.460295636266157</v>
      </c>
      <c r="AX119" s="165">
        <f>AX62</f>
        <v>-28.775402507274212</v>
      </c>
      <c r="AY119" s="165">
        <f>SUM(AW119:AX119)</f>
        <v>-54.235698143540368</v>
      </c>
      <c r="AZ119" s="165">
        <f>AZ62</f>
        <v>-27.954952088671835</v>
      </c>
      <c r="BA119" s="165">
        <f>BA62</f>
        <v>-31.714169945174589</v>
      </c>
      <c r="BB119" s="165">
        <f>SUM(AZ119:BA119)</f>
        <v>-59.669122033846421</v>
      </c>
    </row>
    <row r="120" spans="1:62">
      <c r="B120" s="7" t="s">
        <v>27</v>
      </c>
      <c r="C120" s="84" t="s">
        <v>269</v>
      </c>
      <c r="D120" s="30"/>
      <c r="E120" s="30"/>
      <c r="F120" s="30"/>
      <c r="G120" s="30"/>
      <c r="H120" s="30"/>
      <c r="I120" s="30"/>
      <c r="J120" s="30"/>
      <c r="K120" s="30"/>
      <c r="L120" s="165"/>
      <c r="M120" s="165"/>
      <c r="N120" s="165"/>
      <c r="O120" s="165"/>
      <c r="P120" s="165"/>
      <c r="Q120" s="165"/>
      <c r="R120" s="165"/>
      <c r="S120" s="165"/>
      <c r="T120" s="165"/>
      <c r="U120" s="165"/>
      <c r="V120" s="165"/>
      <c r="W120" s="165"/>
      <c r="X120" s="165">
        <f>SUM(V120:W120)</f>
        <v>0</v>
      </c>
      <c r="Y120" s="165">
        <f>-Y244</f>
        <v>-14.201999999999998</v>
      </c>
      <c r="Z120" s="165">
        <f>-Z244</f>
        <v>-7.8649999999999807</v>
      </c>
      <c r="AA120" s="394">
        <f>SUM(Y120:Z120)</f>
        <v>-22.066999999999979</v>
      </c>
      <c r="AB120" s="165">
        <f>-AB244</f>
        <v>-131.72300000000004</v>
      </c>
      <c r="AC120" s="165">
        <f>-AC244</f>
        <v>-41.807999999999993</v>
      </c>
      <c r="AD120" s="165">
        <f>SUM(AB120:AC120)</f>
        <v>-173.53100000000003</v>
      </c>
      <c r="AE120" s="165">
        <f>-AE244</f>
        <v>-7.8969999999998777</v>
      </c>
      <c r="AF120" s="165">
        <f>-AF244</f>
        <v>47.587999999999909</v>
      </c>
      <c r="AG120" s="165">
        <f>SUM(AE120:AF120)</f>
        <v>39.691000000000031</v>
      </c>
      <c r="AH120" s="165">
        <f>-AH244</f>
        <v>29.677000000000021</v>
      </c>
      <c r="AI120" s="165">
        <f>-AI244</f>
        <v>-13.268000000000029</v>
      </c>
      <c r="AJ120" s="165">
        <f>SUM(AH120:AI120)</f>
        <v>16.408999999999992</v>
      </c>
      <c r="AK120" s="165">
        <f>-AK244</f>
        <v>-2.6890000000000214</v>
      </c>
      <c r="AL120" s="165">
        <f>-AL244</f>
        <v>-0.27499999999997726</v>
      </c>
      <c r="AM120" s="428">
        <f>SUM(AK120:AL120)</f>
        <v>-2.9639999999999986</v>
      </c>
      <c r="AN120" s="577">
        <f>-AN244</f>
        <v>-3.0590000000000828</v>
      </c>
      <c r="AO120" s="165">
        <f>-AO244</f>
        <v>-17.5736623227113</v>
      </c>
      <c r="AP120" s="643">
        <f>SUM(AN120:AO120)</f>
        <v>-20.632662322711383</v>
      </c>
      <c r="AQ120" s="165">
        <f>-AQ244</f>
        <v>-49.233466359763213</v>
      </c>
      <c r="AR120" s="165">
        <f>-AR244</f>
        <v>28.716372427799342</v>
      </c>
      <c r="AS120" s="165">
        <f>SUM(AQ120:AR120)</f>
        <v>-20.517093931963871</v>
      </c>
      <c r="AT120" s="165">
        <f>-AT244</f>
        <v>-54.377970646278527</v>
      </c>
      <c r="AU120" s="165">
        <f>-AU244</f>
        <v>33.267792396827474</v>
      </c>
      <c r="AV120" s="165">
        <f>SUM(AT120:AU120)</f>
        <v>-21.110178249451053</v>
      </c>
      <c r="AW120" s="165">
        <f>-AW244</f>
        <v>-51.407655089153252</v>
      </c>
      <c r="AX120" s="165">
        <f>-AX244</f>
        <v>34.544309611122912</v>
      </c>
      <c r="AY120" s="165">
        <f>SUM(AW120:AX120)</f>
        <v>-16.86334547803034</v>
      </c>
      <c r="AZ120" s="165">
        <f>-AZ244</f>
        <v>-51.976398103690599</v>
      </c>
      <c r="BA120" s="165">
        <f>-BA244</f>
        <v>35.351963977592163</v>
      </c>
      <c r="BB120" s="165">
        <f>SUM(AZ120:BA120)</f>
        <v>-16.624434126098436</v>
      </c>
    </row>
    <row r="121" spans="1:62">
      <c r="B121" s="7" t="s">
        <v>131</v>
      </c>
      <c r="C121" s="84" t="s">
        <v>269</v>
      </c>
      <c r="D121" s="30"/>
      <c r="E121" s="30"/>
      <c r="F121" s="30"/>
      <c r="G121" s="30"/>
      <c r="H121" s="30"/>
      <c r="I121" s="30"/>
      <c r="J121" s="30"/>
      <c r="K121" s="30"/>
      <c r="L121" s="165"/>
      <c r="M121" s="165"/>
      <c r="N121" s="165"/>
      <c r="O121" s="165"/>
      <c r="P121" s="165"/>
      <c r="Q121" s="165"/>
      <c r="R121" s="165"/>
      <c r="S121" s="165"/>
      <c r="T121" s="165"/>
      <c r="U121" s="165"/>
      <c r="V121" s="165"/>
      <c r="W121" s="165"/>
      <c r="X121" s="165">
        <f t="shared" ref="X121:AA121" si="192">X122-SUM(X117:X120)</f>
        <v>-32.695000000000022</v>
      </c>
      <c r="Y121" s="165">
        <f t="shared" si="192"/>
        <v>6.6399999999999864</v>
      </c>
      <c r="Z121" s="165">
        <f t="shared" si="192"/>
        <v>4.5960000000000036</v>
      </c>
      <c r="AA121" s="394">
        <f t="shared" si="192"/>
        <v>11.236000000000018</v>
      </c>
      <c r="AB121" s="165">
        <f t="shared" ref="AB121" si="193">AB122-SUM(AB117:AB120)</f>
        <v>59.274000000000072</v>
      </c>
      <c r="AC121" s="165">
        <f t="shared" ref="AC121:AD121" si="194">AC122-SUM(AC117:AC120)</f>
        <v>-21.663000000000011</v>
      </c>
      <c r="AD121" s="165">
        <f t="shared" si="194"/>
        <v>37.611000000000061</v>
      </c>
      <c r="AE121" s="165">
        <f t="shared" ref="AE121:AH121" si="195">AE122-SUM(AE117:AE120)</f>
        <v>-25.942000000000121</v>
      </c>
      <c r="AF121" s="165">
        <f t="shared" si="195"/>
        <v>4.3200000000000784</v>
      </c>
      <c r="AG121" s="165">
        <f t="shared" si="195"/>
        <v>-21.622000000000071</v>
      </c>
      <c r="AH121" s="165">
        <f t="shared" si="195"/>
        <v>13.867999999999967</v>
      </c>
      <c r="AI121" s="165">
        <f t="shared" ref="AI121:AK121" si="196">AI122-SUM(AI117:AI120)</f>
        <v>25.998999999999995</v>
      </c>
      <c r="AJ121" s="165">
        <f t="shared" si="196"/>
        <v>23.170999999999964</v>
      </c>
      <c r="AK121" s="165">
        <f t="shared" si="196"/>
        <v>-5.2810000000000059</v>
      </c>
      <c r="AL121" s="165">
        <f t="shared" ref="AL121:AN121" si="197">AL122-SUM(AL117:AL120)</f>
        <v>10.440999999999974</v>
      </c>
      <c r="AM121" s="428">
        <f t="shared" si="197"/>
        <v>-3.6479999999999961</v>
      </c>
      <c r="AN121" s="577">
        <f t="shared" si="197"/>
        <v>3.0740000000000691</v>
      </c>
      <c r="AO121" s="165">
        <f>((AN190-AO190)+(AN196-AO196)+(AN197-AO197))-((AN205-AO205)+(AN206-AO206)+(AN207-AO207)+(AN212-AO212)+(AN213-AO213)+(AN222-AO222)+(AN224-AO224))+(AO181-AO31)</f>
        <v>0</v>
      </c>
      <c r="AP121" s="643">
        <f>AO121+AN121</f>
        <v>3.0740000000000691</v>
      </c>
      <c r="AQ121" s="165">
        <f>((AP190-AQ190)+(AP196-AQ196)+(AP197-AQ197))-((AP205-AQ205)+(AP206-AQ206)+(AP207-AQ207)+(AP212-AQ212)+(AP213-AQ213)+(AP222-AQ222)+(AP224-AQ224))+(AQ181-AQ31)</f>
        <v>0</v>
      </c>
      <c r="AR121" s="165">
        <f>((AQ190-AR190)+(AQ196-AR196)+(AQ197-AR197))-((AQ205-AR205)+(AQ206-AR206)+(AQ207-AR207)+(AQ212-AR212)+(AQ213-AR213)+(AQ222-AR222)+(AQ224-AR224))+(AR181-AR31)</f>
        <v>0</v>
      </c>
      <c r="AS121" s="165">
        <f>AR121+AQ121</f>
        <v>0</v>
      </c>
      <c r="AT121" s="165">
        <f>((AS190-AT190)+(AS196-AT196)+(AS197-AT197))-((AS205-AT205)+(AS206-AT206)+(AS207-AT207)+(AS212-AT212)+(AS213-AT213)+(AS222-AT222)+(AS224-AT224))+(AT181-AT31)</f>
        <v>0</v>
      </c>
      <c r="AU121" s="165">
        <f>((AT190-AU190)+(AT196-AU196)+(AT197-AU197))-((AT205-AU205)+(AT206-AU206)+(AT207-AU207)+(AT212-AU212)+(AT213-AU213)+(AT222-AU222)+(AT224-AU224))+(AU181-AU31)</f>
        <v>0</v>
      </c>
      <c r="AV121" s="165">
        <f>AU121+AT121</f>
        <v>0</v>
      </c>
      <c r="AW121" s="165">
        <f>((AV190-AW190)+(AV196-AW196)+(AV197-AW197))-((AV205-AW205)+(AV206-AW206)+(AV207-AW207)+(AV212-AW212)+(AV213-AW213)+(AV222-AW222)+(AV224-AW224))+(AW181-AW31)</f>
        <v>0</v>
      </c>
      <c r="AX121" s="165">
        <f>((AW190-AX190)+(AW196-AX196)+(AW197-AX197))-((AW205-AX205)+(AW206-AX206)+(AW207-AX207)+(AW212-AX212)+(AW213-AX213)+(AW222-AX222)+(AW224-AX224))+(AX181-AX31)</f>
        <v>0</v>
      </c>
      <c r="AY121" s="165">
        <f>AX121+AW121</f>
        <v>0</v>
      </c>
      <c r="AZ121" s="165">
        <f>((AY190-AZ190)+(AY196-AZ196)+(AY197-AZ197))-((AY205-AZ205)+(AY206-AZ206)+(AY207-AZ207)+(AY212-AZ212)+(AY213-AZ213)+(AY222-AZ222)+(AY224-AZ224))+(AZ181-AZ31)</f>
        <v>0</v>
      </c>
      <c r="BA121" s="165">
        <f>((AZ190-BA190)+(AZ196-BA196)+(AZ197-BA197))-((AZ205-BA205)+(AZ206-BA206)+(AZ207-BA207)+(AZ212-BA212)+(AZ213-BA213)+(AZ222-BA222)+(AZ224-BA224))+(BA181-BA31)</f>
        <v>0</v>
      </c>
      <c r="BB121" s="165">
        <f>BA121+AZ121</f>
        <v>0</v>
      </c>
    </row>
    <row r="122" spans="1:62" s="14" customFormat="1">
      <c r="A122" s="79"/>
      <c r="B122" s="79" t="s">
        <v>185</v>
      </c>
      <c r="C122" s="80" t="s">
        <v>269</v>
      </c>
      <c r="D122" s="36"/>
      <c r="E122" s="35"/>
      <c r="F122" s="36"/>
      <c r="G122" s="36"/>
      <c r="H122" s="35"/>
      <c r="I122" s="36"/>
      <c r="J122" s="36"/>
      <c r="K122" s="35"/>
      <c r="L122" s="175"/>
      <c r="M122" s="175"/>
      <c r="N122" s="170"/>
      <c r="O122" s="175"/>
      <c r="P122" s="175"/>
      <c r="Q122" s="170"/>
      <c r="R122" s="175"/>
      <c r="S122" s="175"/>
      <c r="T122" s="170"/>
      <c r="U122" s="175"/>
      <c r="V122" s="175"/>
      <c r="W122" s="170"/>
      <c r="X122" s="175">
        <v>161.559</v>
      </c>
      <c r="Y122" s="175">
        <v>89.338999999999999</v>
      </c>
      <c r="Z122" s="170">
        <f>AA122-Y122</f>
        <v>116.29300000000001</v>
      </c>
      <c r="AA122" s="479">
        <v>205.63200000000001</v>
      </c>
      <c r="AB122" s="175">
        <v>21.675999999999998</v>
      </c>
      <c r="AC122" s="170">
        <f>AD122-AB122</f>
        <v>67.605999999999995</v>
      </c>
      <c r="AD122" s="175">
        <v>89.281999999999996</v>
      </c>
      <c r="AE122" s="175">
        <v>70.316999999999993</v>
      </c>
      <c r="AF122" s="170">
        <f>AG122-AE122</f>
        <v>179.94299999999998</v>
      </c>
      <c r="AG122" s="175">
        <v>250.26</v>
      </c>
      <c r="AH122" s="167">
        <v>122.047</v>
      </c>
      <c r="AI122" s="170">
        <f>AJ122-AH122</f>
        <v>152.35999999999999</v>
      </c>
      <c r="AJ122" s="175">
        <v>274.40699999999998</v>
      </c>
      <c r="AK122" s="167">
        <v>108.744</v>
      </c>
      <c r="AL122" s="170">
        <f>AM122-AK122</f>
        <v>124.25200000000001</v>
      </c>
      <c r="AM122" s="558">
        <v>232.99600000000001</v>
      </c>
      <c r="AN122" s="603">
        <v>92.292000000000002</v>
      </c>
      <c r="AO122" s="170">
        <f>SUM(AO117:AO121)</f>
        <v>98.618153078221525</v>
      </c>
      <c r="AP122" s="170">
        <f t="shared" ref="AP122:BB122" si="198">SUM(AP117:AP121)</f>
        <v>190.91015307822153</v>
      </c>
      <c r="AQ122" s="170">
        <f t="shared" si="198"/>
        <v>71.040933197120097</v>
      </c>
      <c r="AR122" s="170">
        <f t="shared" si="198"/>
        <v>158.51673067942647</v>
      </c>
      <c r="AS122" s="170">
        <f t="shared" si="198"/>
        <v>229.5576638765466</v>
      </c>
      <c r="AT122" s="170">
        <f t="shared" si="198"/>
        <v>74.849556861708152</v>
      </c>
      <c r="AU122" s="170">
        <f t="shared" si="198"/>
        <v>171.69678282054301</v>
      </c>
      <c r="AV122" s="170">
        <f t="shared" si="198"/>
        <v>246.54633968225113</v>
      </c>
      <c r="AW122" s="170">
        <f t="shared" si="198"/>
        <v>84.061319156047176</v>
      </c>
      <c r="AX122" s="170">
        <f t="shared" si="198"/>
        <v>179.78873392375644</v>
      </c>
      <c r="AY122" s="170">
        <f t="shared" si="198"/>
        <v>263.85005307980356</v>
      </c>
      <c r="AZ122" s="170">
        <f t="shared" si="198"/>
        <v>88.569909951458726</v>
      </c>
      <c r="BA122" s="170">
        <f t="shared" si="198"/>
        <v>185.96343133495787</v>
      </c>
      <c r="BB122" s="170">
        <f t="shared" si="198"/>
        <v>274.5333412864166</v>
      </c>
      <c r="BE122"/>
      <c r="BF122"/>
      <c r="BG122"/>
      <c r="BH122"/>
      <c r="BI122"/>
      <c r="BJ122"/>
    </row>
    <row r="123" spans="1:62">
      <c r="B123" s="83" t="s">
        <v>28</v>
      </c>
      <c r="L123" s="165"/>
      <c r="M123" s="165"/>
      <c r="N123" s="165"/>
      <c r="O123" s="165"/>
      <c r="P123" s="165"/>
      <c r="Q123" s="165"/>
      <c r="R123" s="165"/>
      <c r="S123" s="165"/>
      <c r="T123" s="165"/>
      <c r="U123" s="165"/>
      <c r="V123" s="165"/>
      <c r="W123" s="165"/>
      <c r="X123" s="165"/>
      <c r="Y123" s="165"/>
      <c r="Z123" s="165"/>
      <c r="AB123" s="165"/>
      <c r="AC123" s="165"/>
      <c r="AD123" s="165"/>
      <c r="AE123" s="165"/>
      <c r="AF123" s="165"/>
      <c r="AG123" s="165"/>
      <c r="AH123" s="165"/>
      <c r="AI123" s="165"/>
      <c r="AJ123" s="165"/>
      <c r="AK123" s="165"/>
      <c r="AL123" s="165"/>
      <c r="AM123" s="428"/>
      <c r="AN123" s="577"/>
      <c r="AO123" s="165"/>
      <c r="AP123" s="32"/>
      <c r="AQ123" s="165"/>
      <c r="AR123" s="165"/>
      <c r="AS123" s="32"/>
      <c r="AT123" s="165"/>
      <c r="AU123" s="165"/>
      <c r="AV123" s="32"/>
      <c r="AW123" s="165"/>
      <c r="AX123" s="165"/>
      <c r="AY123" s="32"/>
      <c r="AZ123" s="165"/>
      <c r="BA123" s="165"/>
      <c r="BB123" s="32"/>
    </row>
    <row r="124" spans="1:62">
      <c r="B124" s="7" t="s">
        <v>29</v>
      </c>
      <c r="C124" s="84" t="s">
        <v>269</v>
      </c>
      <c r="D124" s="31"/>
      <c r="E124" s="30"/>
      <c r="F124" s="31"/>
      <c r="G124" s="31"/>
      <c r="H124" s="30"/>
      <c r="I124" s="31"/>
      <c r="J124" s="31"/>
      <c r="K124" s="30"/>
      <c r="L124" s="171"/>
      <c r="M124" s="171"/>
      <c r="N124" s="165"/>
      <c r="O124" s="171"/>
      <c r="P124" s="171"/>
      <c r="Q124" s="165"/>
      <c r="R124" s="171"/>
      <c r="S124" s="171"/>
      <c r="T124" s="165"/>
      <c r="U124" s="171"/>
      <c r="V124" s="171"/>
      <c r="W124" s="165"/>
      <c r="X124" s="171">
        <v>-18.815000000000001</v>
      </c>
      <c r="Y124" s="171">
        <f>-10*0.72</f>
        <v>-7.1999999999999993</v>
      </c>
      <c r="Z124" s="165">
        <f>AA124-Y124</f>
        <v>-8.7142499999999998</v>
      </c>
      <c r="AA124" s="473">
        <f>+AA126-AA125</f>
        <v>-15.914249999999999</v>
      </c>
      <c r="AB124" s="165">
        <f>+AB126-AB125</f>
        <v>-7.3570000000000029</v>
      </c>
      <c r="AC124" s="165">
        <f>AD124-AB124</f>
        <v>-19.245199999999993</v>
      </c>
      <c r="AD124" s="171">
        <f>+AD126-AD125</f>
        <v>-26.602199999999996</v>
      </c>
      <c r="AE124" s="165">
        <f>+AE126-AE125</f>
        <v>-21.829000000000001</v>
      </c>
      <c r="AF124" s="165">
        <f>AG124-AE124</f>
        <v>-3.8230000000000004</v>
      </c>
      <c r="AG124" s="165">
        <f>+AG126-AG125</f>
        <v>-25.652000000000001</v>
      </c>
      <c r="AH124" s="165">
        <f>+AH126-AH125</f>
        <v>-11.149999999999999</v>
      </c>
      <c r="AI124" s="165">
        <f>AJ124-AH124</f>
        <v>-2.078000000000003</v>
      </c>
      <c r="AJ124" s="165">
        <f>+AJ126-AJ125</f>
        <v>-13.228000000000002</v>
      </c>
      <c r="AK124" s="165">
        <f>+AK126-AK125</f>
        <v>-13.236000000000002</v>
      </c>
      <c r="AL124" s="165">
        <f>AM124-AK124</f>
        <v>-3.748999999999997</v>
      </c>
      <c r="AM124" s="428">
        <f>+AM126-AM125</f>
        <v>-16.984999999999999</v>
      </c>
      <c r="AN124" s="577">
        <f>+AN126-AN125</f>
        <v>-9.3550000000000004</v>
      </c>
      <c r="AO124" s="165">
        <f>-AO172*AO31</f>
        <v>-9.3832870264719404</v>
      </c>
      <c r="AP124" s="643">
        <f>SUM(AN124:AO124)</f>
        <v>-18.738287026471941</v>
      </c>
      <c r="AQ124" s="165">
        <f>-AQ172*AQ31</f>
        <v>-21.443999999999996</v>
      </c>
      <c r="AR124" s="165">
        <f>-AR172*AR31</f>
        <v>-21.508872000000014</v>
      </c>
      <c r="AS124" s="165">
        <f>SUM(AQ124:AR124)</f>
        <v>-42.952872000000013</v>
      </c>
      <c r="AT124" s="165">
        <f>-AT172*AT31</f>
        <v>-23.684491999999995</v>
      </c>
      <c r="AU124" s="165">
        <f>-AU172*AU31</f>
        <v>-23.815010180000012</v>
      </c>
      <c r="AV124" s="165">
        <f>SUM(AT124:AU124)</f>
        <v>-47.499502180000007</v>
      </c>
      <c r="AW124" s="165">
        <f>-AW172*AW31</f>
        <v>-33.434382239999991</v>
      </c>
      <c r="AX124" s="165">
        <f>-AX172*AX31</f>
        <v>-33.618714069600024</v>
      </c>
      <c r="AY124" s="165">
        <f>SUM(AW124:AX124)</f>
        <v>-67.053096309600022</v>
      </c>
      <c r="AZ124" s="165">
        <f>-AZ172*AZ31</f>
        <v>-34.087661884799999</v>
      </c>
      <c r="BA124" s="165">
        <f>-BA172*BA31</f>
        <v>-34.275680350992019</v>
      </c>
      <c r="BB124" s="165">
        <f>SUM(AZ124:BA124)</f>
        <v>-68.363342235792018</v>
      </c>
    </row>
    <row r="125" spans="1:62">
      <c r="B125" s="7" t="s">
        <v>70</v>
      </c>
      <c r="C125" s="84" t="s">
        <v>269</v>
      </c>
      <c r="D125" s="89"/>
      <c r="E125" s="30"/>
      <c r="F125" s="89"/>
      <c r="G125" s="89"/>
      <c r="H125" s="30"/>
      <c r="I125" s="89"/>
      <c r="J125" s="89"/>
      <c r="K125" s="30"/>
      <c r="L125" s="171"/>
      <c r="M125" s="171"/>
      <c r="N125" s="165"/>
      <c r="O125" s="171"/>
      <c r="P125" s="171"/>
      <c r="Q125" s="165"/>
      <c r="R125" s="171"/>
      <c r="S125" s="171"/>
      <c r="T125" s="165"/>
      <c r="U125" s="171"/>
      <c r="V125" s="165"/>
      <c r="W125" s="165"/>
      <c r="X125" s="165">
        <f>+X126-X124</f>
        <v>0</v>
      </c>
      <c r="Y125" s="165">
        <f>+Y126-Y124</f>
        <v>-1.2560000000000002</v>
      </c>
      <c r="Z125" s="165">
        <f>AA125-Y125</f>
        <v>-18.194750000000003</v>
      </c>
      <c r="AA125" s="394">
        <f>0.55*AA126</f>
        <v>-19.450750000000003</v>
      </c>
      <c r="AB125" s="171">
        <v>-19.899999999999999</v>
      </c>
      <c r="AC125" s="165">
        <f>AD125-AB125</f>
        <v>-12.613800000000005</v>
      </c>
      <c r="AD125" s="165">
        <f>0.55*AD126</f>
        <v>-32.513800000000003</v>
      </c>
      <c r="AE125" s="171"/>
      <c r="AF125" s="165">
        <f>AG125-AE125</f>
        <v>-10</v>
      </c>
      <c r="AG125" s="165">
        <v>-10</v>
      </c>
      <c r="AH125" s="171">
        <v>-10</v>
      </c>
      <c r="AI125" s="165">
        <f>AJ125-AH125</f>
        <v>-16.100000000000001</v>
      </c>
      <c r="AJ125" s="165">
        <v>-26.1</v>
      </c>
      <c r="AK125" s="171">
        <v>-3.6</v>
      </c>
      <c r="AL125" s="165">
        <f>AM125-AK125</f>
        <v>-7.1</v>
      </c>
      <c r="AM125" s="425">
        <v>-10.7</v>
      </c>
      <c r="AN125" s="580">
        <v>-3.3</v>
      </c>
      <c r="AO125" s="183">
        <v>-5</v>
      </c>
      <c r="AP125" s="643">
        <f t="shared" ref="AP125" si="199">SUM(AN125:AO125)</f>
        <v>-8.3000000000000007</v>
      </c>
      <c r="AQ125" s="183">
        <v>-7</v>
      </c>
      <c r="AR125" s="183">
        <v>-10</v>
      </c>
      <c r="AS125" s="165">
        <f t="shared" ref="AS125" si="200">SUM(AQ125:AR125)</f>
        <v>-17</v>
      </c>
      <c r="AT125" s="183">
        <f t="shared" ref="AT125:AU125" si="201">+AQ125*1.05</f>
        <v>-7.3500000000000005</v>
      </c>
      <c r="AU125" s="183">
        <f t="shared" si="201"/>
        <v>-10.5</v>
      </c>
      <c r="AV125" s="165">
        <f t="shared" ref="AV125" si="202">SUM(AT125:AU125)</f>
        <v>-17.850000000000001</v>
      </c>
      <c r="AW125" s="183">
        <f t="shared" ref="AW125:AX125" si="203">+AT125*1.05</f>
        <v>-7.7175000000000011</v>
      </c>
      <c r="AX125" s="183">
        <f t="shared" si="203"/>
        <v>-11.025</v>
      </c>
      <c r="AY125" s="165">
        <f t="shared" ref="AY125" si="204">SUM(AW125:AX125)</f>
        <v>-18.7425</v>
      </c>
      <c r="AZ125" s="183">
        <f t="shared" ref="AZ125:BA125" si="205">+AW125*1.05</f>
        <v>-8.1033750000000015</v>
      </c>
      <c r="BA125" s="183">
        <f t="shared" si="205"/>
        <v>-11.576250000000002</v>
      </c>
      <c r="BB125" s="165">
        <f t="shared" ref="BB125" si="206">SUM(AZ125:BA125)</f>
        <v>-19.679625000000001</v>
      </c>
    </row>
    <row r="126" spans="1:62">
      <c r="B126" s="7" t="s">
        <v>71</v>
      </c>
      <c r="C126" s="84" t="s">
        <v>269</v>
      </c>
      <c r="D126" s="30"/>
      <c r="E126" s="30"/>
      <c r="F126" s="30"/>
      <c r="G126" s="30"/>
      <c r="H126" s="30"/>
      <c r="I126" s="30"/>
      <c r="J126" s="30"/>
      <c r="K126" s="30"/>
      <c r="L126" s="165"/>
      <c r="M126" s="165"/>
      <c r="N126" s="165"/>
      <c r="O126" s="165"/>
      <c r="P126" s="165"/>
      <c r="Q126" s="165"/>
      <c r="R126" s="165"/>
      <c r="S126" s="165"/>
      <c r="T126" s="165"/>
      <c r="U126" s="165"/>
      <c r="V126" s="171"/>
      <c r="W126" s="165"/>
      <c r="X126" s="171">
        <v>-18.815000000000001</v>
      </c>
      <c r="Y126" s="171">
        <v>-8.4559999999999995</v>
      </c>
      <c r="Z126" s="165">
        <f>SUM(Z124:Z125)</f>
        <v>-26.909000000000002</v>
      </c>
      <c r="AA126" s="473">
        <v>-35.365000000000002</v>
      </c>
      <c r="AB126" s="171">
        <f>+-27.059-0.198</f>
        <v>-27.257000000000001</v>
      </c>
      <c r="AC126" s="165">
        <f>SUM(AC124:AC125)</f>
        <v>-31.858999999999998</v>
      </c>
      <c r="AD126" s="171">
        <v>-59.116</v>
      </c>
      <c r="AE126" s="171">
        <f>-16.969-4.86</f>
        <v>-21.829000000000001</v>
      </c>
      <c r="AF126" s="165">
        <f>SUM(AF124:AF125)</f>
        <v>-13.823</v>
      </c>
      <c r="AG126" s="171">
        <v>-35.652000000000001</v>
      </c>
      <c r="AH126" s="171">
        <f>-20.526-0.624</f>
        <v>-21.15</v>
      </c>
      <c r="AI126" s="165">
        <f>SUM(AI124:AI125)</f>
        <v>-18.178000000000004</v>
      </c>
      <c r="AJ126" s="171">
        <v>-39.328000000000003</v>
      </c>
      <c r="AK126" s="525">
        <f>-12.848-3.988</f>
        <v>-16.836000000000002</v>
      </c>
      <c r="AL126" s="165">
        <f>SUM(AL124:AL125)</f>
        <v>-10.848999999999997</v>
      </c>
      <c r="AM126" s="425">
        <v>-27.684999999999999</v>
      </c>
      <c r="AN126" s="604">
        <f>-12.568-0.087</f>
        <v>-12.654999999999999</v>
      </c>
      <c r="AO126" s="165">
        <f t="shared" ref="AO126:BB126" si="207">SUM(AO124:AO125)</f>
        <v>-14.38328702647194</v>
      </c>
      <c r="AP126" s="165">
        <f t="shared" si="207"/>
        <v>-27.038287026471941</v>
      </c>
      <c r="AQ126" s="165">
        <f t="shared" si="207"/>
        <v>-28.443999999999996</v>
      </c>
      <c r="AR126" s="165">
        <f t="shared" si="207"/>
        <v>-31.508872000000014</v>
      </c>
      <c r="AS126" s="165">
        <f t="shared" si="207"/>
        <v>-59.952872000000013</v>
      </c>
      <c r="AT126" s="165">
        <f t="shared" si="207"/>
        <v>-31.034491999999997</v>
      </c>
      <c r="AU126" s="165">
        <f t="shared" si="207"/>
        <v>-34.315010180000016</v>
      </c>
      <c r="AV126" s="165">
        <f t="shared" si="207"/>
        <v>-65.349502180000002</v>
      </c>
      <c r="AW126" s="165">
        <f t="shared" si="207"/>
        <v>-41.151882239999992</v>
      </c>
      <c r="AX126" s="165">
        <f t="shared" si="207"/>
        <v>-44.643714069600023</v>
      </c>
      <c r="AY126" s="165">
        <f t="shared" si="207"/>
        <v>-85.795596309600029</v>
      </c>
      <c r="AZ126" s="165">
        <f t="shared" si="207"/>
        <v>-42.191036884799999</v>
      </c>
      <c r="BA126" s="165">
        <f t="shared" si="207"/>
        <v>-45.851930350992021</v>
      </c>
      <c r="BB126" s="165">
        <f t="shared" si="207"/>
        <v>-88.04296723579202</v>
      </c>
    </row>
    <row r="127" spans="1:62">
      <c r="B127" s="7" t="s">
        <v>30</v>
      </c>
      <c r="C127" s="84" t="s">
        <v>269</v>
      </c>
      <c r="D127" s="89"/>
      <c r="E127" s="30"/>
      <c r="F127" s="31"/>
      <c r="H127" s="30"/>
      <c r="I127" s="31"/>
      <c r="J127" s="31"/>
      <c r="K127" s="30"/>
      <c r="L127" s="171"/>
      <c r="M127" s="171"/>
      <c r="N127" s="165"/>
      <c r="O127" s="171"/>
      <c r="P127" s="171"/>
      <c r="Q127" s="165"/>
      <c r="R127" s="171"/>
      <c r="S127" s="171"/>
      <c r="T127" s="165"/>
      <c r="U127" s="171"/>
      <c r="V127" s="171"/>
      <c r="W127" s="165"/>
      <c r="X127" s="171">
        <v>0</v>
      </c>
      <c r="Y127" s="171">
        <v>0</v>
      </c>
      <c r="Z127" s="165">
        <f>AA127-Y127</f>
        <v>0</v>
      </c>
      <c r="AA127" s="473">
        <v>0</v>
      </c>
      <c r="AB127" s="171">
        <f>+-359.823</f>
        <v>-359.82299999999998</v>
      </c>
      <c r="AC127" s="165">
        <f>AD127-AB127</f>
        <v>6.6639999999999873</v>
      </c>
      <c r="AD127" s="171">
        <v>-353.15899999999999</v>
      </c>
      <c r="AE127" s="171">
        <v>0</v>
      </c>
      <c r="AF127" s="165">
        <f>AG127-AE127</f>
        <v>0</v>
      </c>
      <c r="AG127" s="171">
        <v>0</v>
      </c>
      <c r="AH127" s="171">
        <v>0</v>
      </c>
      <c r="AI127" s="165">
        <f>AJ127-AH127</f>
        <v>-101.693</v>
      </c>
      <c r="AJ127" s="171">
        <v>-101.693</v>
      </c>
      <c r="AK127" s="171">
        <v>2.0659999999999998</v>
      </c>
      <c r="AL127" s="165">
        <f>AM127-AK127</f>
        <v>0</v>
      </c>
      <c r="AM127" s="425">
        <v>2.0659999999999998</v>
      </c>
      <c r="AN127" s="580">
        <v>0</v>
      </c>
      <c r="AO127" s="183">
        <v>0</v>
      </c>
      <c r="AP127" s="643">
        <f>AO127+AN127</f>
        <v>0</v>
      </c>
      <c r="AQ127" s="183">
        <v>0</v>
      </c>
      <c r="AR127" s="183">
        <v>0</v>
      </c>
      <c r="AS127" s="165">
        <f>AR127+AQ127</f>
        <v>0</v>
      </c>
      <c r="AT127" s="183">
        <v>0</v>
      </c>
      <c r="AU127" s="183">
        <v>0</v>
      </c>
      <c r="AV127" s="165">
        <f>AU127+AT127</f>
        <v>0</v>
      </c>
      <c r="AW127" s="183">
        <v>0</v>
      </c>
      <c r="AX127" s="183">
        <v>0</v>
      </c>
      <c r="AY127" s="165">
        <f>AX127+AW127</f>
        <v>0</v>
      </c>
      <c r="AZ127" s="183">
        <v>0</v>
      </c>
      <c r="BA127" s="183">
        <v>0</v>
      </c>
      <c r="BB127" s="165">
        <f>BA127+AZ127</f>
        <v>0</v>
      </c>
    </row>
    <row r="128" spans="1:62">
      <c r="B128" s="7" t="s">
        <v>31</v>
      </c>
      <c r="C128" s="84" t="s">
        <v>269</v>
      </c>
      <c r="D128" s="89"/>
      <c r="E128" s="30"/>
      <c r="F128" s="31"/>
      <c r="G128" s="89"/>
      <c r="H128" s="30"/>
      <c r="I128" s="31"/>
      <c r="J128" s="31"/>
      <c r="K128" s="30"/>
      <c r="L128" s="171"/>
      <c r="M128" s="171"/>
      <c r="N128" s="165"/>
      <c r="O128" s="171"/>
      <c r="P128" s="171"/>
      <c r="Q128" s="165"/>
      <c r="R128" s="171"/>
      <c r="S128" s="171"/>
      <c r="T128" s="165"/>
      <c r="U128" s="171"/>
      <c r="V128" s="171"/>
      <c r="W128" s="165"/>
      <c r="X128" s="171">
        <v>3.3140000000000001</v>
      </c>
      <c r="Y128" s="171">
        <v>0.86599999999999999</v>
      </c>
      <c r="Z128" s="165">
        <f>AA128-Y128</f>
        <v>0.18299999999999994</v>
      </c>
      <c r="AA128" s="473">
        <v>1.0489999999999999</v>
      </c>
      <c r="AB128" s="171">
        <v>0.375</v>
      </c>
      <c r="AC128" s="165">
        <f>AD128-AB128</f>
        <v>0.26700000000000002</v>
      </c>
      <c r="AD128" s="171">
        <v>0.64200000000000002</v>
      </c>
      <c r="AE128" s="171">
        <v>31.030999999999999</v>
      </c>
      <c r="AF128" s="165">
        <f>AG128-AE128</f>
        <v>-3.0269999999999975</v>
      </c>
      <c r="AG128" s="171">
        <v>28.004000000000001</v>
      </c>
      <c r="AH128" s="171">
        <v>0.17499999999999999</v>
      </c>
      <c r="AI128" s="165">
        <f>AJ128-AH128</f>
        <v>2.6750000000000003</v>
      </c>
      <c r="AJ128" s="171">
        <v>2.85</v>
      </c>
      <c r="AK128" s="171">
        <v>0.22900000000000001</v>
      </c>
      <c r="AL128" s="165">
        <f>AM128-AK128</f>
        <v>1.137</v>
      </c>
      <c r="AM128" s="425">
        <v>1.3660000000000001</v>
      </c>
      <c r="AN128" s="580">
        <v>1.522</v>
      </c>
      <c r="AO128" s="183">
        <v>0</v>
      </c>
      <c r="AP128" s="643">
        <f>AO128+AN128</f>
        <v>1.522</v>
      </c>
      <c r="AQ128" s="183">
        <v>0</v>
      </c>
      <c r="AR128" s="183">
        <v>0</v>
      </c>
      <c r="AS128" s="165">
        <f>AR128+AQ128</f>
        <v>0</v>
      </c>
      <c r="AT128" s="183">
        <v>0</v>
      </c>
      <c r="AU128" s="183">
        <v>0</v>
      </c>
      <c r="AV128" s="165">
        <f>AU128+AT128</f>
        <v>0</v>
      </c>
      <c r="AW128" s="183">
        <v>0</v>
      </c>
      <c r="AX128" s="183">
        <v>0</v>
      </c>
      <c r="AY128" s="165">
        <f>AX128+AW128</f>
        <v>0</v>
      </c>
      <c r="AZ128" s="183">
        <v>0</v>
      </c>
      <c r="BA128" s="183">
        <v>0</v>
      </c>
      <c r="BB128" s="165">
        <f>BA128+AZ128</f>
        <v>0</v>
      </c>
    </row>
    <row r="129" spans="1:62">
      <c r="B129" s="7" t="s">
        <v>217</v>
      </c>
      <c r="C129" s="84" t="s">
        <v>269</v>
      </c>
      <c r="D129" s="89"/>
      <c r="E129" s="30"/>
      <c r="F129" s="31"/>
      <c r="G129" s="89"/>
      <c r="H129" s="30"/>
      <c r="I129" s="31"/>
      <c r="J129" s="31"/>
      <c r="K129" s="30"/>
      <c r="L129" s="171"/>
      <c r="M129" s="171"/>
      <c r="N129" s="165"/>
      <c r="O129" s="171"/>
      <c r="P129" s="171"/>
      <c r="Q129" s="165"/>
      <c r="R129" s="171"/>
      <c r="S129" s="171"/>
      <c r="T129" s="165"/>
      <c r="U129" s="171"/>
      <c r="V129" s="171"/>
      <c r="W129" s="165"/>
      <c r="X129" s="171">
        <v>-10.32</v>
      </c>
      <c r="Y129" s="171">
        <v>-0.17899999999999999</v>
      </c>
      <c r="Z129" s="165">
        <f>AA129-Y129</f>
        <v>-0.72799999999999998</v>
      </c>
      <c r="AA129" s="473">
        <v>-0.90700000000000003</v>
      </c>
      <c r="AB129" s="171">
        <v>0</v>
      </c>
      <c r="AC129" s="165">
        <f>AD129-AB129</f>
        <v>-1.34</v>
      </c>
      <c r="AD129" s="171">
        <v>-1.34</v>
      </c>
      <c r="AE129" s="171"/>
      <c r="AF129" s="165">
        <f>AG129-AE129</f>
        <v>-6.8559999999999999</v>
      </c>
      <c r="AG129" s="171">
        <v>-6.8559999999999999</v>
      </c>
      <c r="AH129" s="171"/>
      <c r="AI129" s="165">
        <f>AJ129-AH129</f>
        <v>-1.9850000000000001</v>
      </c>
      <c r="AJ129" s="171">
        <f>-1.985</f>
        <v>-1.9850000000000001</v>
      </c>
      <c r="AK129" s="171"/>
      <c r="AL129" s="165">
        <f>AM129-AK129</f>
        <v>-5.7919999999999998</v>
      </c>
      <c r="AM129" s="425">
        <v>-5.7919999999999998</v>
      </c>
      <c r="AN129" s="580">
        <v>0</v>
      </c>
      <c r="AO129" s="183">
        <v>0</v>
      </c>
      <c r="AP129" s="643">
        <f>AO129+AN129</f>
        <v>0</v>
      </c>
      <c r="AQ129" s="183">
        <v>0</v>
      </c>
      <c r="AR129" s="183">
        <v>0</v>
      </c>
      <c r="AS129" s="165">
        <f>AR129+AQ129</f>
        <v>0</v>
      </c>
      <c r="AT129" s="183">
        <v>0</v>
      </c>
      <c r="AU129" s="183">
        <v>0</v>
      </c>
      <c r="AV129" s="165">
        <f>AU129+AT129</f>
        <v>0</v>
      </c>
      <c r="AW129" s="183">
        <v>0</v>
      </c>
      <c r="AX129" s="183">
        <v>0</v>
      </c>
      <c r="AY129" s="165">
        <f>AX129+AW129</f>
        <v>0</v>
      </c>
      <c r="AZ129" s="183">
        <v>0</v>
      </c>
      <c r="BA129" s="183">
        <v>0</v>
      </c>
      <c r="BB129" s="165">
        <f>BA129+AZ129</f>
        <v>0</v>
      </c>
    </row>
    <row r="130" spans="1:62" s="14" customFormat="1">
      <c r="A130" s="79"/>
      <c r="B130" s="79" t="s">
        <v>32</v>
      </c>
      <c r="C130" s="80" t="s">
        <v>269</v>
      </c>
      <c r="D130" s="35"/>
      <c r="E130" s="35"/>
      <c r="F130" s="35"/>
      <c r="G130" s="35"/>
      <c r="H130" s="35"/>
      <c r="I130" s="35"/>
      <c r="J130" s="35"/>
      <c r="K130" s="35"/>
      <c r="L130" s="170"/>
      <c r="M130" s="170"/>
      <c r="N130" s="170"/>
      <c r="O130" s="170"/>
      <c r="P130" s="170"/>
      <c r="Q130" s="170"/>
      <c r="R130" s="170"/>
      <c r="S130" s="170"/>
      <c r="T130" s="170"/>
      <c r="U130" s="170"/>
      <c r="V130" s="170"/>
      <c r="W130" s="170"/>
      <c r="X130" s="170">
        <f t="shared" ref="X130:AA130" si="208">SUM(X126:X129)</f>
        <v>-25.821000000000002</v>
      </c>
      <c r="Y130" s="170">
        <f t="shared" si="208"/>
        <v>-7.7690000000000001</v>
      </c>
      <c r="Z130" s="170">
        <f t="shared" si="208"/>
        <v>-27.454000000000004</v>
      </c>
      <c r="AA130" s="472">
        <f t="shared" si="208"/>
        <v>-35.222999999999999</v>
      </c>
      <c r="AB130" s="170">
        <f t="shared" ref="AB130:AJ130" si="209">SUM(AB126:AB129)</f>
        <v>-386.70499999999998</v>
      </c>
      <c r="AC130" s="170">
        <f t="shared" si="209"/>
        <v>-26.268000000000011</v>
      </c>
      <c r="AD130" s="170">
        <f t="shared" si="209"/>
        <v>-412.97299999999996</v>
      </c>
      <c r="AE130" s="170">
        <f t="shared" ref="AE130:AG130" si="210">SUM(AE126:AE129)</f>
        <v>9.2019999999999982</v>
      </c>
      <c r="AF130" s="170">
        <f t="shared" si="210"/>
        <v>-23.705999999999996</v>
      </c>
      <c r="AG130" s="170">
        <f t="shared" si="210"/>
        <v>-14.504</v>
      </c>
      <c r="AH130" s="531">
        <f t="shared" si="209"/>
        <v>-20.974999999999998</v>
      </c>
      <c r="AI130" s="170">
        <f t="shared" si="209"/>
        <v>-119.18100000000001</v>
      </c>
      <c r="AJ130" s="170">
        <f t="shared" si="209"/>
        <v>-140.15600000000003</v>
      </c>
      <c r="AK130" s="531">
        <f t="shared" ref="AK130:AM130" si="211">SUM(AK126:AK129)</f>
        <v>-14.541000000000004</v>
      </c>
      <c r="AL130" s="170">
        <f t="shared" si="211"/>
        <v>-15.503999999999996</v>
      </c>
      <c r="AM130" s="427">
        <f t="shared" si="211"/>
        <v>-30.045000000000002</v>
      </c>
      <c r="AN130" s="605">
        <f t="shared" ref="AN130" si="212">SUM(AN126:AN129)</f>
        <v>-11.132999999999999</v>
      </c>
      <c r="AO130" s="170">
        <f t="shared" ref="AO130:BB130" si="213">SUM(AO126:AO129)</f>
        <v>-14.38328702647194</v>
      </c>
      <c r="AP130" s="170">
        <f t="shared" si="213"/>
        <v>-25.516287026471943</v>
      </c>
      <c r="AQ130" s="170">
        <f t="shared" si="213"/>
        <v>-28.443999999999996</v>
      </c>
      <c r="AR130" s="170">
        <f t="shared" si="213"/>
        <v>-31.508872000000014</v>
      </c>
      <c r="AS130" s="170">
        <f t="shared" si="213"/>
        <v>-59.952872000000013</v>
      </c>
      <c r="AT130" s="170">
        <f t="shared" si="213"/>
        <v>-31.034491999999997</v>
      </c>
      <c r="AU130" s="170">
        <f t="shared" si="213"/>
        <v>-34.315010180000016</v>
      </c>
      <c r="AV130" s="170">
        <f t="shared" si="213"/>
        <v>-65.349502180000002</v>
      </c>
      <c r="AW130" s="170">
        <f t="shared" si="213"/>
        <v>-41.151882239999992</v>
      </c>
      <c r="AX130" s="170">
        <f t="shared" si="213"/>
        <v>-44.643714069600023</v>
      </c>
      <c r="AY130" s="170">
        <f t="shared" si="213"/>
        <v>-85.795596309600029</v>
      </c>
      <c r="AZ130" s="170">
        <f t="shared" si="213"/>
        <v>-42.191036884799999</v>
      </c>
      <c r="BA130" s="170">
        <f t="shared" si="213"/>
        <v>-45.851930350992021</v>
      </c>
      <c r="BB130" s="170">
        <f t="shared" si="213"/>
        <v>-88.04296723579202</v>
      </c>
      <c r="BE130"/>
      <c r="BF130"/>
      <c r="BG130"/>
      <c r="BH130"/>
      <c r="BI130"/>
      <c r="BJ130"/>
    </row>
    <row r="131" spans="1:62">
      <c r="B131" s="83" t="s">
        <v>33</v>
      </c>
      <c r="L131" s="165"/>
      <c r="M131" s="165"/>
      <c r="N131" s="165"/>
      <c r="O131" s="165"/>
      <c r="P131" s="165"/>
      <c r="Q131" s="165"/>
      <c r="R131" s="165"/>
      <c r="S131" s="165"/>
      <c r="T131" s="165"/>
      <c r="U131" s="165"/>
      <c r="V131" s="165"/>
      <c r="W131" s="165"/>
      <c r="X131" s="165"/>
      <c r="Y131" s="165"/>
      <c r="Z131" s="165"/>
      <c r="AB131" s="165"/>
      <c r="AC131" s="165"/>
      <c r="AD131" s="165"/>
      <c r="AE131" s="165"/>
      <c r="AF131" s="165"/>
      <c r="AG131" s="165"/>
      <c r="AH131" s="165"/>
      <c r="AI131" s="165"/>
      <c r="AJ131" s="165"/>
      <c r="AK131" s="165"/>
      <c r="AL131" s="165"/>
      <c r="AM131" s="428"/>
      <c r="AN131" s="577"/>
      <c r="AO131" s="165"/>
      <c r="AP131" s="165"/>
      <c r="AQ131" s="165"/>
      <c r="AR131" s="165"/>
      <c r="AS131" s="165"/>
      <c r="AT131" s="165"/>
      <c r="AU131" s="165"/>
      <c r="AV131" s="165"/>
      <c r="AW131" s="165"/>
      <c r="AX131" s="165"/>
      <c r="AY131" s="165"/>
      <c r="AZ131" s="165"/>
      <c r="BA131" s="165"/>
      <c r="BB131" s="165"/>
    </row>
    <row r="132" spans="1:62">
      <c r="B132" s="7" t="s">
        <v>34</v>
      </c>
      <c r="C132" s="84" t="s">
        <v>269</v>
      </c>
      <c r="D132" s="31"/>
      <c r="E132" s="30"/>
      <c r="F132" s="31"/>
      <c r="G132" s="31"/>
      <c r="H132" s="30"/>
      <c r="I132" s="31"/>
      <c r="J132" s="31"/>
      <c r="K132" s="31"/>
      <c r="L132" s="184"/>
      <c r="M132" s="184"/>
      <c r="N132" s="165"/>
      <c r="O132" s="171"/>
      <c r="P132" s="171"/>
      <c r="Q132" s="165"/>
      <c r="R132" s="171"/>
      <c r="S132" s="171"/>
      <c r="T132" s="165"/>
      <c r="U132" s="171"/>
      <c r="V132" s="171"/>
      <c r="W132" s="165"/>
      <c r="X132" s="171">
        <v>-26.251999999999999</v>
      </c>
      <c r="Y132" s="171">
        <v>-39.97</v>
      </c>
      <c r="Z132" s="165">
        <f>AA132-Y132</f>
        <v>-36.048000000000002</v>
      </c>
      <c r="AA132" s="473">
        <v>-76.018000000000001</v>
      </c>
      <c r="AB132" s="171">
        <v>-40.353999999999999</v>
      </c>
      <c r="AC132" s="165">
        <f>AD132-AB132</f>
        <v>-36.418000000000006</v>
      </c>
      <c r="AD132" s="171">
        <v>-76.772000000000006</v>
      </c>
      <c r="AE132" s="525">
        <v>-39.249000000000002</v>
      </c>
      <c r="AF132" s="165">
        <f>AG132-AE132</f>
        <v>-35.298999999999999</v>
      </c>
      <c r="AG132" s="171">
        <v>-74.548000000000002</v>
      </c>
      <c r="AH132" s="525">
        <v>-39.265999999999998</v>
      </c>
      <c r="AI132" s="165">
        <f>AJ132-AH132</f>
        <v>-17.697000000000003</v>
      </c>
      <c r="AJ132" s="171">
        <v>-56.963000000000001</v>
      </c>
      <c r="AK132" s="525">
        <v>-19.553999999999998</v>
      </c>
      <c r="AL132" s="165">
        <f>AM132-AK132</f>
        <v>-19.583000000000002</v>
      </c>
      <c r="AM132" s="425">
        <v>-39.137</v>
      </c>
      <c r="AN132" s="604">
        <v>-19.338000000000001</v>
      </c>
      <c r="AO132" s="165">
        <f>-AO310</f>
        <v>-15.8618953</v>
      </c>
      <c r="AP132" s="643">
        <f>SUM(AN132:AO132)</f>
        <v>-35.199895300000001</v>
      </c>
      <c r="AQ132" s="165">
        <f>-AQ310</f>
        <v>-19.832969012901479</v>
      </c>
      <c r="AR132" s="165">
        <f>-AR310</f>
        <v>-23.735615933695776</v>
      </c>
      <c r="AS132" s="165">
        <f>SUM(AQ132:AR132)</f>
        <v>-43.568584946597255</v>
      </c>
      <c r="AT132" s="165">
        <f>-AT310</f>
        <v>-23.807776080297781</v>
      </c>
      <c r="AU132" s="165">
        <f>-AU310</f>
        <v>-26.171248537598732</v>
      </c>
      <c r="AV132" s="165">
        <f>SUM(AT132:AU132)</f>
        <v>-49.979024617896513</v>
      </c>
      <c r="AW132" s="165">
        <f>-AW310</f>
        <v>-27.994671213028447</v>
      </c>
      <c r="AX132" s="165">
        <f>-AX310</f>
        <v>-27.692919203648554</v>
      </c>
      <c r="AY132" s="165">
        <f>SUM(AW132:AX132)</f>
        <v>-55.687590416676997</v>
      </c>
      <c r="AZ132" s="165">
        <f>-AZ310</f>
        <v>-29.49717098358305</v>
      </c>
      <c r="BA132" s="165">
        <f>-BA310</f>
        <v>-30.411642823657104</v>
      </c>
      <c r="BB132" s="165">
        <f>SUM(AZ132:BA132)</f>
        <v>-59.908813807240151</v>
      </c>
    </row>
    <row r="133" spans="1:62">
      <c r="B133" s="7" t="s">
        <v>408</v>
      </c>
      <c r="C133" s="84" t="s">
        <v>269</v>
      </c>
      <c r="D133" s="31"/>
      <c r="E133" s="30"/>
      <c r="F133" s="31"/>
      <c r="G133" s="31"/>
      <c r="H133" s="30"/>
      <c r="I133" s="31"/>
      <c r="J133" s="31"/>
      <c r="K133" s="31"/>
      <c r="L133" s="171"/>
      <c r="M133" s="184"/>
      <c r="N133" s="165"/>
      <c r="O133" s="171"/>
      <c r="P133" s="165"/>
      <c r="Q133" s="165"/>
      <c r="R133" s="171"/>
      <c r="S133" s="171"/>
      <c r="T133" s="165"/>
      <c r="U133" s="171"/>
      <c r="V133" s="171"/>
      <c r="W133" s="165"/>
      <c r="X133" s="171">
        <v>0</v>
      </c>
      <c r="Y133" s="171">
        <v>0</v>
      </c>
      <c r="Z133" s="165">
        <f>AA133-Y133</f>
        <v>0</v>
      </c>
      <c r="AA133" s="473">
        <v>0</v>
      </c>
      <c r="AB133" s="171">
        <v>0</v>
      </c>
      <c r="AC133" s="165">
        <f>AD133-AB133</f>
        <v>0</v>
      </c>
      <c r="AD133" s="171">
        <v>0</v>
      </c>
      <c r="AE133" s="171">
        <v>-1.415</v>
      </c>
      <c r="AF133" s="165">
        <f>AG133-AE133</f>
        <v>1.415</v>
      </c>
      <c r="AG133" s="171">
        <v>0</v>
      </c>
      <c r="AH133" s="171">
        <v>0</v>
      </c>
      <c r="AI133" s="165">
        <f>AJ133-AH133</f>
        <v>0</v>
      </c>
      <c r="AJ133" s="171">
        <v>0</v>
      </c>
      <c r="AK133" s="171">
        <v>-20.074999999999999</v>
      </c>
      <c r="AL133" s="165">
        <f>AM133-AK133</f>
        <v>20.074999999999999</v>
      </c>
      <c r="AM133" s="425">
        <v>0</v>
      </c>
      <c r="AN133" s="604">
        <v>-19.488</v>
      </c>
      <c r="AO133" s="165">
        <f>AO263*5</f>
        <v>-15.8618953</v>
      </c>
      <c r="AP133" s="643">
        <f t="shared" ref="AP133" si="214">SUM(AN133:AO133)</f>
        <v>-35.3498953</v>
      </c>
      <c r="AQ133" s="165">
        <f>AQ263*5</f>
        <v>-19.832969012901479</v>
      </c>
      <c r="AR133" s="165">
        <f>AR263*5</f>
        <v>-23.735615933695776</v>
      </c>
      <c r="AS133" s="165">
        <f t="shared" ref="AS133" si="215">SUM(AQ133:AR133)</f>
        <v>-43.568584946597255</v>
      </c>
      <c r="AT133" s="165">
        <f t="shared" ref="AT133:AU133" si="216">AT263*5</f>
        <v>-23.807776080297781</v>
      </c>
      <c r="AU133" s="165">
        <f t="shared" si="216"/>
        <v>-26.171248537598728</v>
      </c>
      <c r="AV133" s="165">
        <f t="shared" ref="AV133" si="217">SUM(AT133:AU133)</f>
        <v>-49.979024617896513</v>
      </c>
      <c r="AW133" s="165">
        <f t="shared" ref="AW133:AX133" si="218">AW263*5</f>
        <v>-27.994671213028447</v>
      </c>
      <c r="AX133" s="165">
        <f t="shared" si="218"/>
        <v>-27.692919203648554</v>
      </c>
      <c r="AY133" s="165">
        <f t="shared" ref="AY133" si="219">SUM(AW133:AX133)</f>
        <v>-55.687590416676997</v>
      </c>
      <c r="AZ133" s="165">
        <f t="shared" ref="AZ133:BA133" si="220">AZ263*5</f>
        <v>-29.497170983583054</v>
      </c>
      <c r="BA133" s="165">
        <f t="shared" si="220"/>
        <v>-30.411642823657104</v>
      </c>
      <c r="BB133" s="165">
        <f t="shared" ref="BB133" si="221">SUM(AZ133:BA133)</f>
        <v>-59.908813807240158</v>
      </c>
    </row>
    <row r="134" spans="1:62">
      <c r="B134" s="7" t="s">
        <v>36</v>
      </c>
      <c r="C134" s="84" t="s">
        <v>269</v>
      </c>
      <c r="D134" s="31"/>
      <c r="E134" s="30"/>
      <c r="F134" s="31"/>
      <c r="G134" s="31"/>
      <c r="H134" s="30"/>
      <c r="I134" s="31"/>
      <c r="J134" s="31"/>
      <c r="K134" s="31"/>
      <c r="L134" s="171"/>
      <c r="M134" s="171"/>
      <c r="N134" s="165"/>
      <c r="O134" s="171"/>
      <c r="P134" s="171"/>
      <c r="Q134" s="165"/>
      <c r="R134" s="171"/>
      <c r="S134" s="171"/>
      <c r="T134" s="165"/>
      <c r="U134" s="171"/>
      <c r="V134" s="171"/>
      <c r="W134" s="165"/>
      <c r="X134" s="171">
        <f>-120.484+39.577</f>
        <v>-80.906999999999996</v>
      </c>
      <c r="Y134" s="171">
        <f>-86.244+24.572</f>
        <v>-61.671999999999997</v>
      </c>
      <c r="Z134" s="165">
        <f>AA134-Y134</f>
        <v>-53.972000000000008</v>
      </c>
      <c r="AA134" s="473">
        <f>-167.173+51.529</f>
        <v>-115.64400000000001</v>
      </c>
      <c r="AB134" s="171">
        <f>432.052-11.008</f>
        <v>421.04400000000004</v>
      </c>
      <c r="AC134" s="165">
        <f>AD134-AB134</f>
        <v>10.885999999999967</v>
      </c>
      <c r="AD134" s="171">
        <f>-338.238+770.168</f>
        <v>431.93</v>
      </c>
      <c r="AE134" s="171">
        <f>50.344-61.293</f>
        <v>-10.948999999999998</v>
      </c>
      <c r="AF134" s="165">
        <f>AG134-AE134</f>
        <v>-116.63900000000001</v>
      </c>
      <c r="AG134" s="171">
        <f>-202.68+75.092</f>
        <v>-127.58800000000001</v>
      </c>
      <c r="AH134" s="171">
        <f>49.017-80.586</f>
        <v>-31.568999999999996</v>
      </c>
      <c r="AI134" s="165">
        <f>AJ134-AH134</f>
        <v>17.934000000000005</v>
      </c>
      <c r="AJ134" s="171">
        <f>-183.608+169.973</f>
        <v>-13.634999999999991</v>
      </c>
      <c r="AK134" s="171">
        <f>31.954-60.965</f>
        <v>-29.011000000000003</v>
      </c>
      <c r="AL134" s="165">
        <f>AM134-AK134</f>
        <v>-50.699999999999982</v>
      </c>
      <c r="AM134" s="425">
        <f>214.758+-294.469</f>
        <v>-79.710999999999984</v>
      </c>
      <c r="AN134" s="580">
        <f>63.497-84.574</f>
        <v>-21.076999999999998</v>
      </c>
      <c r="AO134" s="165">
        <f>IF(AN211-AO122-AO130-AO132-AO133-AO135&lt;0,0,-(AO122+AO130+AO132+AO133+AO135))</f>
        <v>-40.871977283736008</v>
      </c>
      <c r="AP134" s="643">
        <f>+AO134+AN134</f>
        <v>-61.948977283736006</v>
      </c>
      <c r="AQ134" s="165">
        <f>IF(AP211-AQ122-AQ130-AQ132-AQ133-AQ135&lt;0,0,-(AQ122+AQ130+AQ132+AQ133+AQ135))</f>
        <v>8.4743556279715744</v>
      </c>
      <c r="AR134" s="165">
        <f>IF(AQ211-AR122-AR130-AR132-AR133-AR135&lt;0,0,-(AR122+AR130+AR132+AR133+AR135))</f>
        <v>-68.801086726944746</v>
      </c>
      <c r="AS134" s="165">
        <f>+AR134+AQ134</f>
        <v>-60.32673109897317</v>
      </c>
      <c r="AT134" s="165">
        <f>IF(AS211-AT122-AT130-AT132-AT133-AT135&lt;0,0,-(AT122+AT130+AT132+AT133+AT135))</f>
        <v>15.995772924366491</v>
      </c>
      <c r="AU134" s="165">
        <f>IF(AT211-AU122-AU130-AU132-AU133-AU135&lt;0,0,-(AU122+AU130+AU132+AU133+AU135))</f>
        <v>-74.692621609107206</v>
      </c>
      <c r="AV134" s="165">
        <f>+AU134+AT134</f>
        <v>-58.696848684740715</v>
      </c>
      <c r="AW134" s="165">
        <f>IF(AV211-AW122-AW130-AW132-AW133-AW135&lt;0,0,-(AW122+AW130+AW132+AW133+AW135))</f>
        <v>26.16292424249302</v>
      </c>
      <c r="AX134" s="165">
        <f>IF(AW211-AX122-AX130-AX132-AX133-AX135&lt;0,0,-(AX122+AX130+AX132+AX133+AX135))</f>
        <v>-68.203927054752512</v>
      </c>
      <c r="AY134" s="165">
        <f>+AX134+AW134</f>
        <v>-42.041002812259492</v>
      </c>
      <c r="AZ134" s="165">
        <f>IF(AY211-AZ122-AZ130-AZ132-AZ133-AZ135&lt;0,0,-(AZ122+AZ130+AZ132+AZ133+AZ135))</f>
        <v>21.698279221581437</v>
      </c>
      <c r="BA134" s="165">
        <f>IF(AZ211-BA122-BA130-BA132-BA133-BA135&lt;0,0,-(BA122+BA130+BA132+BA133+BA135))</f>
        <v>-72.934362726793935</v>
      </c>
      <c r="BB134" s="165">
        <f>+BA134+AZ134</f>
        <v>-51.236083505212498</v>
      </c>
    </row>
    <row r="135" spans="1:62">
      <c r="B135" s="7" t="s">
        <v>217</v>
      </c>
      <c r="C135" s="84" t="s">
        <v>269</v>
      </c>
      <c r="D135" s="31"/>
      <c r="E135" s="31"/>
      <c r="F135" s="31"/>
      <c r="G135" s="31"/>
      <c r="H135" s="31"/>
      <c r="I135" s="31"/>
      <c r="J135" s="31"/>
      <c r="K135" s="31"/>
      <c r="L135" s="171"/>
      <c r="M135" s="171"/>
      <c r="N135" s="165"/>
      <c r="O135" s="165"/>
      <c r="P135" s="171"/>
      <c r="Q135" s="165"/>
      <c r="R135" s="171"/>
      <c r="S135" s="171"/>
      <c r="T135" s="165"/>
      <c r="U135" s="171"/>
      <c r="V135" s="171"/>
      <c r="W135" s="165"/>
      <c r="X135" s="171">
        <f>-10.994-9.864+0.433</f>
        <v>-20.425000000000001</v>
      </c>
      <c r="Y135" s="171">
        <f>-5.761-3.335+0.091-0.2</f>
        <v>-9.2050000000000001</v>
      </c>
      <c r="Z135" s="165">
        <f>AA135-Y135</f>
        <v>-7.8819999999999997</v>
      </c>
      <c r="AA135" s="473">
        <f>-11.785-5.343+0.134-0.093</f>
        <v>-17.087</v>
      </c>
      <c r="AB135" s="171">
        <f>0.024-3.379-6.26</f>
        <v>-9.6150000000000002</v>
      </c>
      <c r="AC135" s="165">
        <f>AD135-AB135</f>
        <v>-13.132</v>
      </c>
      <c r="AD135" s="171">
        <f>-13.584-8.446+0.045-0.762</f>
        <v>-22.747</v>
      </c>
      <c r="AE135" s="171">
        <f>0.087-12.749-7.725</f>
        <v>-20.387</v>
      </c>
      <c r="AF135" s="165">
        <f>AG135-AE135</f>
        <v>-24.720999999999997</v>
      </c>
      <c r="AG135" s="171">
        <f>-15.139+-28.303-0.346+-1.32</f>
        <v>-45.107999999999997</v>
      </c>
      <c r="AH135" s="171">
        <f>0.178-12.504-7.89</f>
        <v>-20.215999999999998</v>
      </c>
      <c r="AI135" s="165">
        <f>AJ135-AH135</f>
        <v>-40.677999999999997</v>
      </c>
      <c r="AJ135" s="171">
        <f>-17.794+0.626+-17.171+-26.555</f>
        <v>-60.893999999999998</v>
      </c>
      <c r="AK135" s="171">
        <f>0.182+-9.896+-12.506</f>
        <v>-22.22</v>
      </c>
      <c r="AL135" s="165">
        <f>AM135-AK135</f>
        <v>-60.328000000000003</v>
      </c>
      <c r="AM135" s="425">
        <f>-39.463+0.415+-23.484+-20.016</f>
        <v>-82.548000000000002</v>
      </c>
      <c r="AN135" s="580">
        <f>1.434+-7.787+-11.95+-2.441</f>
        <v>-20.743999999999996</v>
      </c>
      <c r="AO135" s="183">
        <f>AO59</f>
        <v>-11.63909816801357</v>
      </c>
      <c r="AP135" s="643">
        <f>AO135+AN135</f>
        <v>-32.383098168013568</v>
      </c>
      <c r="AQ135" s="183">
        <f>AQ59</f>
        <v>-11.405350799288717</v>
      </c>
      <c r="AR135" s="183">
        <f>AR59</f>
        <v>-10.735540085090168</v>
      </c>
      <c r="AS135" s="165">
        <f>AR135+AQ135</f>
        <v>-22.140890884378884</v>
      </c>
      <c r="AT135" s="183">
        <f>AT59</f>
        <v>-12.19528562547908</v>
      </c>
      <c r="AU135" s="183">
        <f>AU59</f>
        <v>-10.346653956238312</v>
      </c>
      <c r="AV135" s="165">
        <f>AU135+AT135</f>
        <v>-22.541939581717394</v>
      </c>
      <c r="AW135" s="183">
        <f>AW59</f>
        <v>-13.08301873248331</v>
      </c>
      <c r="AX135" s="183">
        <f>AX59</f>
        <v>-11.555254392106802</v>
      </c>
      <c r="AY135" s="165">
        <f>AX135+AW135</f>
        <v>-24.638273124590114</v>
      </c>
      <c r="AZ135" s="183">
        <f>AZ59</f>
        <v>-9.0828103210740618</v>
      </c>
      <c r="BA135" s="183">
        <f>BA59</f>
        <v>-6.3538526098577188</v>
      </c>
      <c r="BB135" s="165">
        <f>BA135+AZ135</f>
        <v>-15.436662930931782</v>
      </c>
    </row>
    <row r="136" spans="1:62" s="14" customFormat="1">
      <c r="A136" s="79"/>
      <c r="B136" s="79" t="s">
        <v>37</v>
      </c>
      <c r="C136" s="80" t="s">
        <v>269</v>
      </c>
      <c r="D136" s="35"/>
      <c r="E136" s="35"/>
      <c r="F136" s="35"/>
      <c r="G136" s="35"/>
      <c r="H136" s="35"/>
      <c r="I136" s="35"/>
      <c r="J136" s="35"/>
      <c r="K136" s="35"/>
      <c r="L136" s="170"/>
      <c r="M136" s="170"/>
      <c r="N136" s="170"/>
      <c r="O136" s="170"/>
      <c r="P136" s="170"/>
      <c r="Q136" s="170"/>
      <c r="R136" s="170"/>
      <c r="S136" s="170"/>
      <c r="T136" s="170"/>
      <c r="U136" s="170"/>
      <c r="V136" s="170"/>
      <c r="W136" s="170"/>
      <c r="X136" s="170">
        <f t="shared" ref="X136:AA136" si="222">SUM(X132:X135)</f>
        <v>-127.58399999999999</v>
      </c>
      <c r="Y136" s="170">
        <f t="shared" si="222"/>
        <v>-110.84699999999999</v>
      </c>
      <c r="Z136" s="170">
        <f t="shared" si="222"/>
        <v>-97.902000000000015</v>
      </c>
      <c r="AA136" s="472">
        <f t="shared" si="222"/>
        <v>-208.749</v>
      </c>
      <c r="AB136" s="170">
        <f t="shared" ref="AB136" si="223">SUM(AB132:AB135)</f>
        <v>371.07500000000005</v>
      </c>
      <c r="AC136" s="170">
        <f t="shared" ref="AC136:AE136" si="224">SUM(AC132:AC135)</f>
        <v>-38.664000000000037</v>
      </c>
      <c r="AD136" s="170">
        <f t="shared" si="224"/>
        <v>332.411</v>
      </c>
      <c r="AE136" s="170">
        <f t="shared" si="224"/>
        <v>-72</v>
      </c>
      <c r="AF136" s="170">
        <f t="shared" ref="AF136:AG136" si="225">SUM(AF132:AF135)</f>
        <v>-175.24400000000003</v>
      </c>
      <c r="AG136" s="170">
        <f t="shared" si="225"/>
        <v>-247.24400000000003</v>
      </c>
      <c r="AH136" s="534">
        <f t="shared" ref="AH136:AI136" si="226">SUM(AH132:AH135)</f>
        <v>-91.050999999999988</v>
      </c>
      <c r="AI136" s="170">
        <f t="shared" si="226"/>
        <v>-40.440999999999995</v>
      </c>
      <c r="AJ136" s="170">
        <f>SUM(AJ132:AJ135)</f>
        <v>-131.49199999999999</v>
      </c>
      <c r="AK136" s="534">
        <f t="shared" ref="AK136:AL136" si="227">SUM(AK132:AK135)</f>
        <v>-90.86</v>
      </c>
      <c r="AL136" s="170">
        <f t="shared" si="227"/>
        <v>-110.53599999999999</v>
      </c>
      <c r="AM136" s="553">
        <f>SUM(AM132:AM135)</f>
        <v>-201.39599999999999</v>
      </c>
      <c r="AN136" s="606">
        <f t="shared" ref="AN136" si="228">SUM(AN132:AN135)</f>
        <v>-80.646999999999991</v>
      </c>
      <c r="AO136" s="170">
        <f t="shared" ref="AO136:BB136" si="229">SUM(AO132:AO135)</f>
        <v>-84.234866051749592</v>
      </c>
      <c r="AP136" s="170">
        <f t="shared" si="229"/>
        <v>-164.88186605174957</v>
      </c>
      <c r="AQ136" s="170">
        <f t="shared" si="229"/>
        <v>-42.596933197120102</v>
      </c>
      <c r="AR136" s="170">
        <f t="shared" si="229"/>
        <v>-127.00785867942646</v>
      </c>
      <c r="AS136" s="170">
        <f t="shared" si="229"/>
        <v>-169.60479187654656</v>
      </c>
      <c r="AT136" s="170">
        <f t="shared" si="229"/>
        <v>-43.815064861708152</v>
      </c>
      <c r="AU136" s="170">
        <f t="shared" si="229"/>
        <v>-137.38177264054298</v>
      </c>
      <c r="AV136" s="170">
        <f t="shared" si="229"/>
        <v>-181.19683750225116</v>
      </c>
      <c r="AW136" s="170">
        <f t="shared" si="229"/>
        <v>-42.909436916047184</v>
      </c>
      <c r="AX136" s="170">
        <f t="shared" si="229"/>
        <v>-135.14501985415643</v>
      </c>
      <c r="AY136" s="170">
        <f t="shared" si="229"/>
        <v>-178.05445677020361</v>
      </c>
      <c r="AZ136" s="170">
        <f t="shared" si="229"/>
        <v>-46.378873066658734</v>
      </c>
      <c r="BA136" s="170">
        <f t="shared" si="229"/>
        <v>-140.11150098396587</v>
      </c>
      <c r="BB136" s="170">
        <f t="shared" si="229"/>
        <v>-186.49037405062458</v>
      </c>
      <c r="BE136"/>
      <c r="BF136"/>
      <c r="BG136"/>
      <c r="BH136"/>
      <c r="BI136"/>
      <c r="BJ136"/>
    </row>
    <row r="137" spans="1:62">
      <c r="A137" s="82"/>
      <c r="B137" s="79" t="s">
        <v>39</v>
      </c>
      <c r="C137" s="80" t="s">
        <v>269</v>
      </c>
      <c r="D137" s="43"/>
      <c r="E137" s="43"/>
      <c r="F137" s="43"/>
      <c r="G137" s="43"/>
      <c r="H137" s="43"/>
      <c r="I137" s="43"/>
      <c r="J137" s="43"/>
      <c r="K137" s="43"/>
      <c r="L137" s="185"/>
      <c r="M137" s="185"/>
      <c r="N137" s="185"/>
      <c r="O137" s="185"/>
      <c r="P137" s="185"/>
      <c r="Q137" s="185"/>
      <c r="R137" s="185"/>
      <c r="S137" s="185"/>
      <c r="T137" s="185"/>
      <c r="U137" s="185"/>
      <c r="V137" s="185"/>
      <c r="W137" s="185"/>
      <c r="X137" s="185">
        <f t="shared" ref="X137:AJ137" si="230">X122+X130+X136</f>
        <v>8.1540000000000106</v>
      </c>
      <c r="Y137" s="185">
        <f t="shared" si="230"/>
        <v>-29.277000000000001</v>
      </c>
      <c r="Z137" s="185">
        <f t="shared" si="230"/>
        <v>-9.0630000000000166</v>
      </c>
      <c r="AA137" s="477">
        <f t="shared" si="230"/>
        <v>-38.340000000000003</v>
      </c>
      <c r="AB137" s="185">
        <f t="shared" ref="AB137:AD137" si="231">AB122+AB130+AB136</f>
        <v>6.0460000000000491</v>
      </c>
      <c r="AC137" s="185">
        <f t="shared" si="231"/>
        <v>2.6739999999999426</v>
      </c>
      <c r="AD137" s="185">
        <f t="shared" si="231"/>
        <v>8.7200000000000273</v>
      </c>
      <c r="AE137" s="185">
        <f t="shared" ref="AE137:AG137" si="232">AE122+AE130+AE136</f>
        <v>7.5189999999999912</v>
      </c>
      <c r="AF137" s="185">
        <f t="shared" si="232"/>
        <v>-19.007000000000033</v>
      </c>
      <c r="AG137" s="185">
        <f t="shared" si="232"/>
        <v>-11.488000000000028</v>
      </c>
      <c r="AH137" s="165">
        <f t="shared" si="230"/>
        <v>10.021000000000015</v>
      </c>
      <c r="AI137" s="185">
        <f t="shared" si="230"/>
        <v>-7.2620000000000218</v>
      </c>
      <c r="AJ137" s="185">
        <f t="shared" si="230"/>
        <v>2.7589999999999577</v>
      </c>
      <c r="AK137" s="165">
        <f t="shared" ref="AK137:AM137" si="233">AK122+AK130+AK136</f>
        <v>3.3430000000000035</v>
      </c>
      <c r="AL137" s="185">
        <f t="shared" si="233"/>
        <v>-1.7879999999999683</v>
      </c>
      <c r="AM137" s="559">
        <f t="shared" si="233"/>
        <v>1.5550000000000352</v>
      </c>
      <c r="AN137" s="577">
        <f t="shared" ref="AN137" si="234">AN122+AN130+AN136</f>
        <v>0.51200000000001467</v>
      </c>
      <c r="AO137" s="185">
        <f>AO122+AO130+AO136</f>
        <v>0</v>
      </c>
      <c r="AP137" s="185">
        <f t="shared" ref="AP137:BB137" si="235">AP122+AP130+AP136</f>
        <v>0.51200000000000045</v>
      </c>
      <c r="AQ137" s="185">
        <f t="shared" si="235"/>
        <v>0</v>
      </c>
      <c r="AR137" s="185">
        <f t="shared" si="235"/>
        <v>0</v>
      </c>
      <c r="AS137" s="185">
        <f t="shared" si="235"/>
        <v>0</v>
      </c>
      <c r="AT137" s="185">
        <f t="shared" si="235"/>
        <v>0</v>
      </c>
      <c r="AU137" s="185">
        <f t="shared" si="235"/>
        <v>0</v>
      </c>
      <c r="AV137" s="185">
        <f t="shared" si="235"/>
        <v>0</v>
      </c>
      <c r="AW137" s="185">
        <f t="shared" si="235"/>
        <v>0</v>
      </c>
      <c r="AX137" s="185">
        <f t="shared" si="235"/>
        <v>0</v>
      </c>
      <c r="AY137" s="185">
        <f t="shared" si="235"/>
        <v>0</v>
      </c>
      <c r="AZ137" s="185">
        <f t="shared" si="235"/>
        <v>0</v>
      </c>
      <c r="BA137" s="185">
        <f t="shared" si="235"/>
        <v>0</v>
      </c>
      <c r="BB137" s="185">
        <f t="shared" si="235"/>
        <v>0</v>
      </c>
    </row>
    <row r="138" spans="1:62">
      <c r="B138" s="7" t="s">
        <v>38</v>
      </c>
      <c r="C138" s="84" t="s">
        <v>269</v>
      </c>
      <c r="D138" s="31"/>
      <c r="E138" s="31"/>
      <c r="F138" s="31"/>
      <c r="G138" s="31"/>
      <c r="H138" s="92"/>
      <c r="I138" s="31"/>
      <c r="J138" s="31"/>
      <c r="K138" s="92"/>
      <c r="L138" s="171"/>
      <c r="M138" s="171"/>
      <c r="N138" s="165"/>
      <c r="O138" s="171"/>
      <c r="P138" s="171"/>
      <c r="Q138" s="165"/>
      <c r="R138" s="171"/>
      <c r="S138" s="171"/>
      <c r="T138" s="165"/>
      <c r="U138" s="171"/>
      <c r="V138" s="171"/>
      <c r="W138" s="165"/>
      <c r="X138" s="171">
        <v>-0.19500000000000001</v>
      </c>
      <c r="Y138" s="171">
        <v>-3.177</v>
      </c>
      <c r="Z138" s="165">
        <v>0</v>
      </c>
      <c r="AA138" s="473">
        <v>3.2869999999999999</v>
      </c>
      <c r="AB138" s="171">
        <v>-0.97399999999999998</v>
      </c>
      <c r="AC138" s="165">
        <v>0</v>
      </c>
      <c r="AD138" s="171">
        <v>-2.36</v>
      </c>
      <c r="AE138" s="171">
        <v>-0.27600000000000002</v>
      </c>
      <c r="AF138" s="165">
        <v>-1.1546666666666701</v>
      </c>
      <c r="AG138" s="171">
        <v>-0.26600000000000001</v>
      </c>
      <c r="AH138" s="171">
        <v>0.52700000000000002</v>
      </c>
      <c r="AI138" s="165">
        <v>1.38377777777777</v>
      </c>
      <c r="AJ138" s="171">
        <v>0.53900000000000003</v>
      </c>
      <c r="AK138" s="171">
        <v>-0.89400000000000002</v>
      </c>
      <c r="AL138" s="165">
        <v>-1.9348518518518401</v>
      </c>
      <c r="AM138" s="425">
        <v>3.9169999999999998</v>
      </c>
      <c r="AN138" s="580">
        <v>9.4E-2</v>
      </c>
      <c r="AO138" s="183">
        <v>0</v>
      </c>
      <c r="AP138" s="646">
        <f>AO138+AN138</f>
        <v>9.4E-2</v>
      </c>
      <c r="AQ138" s="183">
        <v>0</v>
      </c>
      <c r="AR138" s="183">
        <v>0</v>
      </c>
      <c r="AS138" s="186">
        <f>AR138+AQ138</f>
        <v>0</v>
      </c>
      <c r="AT138" s="183">
        <v>0</v>
      </c>
      <c r="AU138" s="183">
        <v>0</v>
      </c>
      <c r="AV138" s="186">
        <f>AU138+AT138</f>
        <v>0</v>
      </c>
      <c r="AW138" s="183">
        <v>0</v>
      </c>
      <c r="AX138" s="183">
        <v>0</v>
      </c>
      <c r="AY138" s="186">
        <f>AX138+AW138</f>
        <v>0</v>
      </c>
      <c r="AZ138" s="183">
        <v>0</v>
      </c>
      <c r="BA138" s="183">
        <v>0</v>
      </c>
      <c r="BB138" s="186">
        <f>BA138+AZ138</f>
        <v>0</v>
      </c>
    </row>
    <row r="139" spans="1:62">
      <c r="B139" s="7" t="s">
        <v>385</v>
      </c>
      <c r="C139" s="84" t="s">
        <v>269</v>
      </c>
      <c r="D139" s="31"/>
      <c r="E139" s="31"/>
      <c r="F139" s="31"/>
      <c r="G139" s="31"/>
      <c r="H139" s="92"/>
      <c r="I139" s="31"/>
      <c r="J139" s="92"/>
      <c r="K139" s="92"/>
      <c r="L139" s="165"/>
      <c r="M139" s="171"/>
      <c r="N139" s="165"/>
      <c r="O139" s="171"/>
      <c r="P139" s="171"/>
      <c r="Q139" s="165"/>
      <c r="R139" s="186"/>
      <c r="S139" s="171"/>
      <c r="T139" s="165"/>
      <c r="U139" s="186"/>
      <c r="V139" s="171"/>
      <c r="W139" s="165"/>
      <c r="X139" s="186">
        <v>0</v>
      </c>
      <c r="Y139" s="171">
        <v>0</v>
      </c>
      <c r="Z139" s="165">
        <f>AA139-Y139</f>
        <v>0.27000000000000401</v>
      </c>
      <c r="AA139" s="482">
        <f>X187-AA187+AA137+AA138</f>
        <v>0.27000000000000401</v>
      </c>
      <c r="AB139" s="171">
        <v>0</v>
      </c>
      <c r="AC139" s="165">
        <f>AD139-AB139</f>
        <v>2.7977620220553945E-14</v>
      </c>
      <c r="AD139" s="186">
        <f>AA187-AD187+AD137+AD138</f>
        <v>2.7977620220553945E-14</v>
      </c>
      <c r="AE139" s="171"/>
      <c r="AF139" s="165">
        <f>AG139-AE139</f>
        <v>-0.69200000000003037</v>
      </c>
      <c r="AG139" s="186">
        <f>AD187-AG187+AG137+AG138</f>
        <v>-0.69200000000003037</v>
      </c>
      <c r="AH139" s="171"/>
      <c r="AI139" s="165">
        <f>AJ139-AH139</f>
        <v>-4.0523140398818214E-14</v>
      </c>
      <c r="AJ139" s="186">
        <f>AG187-AJ187+AJ137+AJ138</f>
        <v>-4.0523140398818214E-14</v>
      </c>
      <c r="AK139" s="171"/>
      <c r="AL139" s="165">
        <f>AM139-AK139</f>
        <v>3.0000000000338645E-3</v>
      </c>
      <c r="AM139" s="429">
        <f>AJ187-AM187+AM137+AM138</f>
        <v>3.0000000000338645E-3</v>
      </c>
      <c r="AN139" s="429">
        <f>AK187-AN187+AN137+AN138</f>
        <v>-2.9299999999999833</v>
      </c>
      <c r="AO139" s="183"/>
      <c r="AP139" s="647">
        <f>AN139+AO139+2.93</f>
        <v>1.6875389974302379E-14</v>
      </c>
      <c r="AQ139" s="183"/>
      <c r="AR139" s="183"/>
      <c r="AS139" s="186"/>
      <c r="AT139" s="183"/>
      <c r="AU139" s="183"/>
      <c r="AV139" s="186"/>
      <c r="AW139" s="183"/>
      <c r="AX139" s="183"/>
      <c r="AY139" s="186"/>
      <c r="AZ139" s="183"/>
      <c r="BA139" s="183"/>
      <c r="BB139" s="186"/>
    </row>
    <row r="140" spans="1:62">
      <c r="A140" s="82"/>
      <c r="B140" s="79" t="s">
        <v>442</v>
      </c>
      <c r="C140" s="80" t="s">
        <v>269</v>
      </c>
      <c r="D140" s="43"/>
      <c r="E140" s="43"/>
      <c r="F140" s="43"/>
      <c r="G140" s="43"/>
      <c r="H140" s="43"/>
      <c r="I140" s="43"/>
      <c r="J140" s="43"/>
      <c r="K140" s="43"/>
      <c r="L140" s="185"/>
      <c r="M140" s="185"/>
      <c r="N140" s="185"/>
      <c r="O140" s="185"/>
      <c r="P140" s="185"/>
      <c r="Q140" s="185"/>
      <c r="R140" s="185"/>
      <c r="S140" s="185"/>
      <c r="T140" s="185"/>
      <c r="U140" s="185"/>
      <c r="V140" s="185"/>
      <c r="W140" s="185"/>
      <c r="X140" s="185">
        <f t="shared" ref="X140:AJ140" si="236">X122+X126</f>
        <v>142.744</v>
      </c>
      <c r="Y140" s="185">
        <f t="shared" ref="Y140:AD140" si="237">Y122+Y126</f>
        <v>80.882999999999996</v>
      </c>
      <c r="Z140" s="185">
        <f t="shared" si="237"/>
        <v>89.384</v>
      </c>
      <c r="AA140" s="477">
        <f t="shared" si="237"/>
        <v>170.267</v>
      </c>
      <c r="AB140" s="185">
        <f t="shared" si="237"/>
        <v>-5.5810000000000031</v>
      </c>
      <c r="AC140" s="185">
        <f t="shared" si="237"/>
        <v>35.747</v>
      </c>
      <c r="AD140" s="185">
        <f t="shared" si="237"/>
        <v>30.165999999999997</v>
      </c>
      <c r="AE140" s="185">
        <f t="shared" ref="AE140:AG140" si="238">AE122+AE126</f>
        <v>48.487999999999992</v>
      </c>
      <c r="AF140" s="185">
        <f t="shared" si="238"/>
        <v>166.11999999999998</v>
      </c>
      <c r="AG140" s="185">
        <f t="shared" si="238"/>
        <v>214.608</v>
      </c>
      <c r="AH140" s="165">
        <f t="shared" si="236"/>
        <v>100.89699999999999</v>
      </c>
      <c r="AI140" s="185">
        <f t="shared" si="236"/>
        <v>134.18199999999999</v>
      </c>
      <c r="AJ140" s="185">
        <f t="shared" si="236"/>
        <v>235.07899999999998</v>
      </c>
      <c r="AK140" s="165">
        <f t="shared" ref="AK140:AM140" si="239">AK122+AK126</f>
        <v>91.908000000000001</v>
      </c>
      <c r="AL140" s="185">
        <f t="shared" si="239"/>
        <v>113.40300000000002</v>
      </c>
      <c r="AM140" s="559">
        <f t="shared" si="239"/>
        <v>205.31100000000001</v>
      </c>
      <c r="AN140" s="577">
        <f t="shared" ref="AN140" si="240">AN122+AN126</f>
        <v>79.637</v>
      </c>
      <c r="AO140" s="185">
        <f t="shared" ref="AO140:BB140" si="241">AO122+AO126</f>
        <v>84.234866051749577</v>
      </c>
      <c r="AP140" s="185">
        <f t="shared" si="241"/>
        <v>163.87186605174958</v>
      </c>
      <c r="AQ140" s="185">
        <f t="shared" si="241"/>
        <v>42.596933197120102</v>
      </c>
      <c r="AR140" s="185">
        <f t="shared" si="241"/>
        <v>127.00785867942646</v>
      </c>
      <c r="AS140" s="185">
        <f t="shared" si="241"/>
        <v>169.60479187654659</v>
      </c>
      <c r="AT140" s="185">
        <f t="shared" si="241"/>
        <v>43.815064861708152</v>
      </c>
      <c r="AU140" s="185">
        <f t="shared" si="241"/>
        <v>137.38177264054298</v>
      </c>
      <c r="AV140" s="185">
        <f t="shared" si="241"/>
        <v>181.19683750225113</v>
      </c>
      <c r="AW140" s="185">
        <f t="shared" si="241"/>
        <v>42.909436916047184</v>
      </c>
      <c r="AX140" s="185">
        <f t="shared" si="241"/>
        <v>135.14501985415643</v>
      </c>
      <c r="AY140" s="185">
        <f t="shared" si="241"/>
        <v>178.05445677020353</v>
      </c>
      <c r="AZ140" s="185">
        <f t="shared" si="241"/>
        <v>46.378873066658727</v>
      </c>
      <c r="BA140" s="185">
        <f t="shared" si="241"/>
        <v>140.11150098396587</v>
      </c>
      <c r="BB140" s="185">
        <f t="shared" si="241"/>
        <v>186.49037405062458</v>
      </c>
    </row>
    <row r="141" spans="1:62">
      <c r="J141" s="93"/>
      <c r="K141" s="93"/>
      <c r="L141" s="187"/>
      <c r="M141" s="187"/>
      <c r="N141" s="187"/>
      <c r="O141" s="187"/>
      <c r="P141" s="187"/>
      <c r="Q141" s="187"/>
      <c r="R141" s="187"/>
      <c r="S141" s="187"/>
      <c r="T141" s="187"/>
      <c r="U141" s="187"/>
      <c r="V141" s="187"/>
      <c r="W141" s="187"/>
      <c r="X141" s="187"/>
      <c r="Y141" s="187"/>
      <c r="Z141" s="187"/>
      <c r="AA141" s="483"/>
      <c r="AB141" s="187"/>
      <c r="AC141" s="187"/>
      <c r="AD141" s="187"/>
      <c r="AE141" s="187"/>
      <c r="AF141" s="187"/>
      <c r="AG141" s="187"/>
      <c r="AH141" s="187"/>
      <c r="AI141" s="187"/>
      <c r="AJ141" s="187"/>
      <c r="AK141" s="187"/>
      <c r="AL141" s="187"/>
      <c r="AM141" s="438"/>
      <c r="AN141" s="607"/>
      <c r="AO141" s="187"/>
      <c r="AP141" s="187"/>
      <c r="AQ141" s="187"/>
      <c r="AR141" s="187"/>
      <c r="AS141" s="187"/>
      <c r="AT141" s="187"/>
      <c r="AU141" s="187"/>
      <c r="AV141" s="187"/>
      <c r="AW141" s="187"/>
      <c r="AX141" s="187"/>
      <c r="AY141" s="187"/>
      <c r="AZ141" s="187"/>
      <c r="BA141" s="187"/>
      <c r="BB141" s="187"/>
    </row>
    <row r="142" spans="1:62" s="13" customFormat="1">
      <c r="A142" s="117" t="s">
        <v>204</v>
      </c>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c r="AA142" s="480"/>
      <c r="AB142" s="117"/>
      <c r="AC142" s="117"/>
      <c r="AD142" s="117"/>
      <c r="AE142" s="117"/>
      <c r="AF142" s="117"/>
      <c r="AG142" s="117"/>
      <c r="AI142" s="117"/>
      <c r="AJ142" s="117"/>
      <c r="AL142" s="117"/>
      <c r="AM142" s="556"/>
      <c r="AN142" s="598"/>
      <c r="AP142" s="455"/>
      <c r="AS142" s="455"/>
      <c r="BE142"/>
      <c r="BF142"/>
      <c r="BG142"/>
      <c r="BH142"/>
      <c r="BI142"/>
      <c r="BJ142"/>
    </row>
    <row r="143" spans="1:62">
      <c r="B143" s="25"/>
      <c r="C143" s="70"/>
      <c r="D143" s="70"/>
      <c r="E143" s="70"/>
      <c r="F143" s="70"/>
      <c r="G143" s="70"/>
      <c r="H143" s="70"/>
      <c r="I143" s="70"/>
      <c r="J143" s="70"/>
      <c r="K143" s="70"/>
      <c r="L143" s="70"/>
      <c r="M143" s="70"/>
      <c r="N143" s="70"/>
      <c r="O143" s="70"/>
      <c r="P143" s="70"/>
      <c r="Q143" s="70"/>
      <c r="R143" s="94"/>
      <c r="S143" s="70"/>
      <c r="T143" s="70"/>
      <c r="U143" s="70"/>
      <c r="V143" s="70"/>
      <c r="W143" s="70"/>
      <c r="X143" s="70"/>
      <c r="Y143" s="70"/>
      <c r="Z143" s="70"/>
      <c r="AA143" s="484"/>
      <c r="AB143" s="70"/>
      <c r="AC143" s="70"/>
      <c r="AD143" s="70"/>
      <c r="AE143" s="70"/>
      <c r="AF143" s="70"/>
      <c r="AG143" s="70"/>
      <c r="AI143" s="70"/>
      <c r="AJ143" s="70"/>
      <c r="AL143" s="70"/>
      <c r="AM143" s="560"/>
    </row>
    <row r="144" spans="1:62">
      <c r="B144" s="83" t="s">
        <v>205</v>
      </c>
      <c r="M144" s="30"/>
    </row>
    <row r="145" spans="2:62">
      <c r="B145" s="7" t="s">
        <v>206</v>
      </c>
      <c r="C145" s="73" t="s">
        <v>269</v>
      </c>
      <c r="D145" s="30"/>
      <c r="E145" s="30"/>
      <c r="F145" s="30"/>
      <c r="G145" s="30"/>
      <c r="H145" s="30"/>
      <c r="I145" s="30"/>
      <c r="J145" s="30"/>
      <c r="K145" s="30"/>
      <c r="L145" s="165"/>
      <c r="M145" s="165"/>
      <c r="N145" s="165"/>
      <c r="O145" s="165"/>
      <c r="P145" s="165"/>
      <c r="Q145" s="165"/>
      <c r="R145" s="165"/>
      <c r="S145" s="165"/>
      <c r="T145" s="165"/>
      <c r="U145" s="165"/>
      <c r="V145" s="165"/>
      <c r="W145" s="165">
        <f>X145</f>
        <v>56.642000000000003</v>
      </c>
      <c r="X145" s="165">
        <f>X187</f>
        <v>56.642000000000003</v>
      </c>
      <c r="Y145" s="165">
        <f>Y187</f>
        <v>30.542000000000002</v>
      </c>
      <c r="Z145" s="165">
        <f>AA145</f>
        <v>21.318999999999999</v>
      </c>
      <c r="AA145" s="394">
        <f>AA187</f>
        <v>21.318999999999999</v>
      </c>
      <c r="AB145" s="165">
        <f>AB187</f>
        <v>26.390999999999998</v>
      </c>
      <c r="AC145" s="165">
        <f>AD145</f>
        <v>27.678999999999998</v>
      </c>
      <c r="AD145" s="165">
        <f>AD187</f>
        <v>27.678999999999998</v>
      </c>
      <c r="AE145" s="165">
        <f>AE187</f>
        <v>34.921999999999997</v>
      </c>
      <c r="AF145" s="165">
        <f>AG145</f>
        <v>16.617000000000001</v>
      </c>
      <c r="AG145" s="165">
        <f>AG187</f>
        <v>16.617000000000001</v>
      </c>
      <c r="AH145" s="306">
        <f t="shared" ref="AH145:BB145" si="242">AH187</f>
        <v>27.164999999999999</v>
      </c>
      <c r="AI145" s="165">
        <f>AJ145</f>
        <v>19.914999999999999</v>
      </c>
      <c r="AJ145" s="165">
        <f>AJ187</f>
        <v>19.914999999999999</v>
      </c>
      <c r="AK145" s="306">
        <f t="shared" ref="AK145" si="243">AK187</f>
        <v>22.454000000000001</v>
      </c>
      <c r="AL145" s="165">
        <f>AM145</f>
        <v>25.384</v>
      </c>
      <c r="AM145" s="428">
        <f>AM187</f>
        <v>25.384</v>
      </c>
      <c r="AN145" s="583">
        <f t="shared" ref="AN145" si="244">AN187</f>
        <v>25.99</v>
      </c>
      <c r="AO145" s="306">
        <f>AO187</f>
        <v>25.99</v>
      </c>
      <c r="AP145" s="306">
        <f t="shared" si="242"/>
        <v>25.99</v>
      </c>
      <c r="AQ145" s="306">
        <f t="shared" si="242"/>
        <v>25.99</v>
      </c>
      <c r="AR145" s="306">
        <f t="shared" si="242"/>
        <v>25.99</v>
      </c>
      <c r="AS145" s="306">
        <f t="shared" si="242"/>
        <v>25.99</v>
      </c>
      <c r="AT145" s="306">
        <f t="shared" si="242"/>
        <v>25.99</v>
      </c>
      <c r="AU145" s="306">
        <f t="shared" si="242"/>
        <v>25.99</v>
      </c>
      <c r="AV145" s="306">
        <f t="shared" si="242"/>
        <v>25.99</v>
      </c>
      <c r="AW145" s="306">
        <f t="shared" si="242"/>
        <v>25.99</v>
      </c>
      <c r="AX145" s="306">
        <f t="shared" si="242"/>
        <v>25.99</v>
      </c>
      <c r="AY145" s="306">
        <f t="shared" si="242"/>
        <v>25.99</v>
      </c>
      <c r="AZ145" s="306">
        <f t="shared" si="242"/>
        <v>25.99</v>
      </c>
      <c r="BA145" s="306">
        <f t="shared" si="242"/>
        <v>25.99</v>
      </c>
      <c r="BB145" s="306">
        <f t="shared" si="242"/>
        <v>25.99</v>
      </c>
    </row>
    <row r="146" spans="2:62">
      <c r="B146" s="7" t="s">
        <v>189</v>
      </c>
      <c r="C146" s="73" t="s">
        <v>269</v>
      </c>
      <c r="D146" s="30"/>
      <c r="E146" s="30"/>
      <c r="F146" s="30"/>
      <c r="G146" s="30"/>
      <c r="H146" s="30"/>
      <c r="I146" s="30"/>
      <c r="J146" s="30"/>
      <c r="K146" s="30"/>
      <c r="L146" s="165"/>
      <c r="M146" s="165"/>
      <c r="N146" s="165"/>
      <c r="O146" s="165"/>
      <c r="P146" s="165"/>
      <c r="Q146" s="165"/>
      <c r="R146" s="165"/>
      <c r="S146" s="165"/>
      <c r="T146" s="165"/>
      <c r="U146" s="165"/>
      <c r="V146" s="165"/>
      <c r="W146" s="165">
        <f t="shared" ref="W146:AA146" si="245">W204+W211</f>
        <v>265.18099999999998</v>
      </c>
      <c r="X146" s="165">
        <f t="shared" si="245"/>
        <v>265.18099999999998</v>
      </c>
      <c r="Y146" s="165">
        <f t="shared" si="245"/>
        <v>204.77099999999999</v>
      </c>
      <c r="Z146" s="165">
        <f t="shared" si="245"/>
        <v>151.75</v>
      </c>
      <c r="AA146" s="394">
        <f t="shared" si="245"/>
        <v>151.75</v>
      </c>
      <c r="AB146" s="165">
        <f t="shared" ref="AB146:AD146" si="246">AB204+AB211</f>
        <v>571.73299999999995</v>
      </c>
      <c r="AC146" s="165">
        <f t="shared" si="246"/>
        <v>578.73699999999997</v>
      </c>
      <c r="AD146" s="165">
        <f t="shared" si="246"/>
        <v>578.73699999999997</v>
      </c>
      <c r="AE146" s="165">
        <f t="shared" ref="AE146:AG146" si="247">AE204+AE211</f>
        <v>566.64499999999998</v>
      </c>
      <c r="AF146" s="165">
        <f t="shared" si="247"/>
        <v>450.16500000000002</v>
      </c>
      <c r="AG146" s="165">
        <f t="shared" si="247"/>
        <v>450.16500000000002</v>
      </c>
      <c r="AH146" s="165">
        <f t="shared" ref="AH146:AJ146" si="248">AH204+AH211</f>
        <v>418.73399999999998</v>
      </c>
      <c r="AI146" s="165">
        <f t="shared" si="248"/>
        <v>438.327</v>
      </c>
      <c r="AJ146" s="165">
        <f t="shared" si="248"/>
        <v>438.327</v>
      </c>
      <c r="AK146" s="165">
        <f t="shared" ref="AK146:AM146" si="249">AK204+AK211</f>
        <v>401.07600000000002</v>
      </c>
      <c r="AL146" s="165">
        <f t="shared" si="249"/>
        <v>354.80700000000002</v>
      </c>
      <c r="AM146" s="428">
        <f t="shared" si="249"/>
        <v>354.80700000000002</v>
      </c>
      <c r="AN146" s="577">
        <f t="shared" ref="AN146" si="250">AN204+AN211</f>
        <v>334.43299999999999</v>
      </c>
      <c r="AO146" s="165">
        <f>AO204+AO211</f>
        <v>293.56102271626401</v>
      </c>
      <c r="AP146" s="165">
        <f t="shared" ref="AP146:BB146" si="251">AP204+AP211</f>
        <v>293.56102271626401</v>
      </c>
      <c r="AQ146" s="165">
        <f t="shared" si="251"/>
        <v>302.0353783442356</v>
      </c>
      <c r="AR146" s="165">
        <f t="shared" si="251"/>
        <v>233.23429161729086</v>
      </c>
      <c r="AS146" s="165">
        <f t="shared" si="251"/>
        <v>233.23429161729086</v>
      </c>
      <c r="AT146" s="165">
        <f t="shared" si="251"/>
        <v>249.23006454165736</v>
      </c>
      <c r="AU146" s="165">
        <f t="shared" si="251"/>
        <v>174.53744293255016</v>
      </c>
      <c r="AV146" s="165">
        <f t="shared" si="251"/>
        <v>174.53744293255016</v>
      </c>
      <c r="AW146" s="165">
        <f t="shared" si="251"/>
        <v>200.7003671750432</v>
      </c>
      <c r="AX146" s="165">
        <f t="shared" si="251"/>
        <v>132.49644012029069</v>
      </c>
      <c r="AY146" s="165">
        <f t="shared" si="251"/>
        <v>132.49644012029069</v>
      </c>
      <c r="AZ146" s="165">
        <f t="shared" si="251"/>
        <v>154.19471934187212</v>
      </c>
      <c r="BA146" s="165">
        <f t="shared" si="251"/>
        <v>81.26035661507818</v>
      </c>
      <c r="BB146" s="165">
        <f t="shared" si="251"/>
        <v>81.26035661507818</v>
      </c>
    </row>
    <row r="147" spans="2:62">
      <c r="B147" s="7" t="s">
        <v>207</v>
      </c>
      <c r="C147" s="73" t="s">
        <v>269</v>
      </c>
      <c r="L147" s="165"/>
      <c r="M147" s="165"/>
      <c r="N147" s="165"/>
      <c r="O147" s="165"/>
      <c r="P147" s="165"/>
      <c r="Q147" s="165"/>
      <c r="R147" s="165"/>
      <c r="S147" s="165"/>
      <c r="T147" s="165"/>
      <c r="U147" s="165"/>
      <c r="V147" s="165"/>
      <c r="W147" s="165"/>
      <c r="X147" s="165"/>
      <c r="Y147" s="165"/>
      <c r="Z147" s="165"/>
      <c r="AB147" s="165"/>
      <c r="AC147" s="165"/>
      <c r="AD147" s="165"/>
      <c r="AE147" s="165"/>
      <c r="AF147" s="165"/>
      <c r="AG147" s="165"/>
      <c r="AH147" s="165"/>
      <c r="AI147" s="165"/>
      <c r="AJ147" s="165"/>
      <c r="AK147" s="165"/>
      <c r="AL147" s="165"/>
      <c r="AM147" s="428"/>
      <c r="AN147" s="577"/>
      <c r="AO147" s="165"/>
      <c r="AP147" s="165"/>
      <c r="AQ147" s="165"/>
      <c r="AR147" s="165"/>
      <c r="AS147" s="165"/>
      <c r="AT147" s="165"/>
      <c r="AU147" s="165"/>
      <c r="AV147" s="165"/>
      <c r="AW147" s="165"/>
      <c r="AX147" s="165"/>
      <c r="AY147" s="165"/>
      <c r="AZ147" s="165"/>
      <c r="BA147" s="165"/>
      <c r="BB147" s="165"/>
    </row>
    <row r="148" spans="2:62" s="14" customFormat="1">
      <c r="B148" s="14" t="s">
        <v>208</v>
      </c>
      <c r="C148" s="76" t="s">
        <v>269</v>
      </c>
      <c r="D148" s="28"/>
      <c r="E148" s="28"/>
      <c r="F148" s="28"/>
      <c r="G148" s="28"/>
      <c r="H148" s="28"/>
      <c r="I148" s="28"/>
      <c r="J148" s="28"/>
      <c r="K148" s="28"/>
      <c r="L148" s="166"/>
      <c r="M148" s="166"/>
      <c r="N148" s="166"/>
      <c r="O148" s="166"/>
      <c r="P148" s="166"/>
      <c r="Q148" s="166"/>
      <c r="R148" s="166"/>
      <c r="S148" s="166"/>
      <c r="T148" s="166"/>
      <c r="U148" s="166"/>
      <c r="V148" s="166"/>
      <c r="W148" s="166">
        <f t="shared" ref="W148:AA148" si="252">W147+W146-W145</f>
        <v>208.53899999999999</v>
      </c>
      <c r="X148" s="166">
        <f t="shared" si="252"/>
        <v>208.53899999999999</v>
      </c>
      <c r="Y148" s="166">
        <f t="shared" si="252"/>
        <v>174.22899999999998</v>
      </c>
      <c r="Z148" s="166">
        <f t="shared" si="252"/>
        <v>130.43100000000001</v>
      </c>
      <c r="AA148" s="466">
        <f t="shared" si="252"/>
        <v>130.43100000000001</v>
      </c>
      <c r="AB148" s="166">
        <f t="shared" ref="AB148:AD148" si="253">AB147+AB146-AB145</f>
        <v>545.34199999999998</v>
      </c>
      <c r="AC148" s="166">
        <f t="shared" si="253"/>
        <v>551.05799999999999</v>
      </c>
      <c r="AD148" s="166">
        <f t="shared" si="253"/>
        <v>551.05799999999999</v>
      </c>
      <c r="AE148" s="166">
        <f t="shared" ref="AE148:AG148" si="254">AE147+AE146-AE145</f>
        <v>531.72299999999996</v>
      </c>
      <c r="AF148" s="166">
        <f t="shared" si="254"/>
        <v>433.548</v>
      </c>
      <c r="AG148" s="166">
        <f t="shared" si="254"/>
        <v>433.548</v>
      </c>
      <c r="AH148" s="166">
        <f t="shared" ref="AH148:AJ148" si="255">AH147+AH146-AH145</f>
        <v>391.56899999999996</v>
      </c>
      <c r="AI148" s="166">
        <f t="shared" si="255"/>
        <v>418.41199999999998</v>
      </c>
      <c r="AJ148" s="166">
        <f t="shared" si="255"/>
        <v>418.41199999999998</v>
      </c>
      <c r="AK148" s="166">
        <f t="shared" ref="AK148:AM148" si="256">AK147+AK146-AK145</f>
        <v>378.62200000000001</v>
      </c>
      <c r="AL148" s="166">
        <f t="shared" si="256"/>
        <v>329.423</v>
      </c>
      <c r="AM148" s="430">
        <f t="shared" si="256"/>
        <v>329.423</v>
      </c>
      <c r="AN148" s="578">
        <f t="shared" ref="AN148" si="257">AN147+AN146-AN145</f>
        <v>308.44299999999998</v>
      </c>
      <c r="AO148" s="166">
        <f t="shared" ref="AO148:BB148" si="258">AO147+AO146-AO145</f>
        <v>267.571022716264</v>
      </c>
      <c r="AP148" s="166">
        <f t="shared" si="258"/>
        <v>267.571022716264</v>
      </c>
      <c r="AQ148" s="166">
        <f t="shared" si="258"/>
        <v>276.04537834423559</v>
      </c>
      <c r="AR148" s="166">
        <f t="shared" si="258"/>
        <v>207.24429161729086</v>
      </c>
      <c r="AS148" s="166">
        <f t="shared" si="258"/>
        <v>207.24429161729086</v>
      </c>
      <c r="AT148" s="166">
        <f t="shared" si="258"/>
        <v>223.24006454165735</v>
      </c>
      <c r="AU148" s="166">
        <f t="shared" si="258"/>
        <v>148.54744293255015</v>
      </c>
      <c r="AV148" s="166">
        <f t="shared" si="258"/>
        <v>148.54744293255015</v>
      </c>
      <c r="AW148" s="166">
        <f t="shared" si="258"/>
        <v>174.71036717504319</v>
      </c>
      <c r="AX148" s="166">
        <f t="shared" si="258"/>
        <v>106.50644012029069</v>
      </c>
      <c r="AY148" s="166">
        <f t="shared" si="258"/>
        <v>106.50644012029069</v>
      </c>
      <c r="AZ148" s="166">
        <f t="shared" si="258"/>
        <v>128.20471934187211</v>
      </c>
      <c r="BA148" s="166">
        <f t="shared" si="258"/>
        <v>55.270356615078185</v>
      </c>
      <c r="BB148" s="166">
        <f t="shared" si="258"/>
        <v>55.270356615078185</v>
      </c>
      <c r="BE148"/>
      <c r="BF148"/>
      <c r="BG148"/>
      <c r="BH148"/>
      <c r="BI148"/>
      <c r="BJ148"/>
    </row>
    <row r="149" spans="2:62">
      <c r="B149" s="7" t="s">
        <v>209</v>
      </c>
      <c r="C149" s="73" t="s">
        <v>269</v>
      </c>
      <c r="D149" s="30"/>
      <c r="E149" s="30"/>
      <c r="F149" s="30"/>
      <c r="G149" s="30"/>
      <c r="H149" s="30"/>
      <c r="I149" s="30"/>
      <c r="J149" s="30"/>
      <c r="K149" s="30"/>
      <c r="L149" s="165"/>
      <c r="M149" s="165"/>
      <c r="N149" s="165"/>
      <c r="O149" s="165"/>
      <c r="P149" s="165"/>
      <c r="Q149" s="165"/>
      <c r="R149" s="165"/>
      <c r="S149" s="165"/>
      <c r="T149" s="165"/>
      <c r="U149" s="165"/>
      <c r="V149" s="165"/>
      <c r="W149" s="165">
        <f>W148-V148</f>
        <v>208.53899999999999</v>
      </c>
      <c r="X149" s="165">
        <f>X148-U148</f>
        <v>208.53899999999999</v>
      </c>
      <c r="Y149" s="165">
        <f>Y148-V148</f>
        <v>174.22899999999998</v>
      </c>
      <c r="Z149" s="165">
        <f>Z148-Y148</f>
        <v>-43.797999999999973</v>
      </c>
      <c r="AA149" s="394">
        <f>AA148-X148</f>
        <v>-78.107999999999976</v>
      </c>
      <c r="AB149" s="165">
        <f>AB148-Y148</f>
        <v>371.113</v>
      </c>
      <c r="AC149" s="165">
        <f>AC148-AB148</f>
        <v>5.7160000000000082</v>
      </c>
      <c r="AD149" s="165">
        <f>AD148-AA148</f>
        <v>420.62699999999995</v>
      </c>
      <c r="AE149" s="165">
        <f>AE148-AB148</f>
        <v>-13.619000000000028</v>
      </c>
      <c r="AF149" s="165">
        <f>AF148-AE148</f>
        <v>-98.174999999999955</v>
      </c>
      <c r="AG149" s="165">
        <f>AG148-AD148</f>
        <v>-117.50999999999999</v>
      </c>
      <c r="AH149" s="165">
        <f>AH148-AE148</f>
        <v>-140.154</v>
      </c>
      <c r="AI149" s="165">
        <f>AI148-AH148</f>
        <v>26.843000000000018</v>
      </c>
      <c r="AJ149" s="165">
        <f>AJ148-AG148</f>
        <v>-15.136000000000024</v>
      </c>
      <c r="AK149" s="165">
        <f>AK148-AH148</f>
        <v>-12.946999999999946</v>
      </c>
      <c r="AL149" s="165">
        <f>AL148-AK148</f>
        <v>-49.199000000000012</v>
      </c>
      <c r="AM149" s="428">
        <f>AM148-AJ148</f>
        <v>-88.988999999999976</v>
      </c>
      <c r="AN149" s="577">
        <f>AN148-AK148</f>
        <v>-70.17900000000003</v>
      </c>
      <c r="AO149" s="165">
        <f>AO148-AN148</f>
        <v>-40.871977283735987</v>
      </c>
      <c r="AP149" s="165">
        <f>AP148-AM148</f>
        <v>-61.851977283736005</v>
      </c>
      <c r="AQ149" s="165">
        <f>AQ148-AN148</f>
        <v>-32.397621655764397</v>
      </c>
      <c r="AR149" s="165">
        <f>AR148-AQ148</f>
        <v>-68.801086726944732</v>
      </c>
      <c r="AS149" s="165">
        <f>AS148-AP148</f>
        <v>-60.326731098973141</v>
      </c>
      <c r="AT149" s="165">
        <f>AT148-AQ148</f>
        <v>-52.80531380257824</v>
      </c>
      <c r="AU149" s="165">
        <f>AU148-AT148</f>
        <v>-74.692621609107192</v>
      </c>
      <c r="AV149" s="165">
        <f>AV148-AS148</f>
        <v>-58.696848684740701</v>
      </c>
      <c r="AW149" s="165">
        <f>AW148-AT148</f>
        <v>-48.529697366614158</v>
      </c>
      <c r="AX149" s="165">
        <f>AX148-AW148</f>
        <v>-68.203927054752498</v>
      </c>
      <c r="AY149" s="165">
        <f>AY148-AV148</f>
        <v>-42.041002812259464</v>
      </c>
      <c r="AZ149" s="165">
        <f>AZ148-AW148</f>
        <v>-46.505647833171082</v>
      </c>
      <c r="BA149" s="165">
        <f>BA148-AZ148</f>
        <v>-72.934362726793921</v>
      </c>
      <c r="BB149" s="165">
        <f>BB148-AY148</f>
        <v>-51.236083505212505</v>
      </c>
    </row>
    <row r="150" spans="2:62">
      <c r="D150" s="30"/>
      <c r="E150" s="30"/>
      <c r="F150" s="30"/>
      <c r="G150" s="30"/>
      <c r="H150" s="30"/>
      <c r="I150" s="30"/>
      <c r="J150" s="30"/>
      <c r="K150" s="30"/>
      <c r="L150" s="165"/>
      <c r="M150" s="165"/>
      <c r="N150" s="165"/>
      <c r="O150" s="165"/>
      <c r="P150" s="165"/>
      <c r="Q150" s="165"/>
      <c r="R150" s="165"/>
      <c r="S150" s="165"/>
      <c r="T150" s="165"/>
      <c r="U150" s="165"/>
      <c r="V150" s="165"/>
      <c r="W150" s="165"/>
      <c r="X150" s="165"/>
      <c r="Y150" s="165"/>
      <c r="Z150" s="165"/>
      <c r="AB150" s="165"/>
      <c r="AC150" s="165"/>
      <c r="AD150" s="165"/>
      <c r="AE150" s="165"/>
      <c r="AF150" s="165"/>
      <c r="AG150" s="165"/>
      <c r="AH150" s="165"/>
      <c r="AI150" s="165"/>
      <c r="AJ150" s="165"/>
      <c r="AK150" s="165"/>
      <c r="AL150" s="165"/>
      <c r="AM150" s="428"/>
      <c r="AN150" s="577"/>
      <c r="AO150" s="165"/>
      <c r="AP150" s="165"/>
      <c r="AQ150" s="165"/>
      <c r="AR150" s="165"/>
      <c r="AS150" s="165"/>
      <c r="AT150" s="165"/>
      <c r="AU150" s="165"/>
      <c r="AV150" s="165"/>
      <c r="AW150" s="165"/>
      <c r="AX150" s="165"/>
      <c r="AY150" s="165"/>
      <c r="AZ150" s="165"/>
      <c r="BA150" s="165"/>
      <c r="BB150" s="165"/>
    </row>
    <row r="151" spans="2:62">
      <c r="B151" s="7" t="s">
        <v>2</v>
      </c>
      <c r="D151" s="30"/>
      <c r="E151" s="30"/>
      <c r="F151" s="30"/>
      <c r="G151" s="30"/>
      <c r="H151" s="30"/>
      <c r="I151" s="30"/>
      <c r="J151" s="30"/>
      <c r="K151" s="30"/>
      <c r="L151" s="165"/>
      <c r="M151" s="165"/>
      <c r="N151" s="165"/>
      <c r="O151" s="165"/>
      <c r="P151" s="165"/>
      <c r="Q151" s="165"/>
      <c r="R151" s="165"/>
      <c r="S151" s="165"/>
      <c r="T151" s="165"/>
      <c r="U151" s="165"/>
      <c r="V151" s="165"/>
      <c r="W151" s="165">
        <f t="shared" ref="W151:AJ151" si="259">-W53/W59</f>
        <v>7.624491827760723</v>
      </c>
      <c r="X151" s="165">
        <f t="shared" si="259"/>
        <v>7.8826759860209679</v>
      </c>
      <c r="Y151" s="165">
        <f t="shared" ref="Y151:AD151" si="260">-Y53/Y59</f>
        <v>23.281653746770026</v>
      </c>
      <c r="Z151" s="165">
        <f t="shared" si="260"/>
        <v>25.327049353950429</v>
      </c>
      <c r="AA151" s="394">
        <f t="shared" si="260"/>
        <v>24.357206504789485</v>
      </c>
      <c r="AB151" s="165">
        <f t="shared" si="260"/>
        <v>17.688468744677223</v>
      </c>
      <c r="AC151" s="165">
        <f t="shared" si="260"/>
        <v>11.837361530715006</v>
      </c>
      <c r="AD151" s="165">
        <f t="shared" si="260"/>
        <v>14.011391684070629</v>
      </c>
      <c r="AE151" s="165">
        <f t="shared" ref="AE151:AG151" si="261">-AE53/AE59</f>
        <v>6.6677069111241138</v>
      </c>
      <c r="AF151" s="165">
        <f t="shared" si="261"/>
        <v>6.7633829943918862</v>
      </c>
      <c r="AG151" s="165">
        <f t="shared" si="261"/>
        <v>6.7188351395531862</v>
      </c>
      <c r="AH151" s="165">
        <f t="shared" si="259"/>
        <v>6.4547819127651076</v>
      </c>
      <c r="AI151" s="165">
        <f t="shared" si="259"/>
        <v>7.3863180336092302</v>
      </c>
      <c r="AJ151" s="165">
        <f t="shared" si="259"/>
        <v>6.9349104776678958</v>
      </c>
      <c r="AK151" s="165">
        <f t="shared" ref="AK151:AM151" si="262">-AK53/AK59</f>
        <v>7.070679611650486</v>
      </c>
      <c r="AL151" s="165">
        <f t="shared" si="262"/>
        <v>9.3439257592800882</v>
      </c>
      <c r="AM151" s="428">
        <f t="shared" si="262"/>
        <v>7.9991959568113939</v>
      </c>
      <c r="AN151" s="577">
        <f t="shared" ref="AN151" si="263">-AN53/AN59</f>
        <v>6.170318078545928</v>
      </c>
      <c r="AO151" s="165">
        <f t="shared" ref="AO151:BB151" si="264">-AO53/AO59</f>
        <v>8.5466629510125323</v>
      </c>
      <c r="AP151" s="165">
        <f t="shared" si="264"/>
        <v>7.3245307374338191</v>
      </c>
      <c r="AQ151" s="165">
        <f t="shared" si="264"/>
        <v>9.2202811964987355</v>
      </c>
      <c r="AR151" s="165">
        <f t="shared" si="264"/>
        <v>10.937839524315573</v>
      </c>
      <c r="AS151" s="165">
        <f t="shared" si="264"/>
        <v>10.053080399252016</v>
      </c>
      <c r="AT151" s="165">
        <f t="shared" si="264"/>
        <v>9.582682308514034</v>
      </c>
      <c r="AU151" s="165">
        <f t="shared" si="264"/>
        <v>12.477938596499449</v>
      </c>
      <c r="AV151" s="165">
        <f t="shared" si="264"/>
        <v>10.911592574545624</v>
      </c>
      <c r="AW151" s="165">
        <f t="shared" si="264"/>
        <v>9.461115879482632</v>
      </c>
      <c r="AX151" s="165">
        <f t="shared" si="264"/>
        <v>11.827147671388502</v>
      </c>
      <c r="AY151" s="165">
        <f t="shared" si="264"/>
        <v>10.570775599424529</v>
      </c>
      <c r="AZ151" s="165">
        <f t="shared" si="264"/>
        <v>14.38168096153464</v>
      </c>
      <c r="BA151" s="165">
        <f t="shared" si="264"/>
        <v>22.701431222983665</v>
      </c>
      <c r="BB151" s="165">
        <f t="shared" si="264"/>
        <v>17.806156001806926</v>
      </c>
    </row>
    <row r="152" spans="2:62">
      <c r="B152" s="7" t="s">
        <v>43</v>
      </c>
      <c r="D152" s="30"/>
      <c r="E152" s="30"/>
      <c r="F152" s="30"/>
      <c r="G152" s="30"/>
      <c r="H152" s="30"/>
      <c r="I152" s="30"/>
      <c r="J152" s="30"/>
      <c r="K152" s="30"/>
      <c r="L152" s="394"/>
      <c r="M152" s="394"/>
      <c r="N152" s="394"/>
      <c r="O152" s="394"/>
      <c r="P152" s="394"/>
      <c r="Q152" s="394"/>
      <c r="R152" s="394"/>
      <c r="S152" s="394"/>
      <c r="T152" s="394"/>
      <c r="U152" s="394"/>
      <c r="V152" s="394"/>
      <c r="W152" s="394">
        <f t="shared" ref="W152:AA152" si="265">W148/W38</f>
        <v>1.5690477623619346</v>
      </c>
      <c r="X152" s="394">
        <f t="shared" si="265"/>
        <v>0.95047948077519095</v>
      </c>
      <c r="Y152" s="394">
        <f t="shared" si="265"/>
        <v>1.4518599380020665</v>
      </c>
      <c r="Z152" s="394">
        <f t="shared" si="265"/>
        <v>0.92687658558424135</v>
      </c>
      <c r="AA152" s="394">
        <f t="shared" si="265"/>
        <v>0.50026272892894819</v>
      </c>
      <c r="AB152" s="394">
        <f t="shared" ref="AB152:AD152" si="266">AB148/AB38</f>
        <v>4.3467746435090353</v>
      </c>
      <c r="AC152" s="394">
        <f t="shared" si="266"/>
        <v>3.8497027448076397</v>
      </c>
      <c r="AD152" s="394">
        <f t="shared" si="266"/>
        <v>2.0515781714209127</v>
      </c>
      <c r="AE152" s="394">
        <f t="shared" ref="AE152:AG152" si="267">AE148/AE38</f>
        <v>4.1508430913348944</v>
      </c>
      <c r="AF152" s="394">
        <f t="shared" si="267"/>
        <v>2.959553829245483</v>
      </c>
      <c r="AG152" s="394">
        <f t="shared" si="267"/>
        <v>1.5788864165249408</v>
      </c>
      <c r="AH152" s="394">
        <f>AH148/AH38</f>
        <v>3.1375721153846148</v>
      </c>
      <c r="AI152" s="394">
        <f t="shared" ref="AI152:AJ152" si="268">AI148/AI38</f>
        <v>2.7925968937922563</v>
      </c>
      <c r="AJ152" s="394">
        <f t="shared" si="268"/>
        <v>1.5235535941215237</v>
      </c>
      <c r="AK152" s="394">
        <f>AK148/AK38</f>
        <v>2.6329763560500696</v>
      </c>
      <c r="AL152" s="394">
        <f t="shared" ref="AL152:AM152" si="269">AL148/AL38</f>
        <v>2.4602165795369677</v>
      </c>
      <c r="AM152" s="432">
        <f t="shared" si="269"/>
        <v>1.186254951386388</v>
      </c>
      <c r="AN152" s="608">
        <f>AN148/AN38</f>
        <v>2.7762896155680963</v>
      </c>
      <c r="AO152" s="394">
        <f t="shared" ref="AO152:BB152" si="270">AO148/AO38</f>
        <v>1.9873447136238964</v>
      </c>
      <c r="AP152" s="394">
        <f t="shared" si="270"/>
        <v>1.088853622247939</v>
      </c>
      <c r="AQ152" s="394">
        <f t="shared" si="270"/>
        <v>1.9591505850707223</v>
      </c>
      <c r="AR152" s="394">
        <f t="shared" si="270"/>
        <v>1.3521364006240177</v>
      </c>
      <c r="AS152" s="394">
        <f t="shared" si="270"/>
        <v>0.70449973843323421</v>
      </c>
      <c r="AT152" s="394">
        <f t="shared" si="270"/>
        <v>1.4562183730030673</v>
      </c>
      <c r="AU152" s="394">
        <f t="shared" si="270"/>
        <v>0.89624957581531151</v>
      </c>
      <c r="AV152" s="394">
        <f t="shared" si="270"/>
        <v>0.46560084284601677</v>
      </c>
      <c r="AW152" s="394">
        <f t="shared" si="270"/>
        <v>1.0856344983341262</v>
      </c>
      <c r="AX152" s="394">
        <f t="shared" si="270"/>
        <v>0.61203623786221606</v>
      </c>
      <c r="AY152" s="394">
        <f t="shared" si="270"/>
        <v>0.31797798880242123</v>
      </c>
      <c r="AZ152" s="394">
        <f t="shared" si="270"/>
        <v>0.7608531783824366</v>
      </c>
      <c r="BA152" s="394">
        <f t="shared" si="270"/>
        <v>0.30314089358352742</v>
      </c>
      <c r="BB152" s="394">
        <f t="shared" si="270"/>
        <v>0.15754309893963753</v>
      </c>
    </row>
    <row r="153" spans="2:62">
      <c r="B153" s="83" t="s">
        <v>210</v>
      </c>
      <c r="D153" s="10"/>
      <c r="E153" s="10"/>
      <c r="F153" s="10"/>
      <c r="G153" s="10"/>
      <c r="H153" s="10"/>
      <c r="I153" s="10"/>
      <c r="J153" s="10"/>
      <c r="K153" s="10"/>
      <c r="L153" s="188"/>
      <c r="M153" s="188"/>
      <c r="N153" s="188"/>
      <c r="O153" s="188"/>
      <c r="P153" s="188"/>
      <c r="Q153" s="188"/>
      <c r="R153" s="188"/>
      <c r="S153" s="188"/>
      <c r="T153" s="188"/>
      <c r="U153" s="188"/>
      <c r="V153" s="188"/>
      <c r="W153" s="188"/>
      <c r="X153" s="188"/>
      <c r="Y153" s="188"/>
      <c r="Z153" s="188"/>
      <c r="AA153" s="464"/>
      <c r="AB153" s="188"/>
      <c r="AC153" s="188"/>
      <c r="AD153" s="188"/>
      <c r="AE153" s="188"/>
      <c r="AF153" s="188"/>
      <c r="AG153" s="188"/>
      <c r="AH153" s="188"/>
      <c r="AI153" s="188"/>
      <c r="AJ153" s="188"/>
      <c r="AK153" s="188"/>
      <c r="AL153" s="188"/>
      <c r="AM153" s="439"/>
      <c r="AN153" s="609"/>
      <c r="AO153" s="188"/>
      <c r="AP153" s="188"/>
      <c r="AQ153" s="188"/>
      <c r="AR153" s="188"/>
      <c r="AS153" s="188"/>
      <c r="AT153" s="188"/>
      <c r="AU153" s="188"/>
      <c r="AV153" s="188"/>
      <c r="AW153" s="188"/>
      <c r="AX153" s="188"/>
      <c r="AY153" s="188"/>
      <c r="AZ153" s="188"/>
      <c r="BA153" s="188"/>
      <c r="BB153" s="188"/>
    </row>
    <row r="154" spans="2:62">
      <c r="B154" s="7" t="s">
        <v>393</v>
      </c>
      <c r="C154" s="73" t="s">
        <v>269</v>
      </c>
      <c r="D154" s="95"/>
      <c r="E154" s="95"/>
      <c r="F154" s="95"/>
      <c r="G154" s="95"/>
      <c r="H154" s="95"/>
      <c r="I154" s="95"/>
      <c r="J154" s="95"/>
      <c r="K154" s="95"/>
      <c r="L154" s="188"/>
      <c r="M154" s="188"/>
      <c r="N154" s="188"/>
      <c r="O154" s="188"/>
      <c r="P154" s="188"/>
      <c r="Q154" s="188"/>
      <c r="R154" s="188"/>
      <c r="S154" s="188"/>
      <c r="T154" s="188"/>
      <c r="U154" s="188"/>
      <c r="V154" s="188"/>
      <c r="W154" s="188">
        <f>V155</f>
        <v>0</v>
      </c>
      <c r="X154" s="188">
        <f>V154</f>
        <v>0</v>
      </c>
      <c r="Y154" s="188">
        <f>X148</f>
        <v>208.53899999999999</v>
      </c>
      <c r="Z154" s="188">
        <f>Y155</f>
        <v>174.22899999999998</v>
      </c>
      <c r="AA154" s="464">
        <f>Y154</f>
        <v>208.53899999999999</v>
      </c>
      <c r="AB154" s="188">
        <f>AA148</f>
        <v>130.43100000000001</v>
      </c>
      <c r="AC154" s="188">
        <f>AB155</f>
        <v>545.34199999999998</v>
      </c>
      <c r="AD154" s="188">
        <f>AB154</f>
        <v>130.43100000000001</v>
      </c>
      <c r="AE154" s="188">
        <f>AD148</f>
        <v>551.05799999999999</v>
      </c>
      <c r="AF154" s="188">
        <f>AE155</f>
        <v>531.72299999999996</v>
      </c>
      <c r="AG154" s="188">
        <f>AE154</f>
        <v>551.05799999999999</v>
      </c>
      <c r="AH154" s="188">
        <f>AG155</f>
        <v>433.548</v>
      </c>
      <c r="AI154" s="188">
        <f>AH155</f>
        <v>418.73399999999998</v>
      </c>
      <c r="AJ154" s="188">
        <f>AH154</f>
        <v>433.548</v>
      </c>
      <c r="AK154" s="188">
        <f>AJ155</f>
        <v>418.41199999999998</v>
      </c>
      <c r="AL154" s="188">
        <f>AK155</f>
        <v>401.07600000000002</v>
      </c>
      <c r="AM154" s="439">
        <f>AK154</f>
        <v>418.41199999999998</v>
      </c>
      <c r="AN154" s="609">
        <f>AM155</f>
        <v>329.423</v>
      </c>
      <c r="AO154" s="188">
        <f>AN155</f>
        <v>334.43299999999999</v>
      </c>
      <c r="AP154" s="188">
        <f>AM155</f>
        <v>329.423</v>
      </c>
      <c r="AQ154" s="188">
        <f>AP155</f>
        <v>267.571022716264</v>
      </c>
      <c r="AR154" s="188">
        <f>AQ155</f>
        <v>302.0353783442356</v>
      </c>
      <c r="AS154" s="188">
        <f>AP155</f>
        <v>267.571022716264</v>
      </c>
      <c r="AT154" s="188">
        <f>AS155</f>
        <v>207.24429161729086</v>
      </c>
      <c r="AU154" s="188">
        <f>AT155</f>
        <v>249.23006454165736</v>
      </c>
      <c r="AV154" s="188">
        <f>AS155</f>
        <v>207.24429161729086</v>
      </c>
      <c r="AW154" s="188">
        <f>AV155</f>
        <v>148.54744293255015</v>
      </c>
      <c r="AX154" s="188">
        <f>AW155</f>
        <v>200.7003671750432</v>
      </c>
      <c r="AY154" s="188">
        <f>AV155</f>
        <v>148.54744293255015</v>
      </c>
      <c r="AZ154" s="188">
        <f>AY155</f>
        <v>106.50644012029069</v>
      </c>
      <c r="BA154" s="188">
        <f>AZ155</f>
        <v>154.19471934187212</v>
      </c>
      <c r="BB154" s="188">
        <f>AY155</f>
        <v>106.50644012029069</v>
      </c>
    </row>
    <row r="155" spans="2:62">
      <c r="B155" s="7" t="s">
        <v>392</v>
      </c>
      <c r="C155" s="73" t="s">
        <v>269</v>
      </c>
      <c r="D155" s="95"/>
      <c r="E155" s="95"/>
      <c r="F155" s="95"/>
      <c r="G155" s="95"/>
      <c r="H155" s="95"/>
      <c r="I155" s="95"/>
      <c r="J155" s="95"/>
      <c r="K155" s="95"/>
      <c r="L155" s="188"/>
      <c r="M155" s="188"/>
      <c r="N155" s="188"/>
      <c r="O155" s="188"/>
      <c r="P155" s="188"/>
      <c r="Q155" s="188"/>
      <c r="R155" s="188"/>
      <c r="S155" s="188"/>
      <c r="T155" s="188"/>
      <c r="U155" s="188"/>
      <c r="V155" s="188"/>
      <c r="W155" s="188">
        <f>W148</f>
        <v>208.53899999999999</v>
      </c>
      <c r="X155" s="188">
        <f>W155</f>
        <v>208.53899999999999</v>
      </c>
      <c r="Y155" s="188">
        <f>Y148</f>
        <v>174.22899999999998</v>
      </c>
      <c r="Z155" s="188">
        <f>Z148</f>
        <v>130.43100000000001</v>
      </c>
      <c r="AA155" s="464">
        <f>Z155</f>
        <v>130.43100000000001</v>
      </c>
      <c r="AB155" s="188">
        <f>AB148</f>
        <v>545.34199999999998</v>
      </c>
      <c r="AC155" s="188">
        <f>AC148</f>
        <v>551.05799999999999</v>
      </c>
      <c r="AD155" s="188">
        <f>AC155</f>
        <v>551.05799999999999</v>
      </c>
      <c r="AE155" s="188">
        <f>AE148</f>
        <v>531.72299999999996</v>
      </c>
      <c r="AF155" s="188">
        <f>AF148</f>
        <v>433.548</v>
      </c>
      <c r="AG155" s="188">
        <f>AF155</f>
        <v>433.548</v>
      </c>
      <c r="AH155" s="188">
        <f t="shared" ref="AH155" si="271">AH146</f>
        <v>418.73399999999998</v>
      </c>
      <c r="AI155" s="188">
        <f>AI148</f>
        <v>418.41199999999998</v>
      </c>
      <c r="AJ155" s="188">
        <f>AI155</f>
        <v>418.41199999999998</v>
      </c>
      <c r="AK155" s="188">
        <f t="shared" ref="AK155" si="272">AK146</f>
        <v>401.07600000000002</v>
      </c>
      <c r="AL155" s="188">
        <f>AL148</f>
        <v>329.423</v>
      </c>
      <c r="AM155" s="439">
        <f>AL155</f>
        <v>329.423</v>
      </c>
      <c r="AN155" s="609">
        <f t="shared" ref="AN155" si="273">AN146</f>
        <v>334.43299999999999</v>
      </c>
      <c r="AO155" s="188">
        <f>AO148</f>
        <v>267.571022716264</v>
      </c>
      <c r="AP155" s="188">
        <f>AO155</f>
        <v>267.571022716264</v>
      </c>
      <c r="AQ155" s="188">
        <f t="shared" ref="AQ155" si="274">AQ146</f>
        <v>302.0353783442356</v>
      </c>
      <c r="AR155" s="188">
        <f>AR148</f>
        <v>207.24429161729086</v>
      </c>
      <c r="AS155" s="188">
        <f>AR155</f>
        <v>207.24429161729086</v>
      </c>
      <c r="AT155" s="188">
        <f t="shared" ref="AT155" si="275">AT146</f>
        <v>249.23006454165736</v>
      </c>
      <c r="AU155" s="188">
        <f>AU148</f>
        <v>148.54744293255015</v>
      </c>
      <c r="AV155" s="188">
        <f>AU155</f>
        <v>148.54744293255015</v>
      </c>
      <c r="AW155" s="188">
        <f t="shared" ref="AW155" si="276">AW146</f>
        <v>200.7003671750432</v>
      </c>
      <c r="AX155" s="188">
        <f>AX148</f>
        <v>106.50644012029069</v>
      </c>
      <c r="AY155" s="188">
        <f>AX155</f>
        <v>106.50644012029069</v>
      </c>
      <c r="AZ155" s="188">
        <f t="shared" ref="AZ155" si="277">AZ146</f>
        <v>154.19471934187212</v>
      </c>
      <c r="BA155" s="188">
        <f>BA148</f>
        <v>55.270356615078185</v>
      </c>
      <c r="BB155" s="188">
        <f>BA155</f>
        <v>55.270356615078185</v>
      </c>
    </row>
    <row r="156" spans="2:62">
      <c r="B156" s="7" t="s">
        <v>211</v>
      </c>
      <c r="C156" s="73" t="s">
        <v>82</v>
      </c>
      <c r="D156" s="86"/>
      <c r="E156" s="86"/>
      <c r="F156" s="86"/>
      <c r="G156" s="86"/>
      <c r="H156" s="86"/>
      <c r="I156" s="86"/>
      <c r="J156" s="86"/>
      <c r="K156" s="86"/>
      <c r="L156" s="86"/>
      <c r="M156" s="86"/>
      <c r="N156" s="86"/>
      <c r="O156" s="86"/>
      <c r="P156" s="86"/>
      <c r="Q156" s="86"/>
      <c r="R156" s="86"/>
      <c r="S156" s="86"/>
      <c r="T156" s="86"/>
      <c r="U156" s="86"/>
      <c r="V156" s="86"/>
      <c r="W156" s="86">
        <v>0.5</v>
      </c>
      <c r="X156" s="86">
        <v>0.5</v>
      </c>
      <c r="Y156" s="86">
        <v>0.5</v>
      </c>
      <c r="Z156" s="86">
        <v>0.5</v>
      </c>
      <c r="AA156" s="532">
        <v>0.5</v>
      </c>
      <c r="AB156" s="86">
        <v>0.5</v>
      </c>
      <c r="AC156" s="86">
        <v>0.5</v>
      </c>
      <c r="AD156" s="86">
        <v>0.5</v>
      </c>
      <c r="AE156" s="86">
        <v>0.5</v>
      </c>
      <c r="AF156" s="86">
        <v>0.5</v>
      </c>
      <c r="AG156" s="86">
        <v>0.5</v>
      </c>
      <c r="AH156" s="86">
        <v>0.5</v>
      </c>
      <c r="AI156" s="86">
        <v>0.5</v>
      </c>
      <c r="AJ156" s="86">
        <v>0.5</v>
      </c>
      <c r="AK156" s="86">
        <v>0.5</v>
      </c>
      <c r="AL156" s="86">
        <v>0.5</v>
      </c>
      <c r="AM156" s="440">
        <v>0.5</v>
      </c>
      <c r="AN156" s="610">
        <v>0.5</v>
      </c>
      <c r="AO156" s="87">
        <v>0.5</v>
      </c>
      <c r="AP156" s="87">
        <v>0.5</v>
      </c>
      <c r="AQ156" s="87">
        <v>0.5</v>
      </c>
      <c r="AR156" s="87">
        <v>0.5</v>
      </c>
      <c r="AS156" s="87">
        <v>0.5</v>
      </c>
      <c r="AT156" s="87">
        <v>0.5</v>
      </c>
      <c r="AU156" s="87">
        <v>0.5</v>
      </c>
      <c r="AV156" s="87">
        <v>0.5</v>
      </c>
      <c r="AW156" s="87">
        <v>0.5</v>
      </c>
      <c r="AX156" s="87">
        <v>0.5</v>
      </c>
      <c r="AY156" s="87">
        <v>0.5</v>
      </c>
      <c r="AZ156" s="87">
        <v>0.5</v>
      </c>
      <c r="BA156" s="87">
        <v>0.5</v>
      </c>
      <c r="BB156" s="87">
        <v>0.5</v>
      </c>
    </row>
    <row r="157" spans="2:62">
      <c r="B157" s="7" t="s">
        <v>391</v>
      </c>
      <c r="C157" s="73" t="s">
        <v>269</v>
      </c>
      <c r="D157" s="95"/>
      <c r="E157" s="95"/>
      <c r="F157" s="95"/>
      <c r="G157" s="95"/>
      <c r="H157" s="95"/>
      <c r="I157" s="95"/>
      <c r="J157" s="95"/>
      <c r="K157" s="95"/>
      <c r="L157" s="189"/>
      <c r="M157" s="189"/>
      <c r="N157" s="189"/>
      <c r="O157" s="189"/>
      <c r="P157" s="189"/>
      <c r="Q157" s="189"/>
      <c r="R157" s="189"/>
      <c r="S157" s="189"/>
      <c r="T157" s="189"/>
      <c r="U157" s="189"/>
      <c r="V157" s="189"/>
      <c r="W157" s="189">
        <f t="shared" ref="W157:AA157" si="278">W156*W155+W154*(1-W156)</f>
        <v>104.26949999999999</v>
      </c>
      <c r="X157" s="189">
        <f t="shared" si="278"/>
        <v>104.26949999999999</v>
      </c>
      <c r="Y157" s="189">
        <f t="shared" si="278"/>
        <v>191.38399999999999</v>
      </c>
      <c r="Z157" s="189">
        <f t="shared" si="278"/>
        <v>152.32999999999998</v>
      </c>
      <c r="AA157" s="464">
        <f t="shared" si="278"/>
        <v>169.48500000000001</v>
      </c>
      <c r="AB157" s="189">
        <f t="shared" ref="AB157:AD157" si="279">AB156*AB155+AB154*(1-AB156)</f>
        <v>337.88650000000001</v>
      </c>
      <c r="AC157" s="189">
        <f t="shared" si="279"/>
        <v>548.20000000000005</v>
      </c>
      <c r="AD157" s="189">
        <f t="shared" si="279"/>
        <v>340.74450000000002</v>
      </c>
      <c r="AE157" s="189">
        <f t="shared" ref="AE157:AG157" si="280">AE156*AE155+AE154*(1-AE156)</f>
        <v>541.39049999999997</v>
      </c>
      <c r="AF157" s="189">
        <f t="shared" si="280"/>
        <v>482.63549999999998</v>
      </c>
      <c r="AG157" s="189">
        <f t="shared" si="280"/>
        <v>492.303</v>
      </c>
      <c r="AH157" s="189">
        <f t="shared" ref="AH157:AJ157" si="281">AH156*AH155+AH154*(1-AH156)</f>
        <v>426.14099999999996</v>
      </c>
      <c r="AI157" s="189">
        <f t="shared" si="281"/>
        <v>418.57299999999998</v>
      </c>
      <c r="AJ157" s="189">
        <f t="shared" si="281"/>
        <v>425.98</v>
      </c>
      <c r="AK157" s="189">
        <f t="shared" ref="AK157:AM157" si="282">AK156*AK155+AK154*(1-AK156)</f>
        <v>409.74400000000003</v>
      </c>
      <c r="AL157" s="189">
        <f t="shared" si="282"/>
        <v>365.24950000000001</v>
      </c>
      <c r="AM157" s="441">
        <f t="shared" si="282"/>
        <v>373.91750000000002</v>
      </c>
      <c r="AN157" s="611">
        <f t="shared" ref="AN157" si="283">AN156*AN155+AN154*(1-AN156)</f>
        <v>331.928</v>
      </c>
      <c r="AO157" s="189">
        <f t="shared" ref="AO157:BB157" si="284">AO156*AO155+AO154*(1-AO156)</f>
        <v>301.00201135813199</v>
      </c>
      <c r="AP157" s="189">
        <f t="shared" si="284"/>
        <v>298.497011358132</v>
      </c>
      <c r="AQ157" s="189">
        <f t="shared" si="284"/>
        <v>284.8032005302498</v>
      </c>
      <c r="AR157" s="189">
        <f t="shared" si="284"/>
        <v>254.63983498076323</v>
      </c>
      <c r="AS157" s="189">
        <f t="shared" si="284"/>
        <v>237.40765716677743</v>
      </c>
      <c r="AT157" s="189">
        <f t="shared" si="284"/>
        <v>228.23717807947412</v>
      </c>
      <c r="AU157" s="189">
        <f t="shared" si="284"/>
        <v>198.88875373710374</v>
      </c>
      <c r="AV157" s="189">
        <f t="shared" si="284"/>
        <v>177.8958672749205</v>
      </c>
      <c r="AW157" s="189">
        <f t="shared" si="284"/>
        <v>174.62390505379668</v>
      </c>
      <c r="AX157" s="189">
        <f t="shared" si="284"/>
        <v>153.60340364766694</v>
      </c>
      <c r="AY157" s="189">
        <f t="shared" si="284"/>
        <v>127.52694152642042</v>
      </c>
      <c r="AZ157" s="189">
        <f t="shared" si="284"/>
        <v>130.35057973108141</v>
      </c>
      <c r="BA157" s="189">
        <f t="shared" si="284"/>
        <v>104.73253797847515</v>
      </c>
      <c r="BB157" s="189">
        <f t="shared" si="284"/>
        <v>80.888398367684431</v>
      </c>
    </row>
    <row r="158" spans="2:62">
      <c r="B158" s="7" t="s">
        <v>212</v>
      </c>
      <c r="C158" s="73" t="s">
        <v>82</v>
      </c>
      <c r="D158" s="96"/>
      <c r="E158" s="96"/>
      <c r="F158" s="38"/>
      <c r="G158" s="96"/>
      <c r="H158" s="96"/>
      <c r="I158" s="96"/>
      <c r="J158" s="96"/>
      <c r="K158" s="96"/>
      <c r="L158" s="96"/>
      <c r="M158" s="96"/>
      <c r="N158" s="96"/>
      <c r="O158" s="96"/>
      <c r="P158" s="96"/>
      <c r="Q158" s="96"/>
      <c r="R158" s="96"/>
      <c r="S158" s="96"/>
      <c r="T158" s="96"/>
      <c r="U158" s="96"/>
      <c r="V158" s="96"/>
      <c r="W158" s="96">
        <f>-(W159/W157*2)</f>
        <v>0.23118936985408009</v>
      </c>
      <c r="X158" s="96">
        <f>-(X159/X157)</f>
        <v>0.19209836049851589</v>
      </c>
      <c r="Y158" s="96">
        <f>-(Y159/Y157*2)</f>
        <v>4.4486477448480541E-2</v>
      </c>
      <c r="Z158" s="96">
        <f>-(Z159/Z157*2)</f>
        <v>6.1983850850128017E-2</v>
      </c>
      <c r="AA158" s="485">
        <f>-(AA159/AA157)</f>
        <v>5.2972239431218093E-2</v>
      </c>
      <c r="AB158" s="96">
        <f>-(AB159/AB157*2)</f>
        <v>3.4751314420670844E-2</v>
      </c>
      <c r="AC158" s="96">
        <f>-(AC159/AC157*2)</f>
        <v>3.622765414082451E-2</v>
      </c>
      <c r="AD158" s="96">
        <f>-(AD159/AD157)</f>
        <v>4.6371988395997578E-2</v>
      </c>
      <c r="AE158" s="96">
        <f>-(AE159/AE157*2)</f>
        <v>5.6820354254461435E-2</v>
      </c>
      <c r="AF158" s="96">
        <f>-(AF159/AF157*2)</f>
        <v>7.3152513646426762E-2</v>
      </c>
      <c r="AG158" s="96">
        <f>-(AG159/AG157)</f>
        <v>6.7100952055949292E-2</v>
      </c>
      <c r="AH158" s="96">
        <f>-(AH159/AH157*2)</f>
        <v>7.0371074362710936E-2</v>
      </c>
      <c r="AI158" s="96">
        <f>-(AI159/AI157*2)</f>
        <v>7.6201761699870751E-2</v>
      </c>
      <c r="AJ158" s="96">
        <f>-(AJ159/AJ157)</f>
        <v>7.2637213014695529E-2</v>
      </c>
      <c r="AK158" s="96">
        <f>-(AK159/AK157*2)</f>
        <v>7.5412940763012998E-2</v>
      </c>
      <c r="AL158" s="96">
        <f>-(AL159/AL157*2)</f>
        <v>5.8414864359841702E-2</v>
      </c>
      <c r="AM158" s="442">
        <f>-(AM159/AM157)</f>
        <v>6.9849632606123008E-2</v>
      </c>
      <c r="AN158" s="612">
        <f>-(AN159/AN157*2)</f>
        <v>7.4257067797835669E-2</v>
      </c>
      <c r="AO158" s="87">
        <v>0.08</v>
      </c>
      <c r="AP158" s="38">
        <f t="shared" ref="AP158" si="285">-(AP160/AP157)</f>
        <v>8.1296786200358101E-2</v>
      </c>
      <c r="AQ158" s="87">
        <v>8.5000000000000006E-2</v>
      </c>
      <c r="AR158" s="87">
        <v>0.09</v>
      </c>
      <c r="AS158" s="38">
        <f t="shared" ref="AS158" si="286">-(AS160/AS157)</f>
        <v>9.8409020646746517E-2</v>
      </c>
      <c r="AT158" s="87">
        <v>0.12</v>
      </c>
      <c r="AU158" s="87">
        <v>0.12</v>
      </c>
      <c r="AV158" s="38">
        <f t="shared" ref="AV158" si="287">-(AV160/AV157)</f>
        <v>0.14045445949561072</v>
      </c>
      <c r="AW158" s="87">
        <v>0.17</v>
      </c>
      <c r="AX158" s="87">
        <v>0.18</v>
      </c>
      <c r="AY158" s="38">
        <f t="shared" ref="AY158" si="288">-(AY160/AY157)</f>
        <v>0.21154253996596528</v>
      </c>
      <c r="AZ158" s="87">
        <f t="shared" ref="AZ158" si="289">+AX158</f>
        <v>0.18</v>
      </c>
      <c r="BA158" s="87">
        <f t="shared" ref="BA158" si="290">+AZ158</f>
        <v>0.18</v>
      </c>
      <c r="BB158" s="38">
        <f t="shared" ref="BB158" si="291">-(BB160/BB157)</f>
        <v>0.21975664359344443</v>
      </c>
    </row>
    <row r="159" spans="2:62">
      <c r="B159" s="14" t="s">
        <v>389</v>
      </c>
      <c r="C159" s="73" t="s">
        <v>269</v>
      </c>
      <c r="D159" s="95"/>
      <c r="E159" s="95"/>
      <c r="F159" s="95"/>
      <c r="G159" s="95"/>
      <c r="H159" s="95"/>
      <c r="I159" s="95"/>
      <c r="J159" s="95"/>
      <c r="K159" s="95"/>
      <c r="L159" s="189"/>
      <c r="M159" s="189"/>
      <c r="N159" s="189"/>
      <c r="O159" s="189"/>
      <c r="P159" s="189"/>
      <c r="Q159" s="189"/>
      <c r="R159" s="189"/>
      <c r="S159" s="189"/>
      <c r="T159" s="189"/>
      <c r="U159" s="189"/>
      <c r="V159" s="189"/>
      <c r="W159" s="189">
        <f t="shared" ref="W159:AA159" si="292">W59</f>
        <v>-12.053000000000001</v>
      </c>
      <c r="X159" s="189">
        <f t="shared" si="292"/>
        <v>-20.03</v>
      </c>
      <c r="Y159" s="189">
        <f t="shared" si="292"/>
        <v>-4.2569999999999997</v>
      </c>
      <c r="Z159" s="189">
        <f t="shared" si="292"/>
        <v>-4.7210000000000001</v>
      </c>
      <c r="AA159" s="464">
        <f t="shared" si="292"/>
        <v>-8.9779999999999998</v>
      </c>
      <c r="AB159" s="189">
        <f t="shared" ref="AB159:AD159" si="293">AB59</f>
        <v>-5.8709999999999996</v>
      </c>
      <c r="AC159" s="189">
        <f t="shared" si="293"/>
        <v>-9.93</v>
      </c>
      <c r="AD159" s="189">
        <f t="shared" si="293"/>
        <v>-15.800999999999998</v>
      </c>
      <c r="AE159" s="189">
        <f>AE59</f>
        <v>-15.381</v>
      </c>
      <c r="AF159" s="189">
        <f t="shared" ref="AF159:AH159" si="294">AF59</f>
        <v>-17.653000000000002</v>
      </c>
      <c r="AG159" s="189">
        <f t="shared" si="294"/>
        <v>-33.034000000000006</v>
      </c>
      <c r="AH159" s="189">
        <f t="shared" si="294"/>
        <v>-14.994</v>
      </c>
      <c r="AI159" s="189">
        <f t="shared" ref="AI159:AK159" si="295">AI59</f>
        <v>-15.948</v>
      </c>
      <c r="AJ159" s="189">
        <f t="shared" si="295"/>
        <v>-30.942</v>
      </c>
      <c r="AK159" s="189">
        <f t="shared" si="295"/>
        <v>-15.45</v>
      </c>
      <c r="AL159" s="189">
        <f t="shared" ref="AL159:AN159" si="296">AL59</f>
        <v>-10.668000000000001</v>
      </c>
      <c r="AM159" s="441">
        <f t="shared" si="296"/>
        <v>-26.118000000000002</v>
      </c>
      <c r="AN159" s="611">
        <f t="shared" si="296"/>
        <v>-12.324</v>
      </c>
      <c r="AO159" s="189">
        <f t="shared" ref="AO159" si="297">-(AO158*AO157/2)</f>
        <v>-12.040080454325279</v>
      </c>
      <c r="AP159" s="189">
        <f t="shared" ref="AP159" si="298">AO159+AN159</f>
        <v>-24.364080454325279</v>
      </c>
      <c r="AQ159" s="189">
        <f t="shared" ref="AQ159:AR159" si="299">-(AQ158*AQ157/2)</f>
        <v>-12.104136022535616</v>
      </c>
      <c r="AR159" s="189">
        <f t="shared" si="299"/>
        <v>-11.458792574134344</v>
      </c>
      <c r="AS159" s="189">
        <f t="shared" ref="AS159" si="300">AR159+AQ159</f>
        <v>-23.562928596669963</v>
      </c>
      <c r="AT159" s="189">
        <f t="shared" ref="AT159:AU159" si="301">-(AT158*AT157/2)</f>
        <v>-13.694230684768447</v>
      </c>
      <c r="AU159" s="189">
        <f t="shared" si="301"/>
        <v>-11.933325224226223</v>
      </c>
      <c r="AV159" s="189">
        <f t="shared" ref="AV159" si="302">AU159+AT159</f>
        <v>-25.627555908994673</v>
      </c>
      <c r="AW159" s="189">
        <f t="shared" ref="AW159:AX159" si="303">-(AW158*AW157/2)</f>
        <v>-14.843031929572719</v>
      </c>
      <c r="AX159" s="189">
        <f t="shared" si="303"/>
        <v>-13.824306328290024</v>
      </c>
      <c r="AY159" s="189">
        <f t="shared" ref="AY159" si="304">AX159+AW159</f>
        <v>-28.667338257862745</v>
      </c>
      <c r="AZ159" s="189">
        <f t="shared" ref="AZ159:BA159" si="305">-(AZ158*AZ157/2)</f>
        <v>-11.731552175797326</v>
      </c>
      <c r="BA159" s="189">
        <f t="shared" si="305"/>
        <v>-9.4259284180627638</v>
      </c>
      <c r="BB159" s="189">
        <f t="shared" ref="BB159" si="306">BA159+AZ159</f>
        <v>-21.15748059386009</v>
      </c>
    </row>
    <row r="160" spans="2:62">
      <c r="B160" s="7" t="s">
        <v>390</v>
      </c>
      <c r="C160" s="73" t="s">
        <v>269</v>
      </c>
      <c r="D160" s="95"/>
      <c r="E160" s="95"/>
      <c r="F160" s="95"/>
      <c r="G160" s="95"/>
      <c r="H160" s="95"/>
      <c r="I160" s="95"/>
      <c r="J160" s="95"/>
      <c r="K160" s="95"/>
      <c r="L160" s="189"/>
      <c r="M160" s="189"/>
      <c r="N160" s="189"/>
      <c r="O160" s="189"/>
      <c r="P160" s="189"/>
      <c r="Q160" s="189"/>
      <c r="R160" s="189"/>
      <c r="S160" s="189"/>
      <c r="T160" s="189"/>
      <c r="U160" s="189"/>
      <c r="V160" s="189"/>
      <c r="W160" s="189">
        <v>-12.053000000000001</v>
      </c>
      <c r="X160" s="189">
        <v>-20.03</v>
      </c>
      <c r="Y160" s="189">
        <v>-4.2569999999999997</v>
      </c>
      <c r="Z160" s="189">
        <v>-4.7210000000000001</v>
      </c>
      <c r="AA160" s="464">
        <v>-8.9779999999999998</v>
      </c>
      <c r="AB160" s="189">
        <v>-5.8709999999999996</v>
      </c>
      <c r="AC160" s="189">
        <v>-9.93</v>
      </c>
      <c r="AD160" s="189">
        <v>-15.800999999999998</v>
      </c>
      <c r="AE160" s="189">
        <v>-15.381</v>
      </c>
      <c r="AF160" s="189">
        <v>-17.653000000000002</v>
      </c>
      <c r="AG160" s="189">
        <v>-33.034000000000006</v>
      </c>
      <c r="AH160" s="189">
        <v>-14.994</v>
      </c>
      <c r="AI160" s="189">
        <v>-15.948</v>
      </c>
      <c r="AJ160" s="189">
        <v>-30.942</v>
      </c>
      <c r="AK160" s="189">
        <v>-15.45</v>
      </c>
      <c r="AL160" s="189">
        <v>-10.668000000000001</v>
      </c>
      <c r="AM160" s="441">
        <v>-26.118000000000002</v>
      </c>
      <c r="AN160" s="611">
        <v>-12.324</v>
      </c>
      <c r="AO160" s="189">
        <v>-11.942847713827923</v>
      </c>
      <c r="AP160" s="189">
        <v>-24.266847713827921</v>
      </c>
      <c r="AQ160" s="189">
        <v>-12.016432875009835</v>
      </c>
      <c r="AR160" s="189">
        <v>-11.346622160811286</v>
      </c>
      <c r="AS160" s="189">
        <v>-23.36305503582112</v>
      </c>
      <c r="AT160" s="189">
        <v>-13.417449776921318</v>
      </c>
      <c r="AU160" s="189">
        <v>-11.568818107680549</v>
      </c>
      <c r="AV160" s="189">
        <v>-24.986267884601865</v>
      </c>
      <c r="AW160" s="189">
        <v>-14.25256873248331</v>
      </c>
      <c r="AX160" s="189">
        <v>-12.724804392106801</v>
      </c>
      <c r="AY160" s="189">
        <v>-26.977373124590109</v>
      </c>
      <c r="AZ160" s="189">
        <v>-10.252360321074061</v>
      </c>
      <c r="BA160" s="189">
        <v>-7.5234026098577189</v>
      </c>
      <c r="BB160" s="189">
        <v>-17.77576293093178</v>
      </c>
    </row>
    <row r="161" spans="2:54">
      <c r="B161" s="52" t="s">
        <v>259</v>
      </c>
      <c r="D161" s="53"/>
      <c r="E161" s="53"/>
      <c r="F161" s="53"/>
      <c r="G161" s="53"/>
      <c r="H161" s="53"/>
      <c r="I161" s="53"/>
      <c r="J161" s="53"/>
      <c r="K161" s="53"/>
      <c r="L161" s="190"/>
      <c r="M161" s="190"/>
      <c r="N161" s="190"/>
      <c r="O161" s="190"/>
      <c r="P161" s="190"/>
      <c r="Q161" s="190"/>
      <c r="R161" s="190"/>
      <c r="S161" s="190"/>
      <c r="T161" s="190"/>
      <c r="U161" s="190"/>
      <c r="V161" s="190"/>
      <c r="W161" s="190">
        <f t="shared" ref="W161:AJ161" si="307">ROUND(W159-W160,2)</f>
        <v>0</v>
      </c>
      <c r="X161" s="190">
        <f t="shared" si="307"/>
        <v>0</v>
      </c>
      <c r="Y161" s="190">
        <f t="shared" si="307"/>
        <v>0</v>
      </c>
      <c r="Z161" s="190">
        <f t="shared" si="307"/>
        <v>0</v>
      </c>
      <c r="AA161" s="486">
        <f t="shared" si="307"/>
        <v>0</v>
      </c>
      <c r="AB161" s="190">
        <f t="shared" ref="AB161:AD161" si="308">ROUND(AB159-AB160,2)</f>
        <v>0</v>
      </c>
      <c r="AC161" s="190">
        <f t="shared" si="308"/>
        <v>0</v>
      </c>
      <c r="AD161" s="190">
        <f t="shared" si="308"/>
        <v>0</v>
      </c>
      <c r="AE161" s="190">
        <f t="shared" ref="AE161:AG161" si="309">ROUND(AE159-AE160,2)</f>
        <v>0</v>
      </c>
      <c r="AF161" s="190">
        <f t="shared" si="309"/>
        <v>0</v>
      </c>
      <c r="AG161" s="190">
        <f t="shared" si="309"/>
        <v>0</v>
      </c>
      <c r="AH161" s="190">
        <f t="shared" si="307"/>
        <v>0</v>
      </c>
      <c r="AI161" s="190">
        <f t="shared" si="307"/>
        <v>0</v>
      </c>
      <c r="AJ161" s="190">
        <f t="shared" si="307"/>
        <v>0</v>
      </c>
      <c r="AK161" s="190">
        <f t="shared" ref="AK161:AM161" si="310">ROUND(AK159-AK160,2)</f>
        <v>0</v>
      </c>
      <c r="AL161" s="190">
        <f t="shared" si="310"/>
        <v>0</v>
      </c>
      <c r="AM161" s="443">
        <f t="shared" si="310"/>
        <v>0</v>
      </c>
      <c r="AN161" s="613">
        <f t="shared" ref="AN161" si="311">ROUND(AN159-AN160,2)</f>
        <v>0</v>
      </c>
      <c r="AO161" s="190">
        <f t="shared" ref="AO161:BB161" si="312">ROUND(AO159-AO160,2)</f>
        <v>-0.1</v>
      </c>
      <c r="AP161" s="190">
        <f t="shared" si="312"/>
        <v>-0.1</v>
      </c>
      <c r="AQ161" s="190">
        <f t="shared" si="312"/>
        <v>-0.09</v>
      </c>
      <c r="AR161" s="190">
        <f t="shared" si="312"/>
        <v>-0.11</v>
      </c>
      <c r="AS161" s="190">
        <f t="shared" si="312"/>
        <v>-0.2</v>
      </c>
      <c r="AT161" s="190">
        <f t="shared" si="312"/>
        <v>-0.28000000000000003</v>
      </c>
      <c r="AU161" s="190">
        <f t="shared" si="312"/>
        <v>-0.36</v>
      </c>
      <c r="AV161" s="190">
        <f t="shared" si="312"/>
        <v>-0.64</v>
      </c>
      <c r="AW161" s="190">
        <f t="shared" si="312"/>
        <v>-0.59</v>
      </c>
      <c r="AX161" s="190">
        <f t="shared" si="312"/>
        <v>-1.1000000000000001</v>
      </c>
      <c r="AY161" s="190">
        <f t="shared" si="312"/>
        <v>-1.69</v>
      </c>
      <c r="AZ161" s="190">
        <f t="shared" si="312"/>
        <v>-1.48</v>
      </c>
      <c r="BA161" s="190">
        <f t="shared" si="312"/>
        <v>-1.9</v>
      </c>
      <c r="BB161" s="190">
        <f t="shared" si="312"/>
        <v>-3.38</v>
      </c>
    </row>
    <row r="162" spans="2:54">
      <c r="B162" s="14"/>
      <c r="D162" s="95"/>
      <c r="E162" s="95"/>
      <c r="F162" s="95"/>
      <c r="G162" s="95"/>
      <c r="H162" s="95"/>
      <c r="I162" s="95"/>
      <c r="J162" s="97"/>
      <c r="K162" s="95"/>
      <c r="L162" s="95"/>
      <c r="M162" s="95"/>
      <c r="N162" s="95"/>
      <c r="O162" s="95"/>
      <c r="P162" s="95"/>
      <c r="Q162" s="95"/>
      <c r="R162" s="95"/>
      <c r="S162" s="95"/>
      <c r="T162" s="95"/>
      <c r="U162" s="95"/>
      <c r="V162" s="95"/>
      <c r="W162" s="95"/>
      <c r="X162" s="95"/>
      <c r="Y162" s="95"/>
      <c r="Z162" s="95"/>
      <c r="AA162" s="464"/>
      <c r="AB162" s="95"/>
      <c r="AC162" s="95"/>
      <c r="AD162" s="95"/>
      <c r="AE162" s="95"/>
      <c r="AF162" s="95"/>
      <c r="AG162" s="95"/>
      <c r="AH162" s="95"/>
      <c r="AI162" s="95"/>
      <c r="AJ162" s="95"/>
      <c r="AK162" s="95"/>
      <c r="AL162" s="95"/>
      <c r="AM162" s="444"/>
      <c r="AN162" s="614"/>
      <c r="AO162" s="95"/>
      <c r="AP162" s="95"/>
      <c r="AQ162" s="95"/>
      <c r="AR162" s="95"/>
      <c r="AS162" s="95"/>
      <c r="AT162" s="95"/>
      <c r="AU162" s="95"/>
      <c r="AV162" s="95"/>
      <c r="AW162" s="95"/>
      <c r="AX162" s="95"/>
      <c r="AY162" s="95"/>
      <c r="AZ162" s="95"/>
      <c r="BA162" s="95"/>
      <c r="BB162" s="95"/>
    </row>
    <row r="163" spans="2:54">
      <c r="B163" s="83" t="s">
        <v>262</v>
      </c>
      <c r="D163" s="95"/>
      <c r="E163" s="95"/>
      <c r="F163" s="95"/>
      <c r="G163" s="95"/>
      <c r="H163" s="95"/>
      <c r="I163" s="95"/>
      <c r="J163" s="95"/>
      <c r="K163" s="95"/>
      <c r="L163" s="95"/>
      <c r="M163" s="95"/>
      <c r="N163" s="95"/>
      <c r="O163" s="95"/>
      <c r="P163" s="95"/>
      <c r="Q163" s="95"/>
      <c r="R163" s="95"/>
      <c r="S163" s="95"/>
      <c r="T163" s="95"/>
      <c r="U163" s="95"/>
      <c r="V163" s="95"/>
      <c r="W163" s="95"/>
      <c r="X163" s="95"/>
      <c r="Y163" s="95"/>
      <c r="Z163" s="95"/>
      <c r="AA163" s="464"/>
      <c r="AB163" s="95"/>
      <c r="AC163" s="95"/>
      <c r="AD163" s="95"/>
      <c r="AE163" s="95"/>
      <c r="AF163" s="95"/>
      <c r="AG163" s="95"/>
      <c r="AH163" s="95"/>
      <c r="AI163" s="95"/>
      <c r="AJ163" s="95"/>
      <c r="AK163" s="95"/>
      <c r="AL163" s="95"/>
      <c r="AM163" s="444"/>
      <c r="AN163" s="614"/>
      <c r="AO163" s="95"/>
      <c r="AP163" s="95"/>
      <c r="AQ163" s="95"/>
      <c r="AR163" s="95"/>
      <c r="AS163" s="95"/>
      <c r="AT163" s="95"/>
      <c r="AU163" s="95"/>
      <c r="AV163" s="95"/>
      <c r="AW163" s="95"/>
      <c r="AX163" s="95"/>
      <c r="AY163" s="95"/>
      <c r="AZ163" s="95"/>
      <c r="BA163" s="95"/>
      <c r="BB163" s="95"/>
    </row>
    <row r="164" spans="2:54">
      <c r="B164" s="98" t="s">
        <v>93</v>
      </c>
      <c r="C164" s="73" t="s">
        <v>269</v>
      </c>
      <c r="D164" s="95"/>
      <c r="E164" s="95"/>
      <c r="F164" s="95"/>
      <c r="G164" s="95"/>
      <c r="H164" s="95"/>
      <c r="I164" s="95"/>
      <c r="J164" s="95"/>
      <c r="K164" s="95"/>
      <c r="L164" s="189"/>
      <c r="M164" s="189"/>
      <c r="N164" s="189"/>
      <c r="O164" s="189"/>
      <c r="P164" s="189"/>
      <c r="Q164" s="189"/>
      <c r="R164" s="189"/>
      <c r="S164" s="189"/>
      <c r="T164" s="189"/>
      <c r="U164" s="189"/>
      <c r="V164" s="189"/>
      <c r="W164" s="189">
        <f>V187</f>
        <v>0</v>
      </c>
      <c r="X164" s="189">
        <f>U187</f>
        <v>0</v>
      </c>
      <c r="Y164" s="189">
        <f>X187</f>
        <v>56.642000000000003</v>
      </c>
      <c r="Z164" s="189">
        <f>Y187</f>
        <v>30.542000000000002</v>
      </c>
      <c r="AA164" s="464">
        <f>X187</f>
        <v>56.642000000000003</v>
      </c>
      <c r="AB164" s="189">
        <f>AA187</f>
        <v>21.318999999999999</v>
      </c>
      <c r="AC164" s="189">
        <f>AB187</f>
        <v>26.390999999999998</v>
      </c>
      <c r="AD164" s="189">
        <f>AA187</f>
        <v>21.318999999999999</v>
      </c>
      <c r="AE164" s="189">
        <f>AD187</f>
        <v>27.678999999999998</v>
      </c>
      <c r="AF164" s="189">
        <f>AE187</f>
        <v>34.921999999999997</v>
      </c>
      <c r="AG164" s="189">
        <f>AD187</f>
        <v>27.678999999999998</v>
      </c>
      <c r="AH164" s="189">
        <f>AG187</f>
        <v>16.617000000000001</v>
      </c>
      <c r="AI164" s="189">
        <f>AH187</f>
        <v>27.164999999999999</v>
      </c>
      <c r="AJ164" s="189">
        <f>AG187</f>
        <v>16.617000000000001</v>
      </c>
      <c r="AK164" s="189">
        <f>AJ187</f>
        <v>19.914999999999999</v>
      </c>
      <c r="AL164" s="189">
        <f>AK187</f>
        <v>22.454000000000001</v>
      </c>
      <c r="AM164" s="441">
        <f>AJ187</f>
        <v>19.914999999999999</v>
      </c>
      <c r="AN164" s="611">
        <f>AM187</f>
        <v>25.384</v>
      </c>
      <c r="AO164" s="189">
        <f>AN187</f>
        <v>25.99</v>
      </c>
      <c r="AP164" s="189">
        <f>AM187</f>
        <v>25.384</v>
      </c>
      <c r="AQ164" s="189">
        <f>AP187</f>
        <v>25.99</v>
      </c>
      <c r="AR164" s="189">
        <f>AQ187</f>
        <v>25.99</v>
      </c>
      <c r="AS164" s="189">
        <f>AP187</f>
        <v>25.99</v>
      </c>
      <c r="AT164" s="189">
        <f>AS187</f>
        <v>25.99</v>
      </c>
      <c r="AU164" s="189">
        <f>AT187</f>
        <v>25.99</v>
      </c>
      <c r="AV164" s="189">
        <f>AS187</f>
        <v>25.99</v>
      </c>
      <c r="AW164" s="189">
        <f>AV187</f>
        <v>25.99</v>
      </c>
      <c r="AX164" s="189">
        <f>AW187</f>
        <v>25.99</v>
      </c>
      <c r="AY164" s="189">
        <f>AV187</f>
        <v>25.99</v>
      </c>
      <c r="AZ164" s="189">
        <f>AY187</f>
        <v>25.99</v>
      </c>
      <c r="BA164" s="189">
        <f>AZ187</f>
        <v>25.99</v>
      </c>
      <c r="BB164" s="189">
        <f>AY187</f>
        <v>25.99</v>
      </c>
    </row>
    <row r="165" spans="2:54">
      <c r="B165" s="98" t="s">
        <v>94</v>
      </c>
      <c r="C165" s="73" t="s">
        <v>269</v>
      </c>
      <c r="D165" s="95"/>
      <c r="E165" s="95"/>
      <c r="F165" s="95"/>
      <c r="G165" s="95"/>
      <c r="H165" s="95"/>
      <c r="I165" s="95"/>
      <c r="J165" s="95"/>
      <c r="K165" s="95"/>
      <c r="L165" s="189"/>
      <c r="M165" s="189"/>
      <c r="N165" s="189"/>
      <c r="O165" s="189"/>
      <c r="P165" s="189"/>
      <c r="Q165" s="189"/>
      <c r="R165" s="189"/>
      <c r="S165" s="189"/>
      <c r="T165" s="189"/>
      <c r="U165" s="189"/>
      <c r="V165" s="189"/>
      <c r="W165" s="189">
        <f>W145</f>
        <v>56.642000000000003</v>
      </c>
      <c r="X165" s="189">
        <f>X187</f>
        <v>56.642000000000003</v>
      </c>
      <c r="Y165" s="189">
        <f>Y187</f>
        <v>30.542000000000002</v>
      </c>
      <c r="Z165" s="189">
        <f>Z145</f>
        <v>21.318999999999999</v>
      </c>
      <c r="AA165" s="464">
        <f>AA187</f>
        <v>21.318999999999999</v>
      </c>
      <c r="AB165" s="189">
        <f>AB187</f>
        <v>26.390999999999998</v>
      </c>
      <c r="AC165" s="189">
        <f>AC145</f>
        <v>27.678999999999998</v>
      </c>
      <c r="AD165" s="189">
        <f>AD187</f>
        <v>27.678999999999998</v>
      </c>
      <c r="AE165" s="189">
        <f>AE187</f>
        <v>34.921999999999997</v>
      </c>
      <c r="AF165" s="189">
        <f>AF145</f>
        <v>16.617000000000001</v>
      </c>
      <c r="AG165" s="189">
        <f>AG187</f>
        <v>16.617000000000001</v>
      </c>
      <c r="AH165" s="189">
        <f>AH187</f>
        <v>27.164999999999999</v>
      </c>
      <c r="AI165" s="189">
        <f>AI145</f>
        <v>19.914999999999999</v>
      </c>
      <c r="AJ165" s="189">
        <f>AJ187</f>
        <v>19.914999999999999</v>
      </c>
      <c r="AK165" s="189">
        <f>AK187</f>
        <v>22.454000000000001</v>
      </c>
      <c r="AL165" s="189">
        <f>AL145</f>
        <v>25.384</v>
      </c>
      <c r="AM165" s="441">
        <f>AM187</f>
        <v>25.384</v>
      </c>
      <c r="AN165" s="611">
        <f>AN187</f>
        <v>25.99</v>
      </c>
      <c r="AO165" s="189">
        <f>AO145</f>
        <v>25.99</v>
      </c>
      <c r="AP165" s="189">
        <f>AP187</f>
        <v>25.99</v>
      </c>
      <c r="AQ165" s="189">
        <f>AQ187</f>
        <v>25.99</v>
      </c>
      <c r="AR165" s="189">
        <f>AR145</f>
        <v>25.99</v>
      </c>
      <c r="AS165" s="189">
        <f>AS187</f>
        <v>25.99</v>
      </c>
      <c r="AT165" s="189">
        <f>AT187</f>
        <v>25.99</v>
      </c>
      <c r="AU165" s="189">
        <f>AU145</f>
        <v>25.99</v>
      </c>
      <c r="AV165" s="189">
        <f>AV187</f>
        <v>25.99</v>
      </c>
      <c r="AW165" s="189">
        <f>AW187</f>
        <v>25.99</v>
      </c>
      <c r="AX165" s="189">
        <f>AX145</f>
        <v>25.99</v>
      </c>
      <c r="AY165" s="189">
        <f>AY187</f>
        <v>25.99</v>
      </c>
      <c r="AZ165" s="189">
        <f>AZ187</f>
        <v>25.99</v>
      </c>
      <c r="BA165" s="189">
        <f>BA145</f>
        <v>25.99</v>
      </c>
      <c r="BB165" s="189">
        <f>BB187</f>
        <v>25.99</v>
      </c>
    </row>
    <row r="166" spans="2:54">
      <c r="B166" s="98" t="s">
        <v>95</v>
      </c>
      <c r="C166" s="73" t="s">
        <v>269</v>
      </c>
      <c r="D166" s="95"/>
      <c r="E166" s="95"/>
      <c r="F166" s="95"/>
      <c r="G166" s="95"/>
      <c r="H166" s="95"/>
      <c r="I166" s="95"/>
      <c r="J166" s="95"/>
      <c r="K166" s="95"/>
      <c r="L166" s="189"/>
      <c r="M166" s="189"/>
      <c r="N166" s="189"/>
      <c r="O166" s="189"/>
      <c r="P166" s="189"/>
      <c r="Q166" s="189"/>
      <c r="R166" s="189"/>
      <c r="S166" s="189"/>
      <c r="T166" s="189"/>
      <c r="U166" s="189"/>
      <c r="V166" s="189"/>
      <c r="W166" s="189">
        <f t="shared" ref="W166:AA166" si="313">AVERAGE(W164:W165)</f>
        <v>28.321000000000002</v>
      </c>
      <c r="X166" s="189">
        <f t="shared" si="313"/>
        <v>28.321000000000002</v>
      </c>
      <c r="Y166" s="189">
        <f t="shared" si="313"/>
        <v>43.591999999999999</v>
      </c>
      <c r="Z166" s="189">
        <f t="shared" si="313"/>
        <v>25.930500000000002</v>
      </c>
      <c r="AA166" s="464">
        <f t="shared" si="313"/>
        <v>38.980499999999999</v>
      </c>
      <c r="AB166" s="189">
        <f t="shared" ref="AB166:AD166" si="314">AVERAGE(AB164:AB165)</f>
        <v>23.854999999999997</v>
      </c>
      <c r="AC166" s="189">
        <f t="shared" si="314"/>
        <v>27.034999999999997</v>
      </c>
      <c r="AD166" s="189">
        <f t="shared" si="314"/>
        <v>24.498999999999999</v>
      </c>
      <c r="AE166" s="189">
        <f t="shared" ref="AE166:AG166" si="315">AVERAGE(AE164:AE165)</f>
        <v>31.3005</v>
      </c>
      <c r="AF166" s="189">
        <f t="shared" si="315"/>
        <v>25.769500000000001</v>
      </c>
      <c r="AG166" s="189">
        <f t="shared" si="315"/>
        <v>22.148</v>
      </c>
      <c r="AH166" s="189">
        <f t="shared" ref="AH166:AJ166" si="316">AVERAGE(AH164:AH165)</f>
        <v>21.890999999999998</v>
      </c>
      <c r="AI166" s="189">
        <f t="shared" si="316"/>
        <v>23.54</v>
      </c>
      <c r="AJ166" s="189">
        <f t="shared" si="316"/>
        <v>18.265999999999998</v>
      </c>
      <c r="AK166" s="189">
        <f t="shared" ref="AK166:AM166" si="317">AVERAGE(AK164:AK165)</f>
        <v>21.1845</v>
      </c>
      <c r="AL166" s="189">
        <f t="shared" si="317"/>
        <v>23.919</v>
      </c>
      <c r="AM166" s="441">
        <f t="shared" si="317"/>
        <v>22.6495</v>
      </c>
      <c r="AN166" s="611">
        <f t="shared" ref="AN166" si="318">AVERAGE(AN164:AN165)</f>
        <v>25.686999999999998</v>
      </c>
      <c r="AO166" s="189">
        <f t="shared" ref="AO166:BB166" si="319">AVERAGE(AO164:AO165)</f>
        <v>25.99</v>
      </c>
      <c r="AP166" s="189">
        <f t="shared" si="319"/>
        <v>25.686999999999998</v>
      </c>
      <c r="AQ166" s="189">
        <f t="shared" si="319"/>
        <v>25.99</v>
      </c>
      <c r="AR166" s="189">
        <f t="shared" si="319"/>
        <v>25.99</v>
      </c>
      <c r="AS166" s="189">
        <f t="shared" si="319"/>
        <v>25.99</v>
      </c>
      <c r="AT166" s="189">
        <f t="shared" si="319"/>
        <v>25.99</v>
      </c>
      <c r="AU166" s="189">
        <f t="shared" si="319"/>
        <v>25.99</v>
      </c>
      <c r="AV166" s="189">
        <f t="shared" si="319"/>
        <v>25.99</v>
      </c>
      <c r="AW166" s="189">
        <f t="shared" si="319"/>
        <v>25.99</v>
      </c>
      <c r="AX166" s="189">
        <f t="shared" si="319"/>
        <v>25.99</v>
      </c>
      <c r="AY166" s="189">
        <f t="shared" si="319"/>
        <v>25.99</v>
      </c>
      <c r="AZ166" s="189">
        <f t="shared" si="319"/>
        <v>25.99</v>
      </c>
      <c r="BA166" s="189">
        <f t="shared" si="319"/>
        <v>25.99</v>
      </c>
      <c r="BB166" s="189">
        <f t="shared" si="319"/>
        <v>25.99</v>
      </c>
    </row>
    <row r="167" spans="2:54">
      <c r="B167" s="98" t="s">
        <v>96</v>
      </c>
      <c r="C167" s="73" t="s">
        <v>82</v>
      </c>
      <c r="D167" s="96"/>
      <c r="E167" s="96"/>
      <c r="F167" s="96"/>
      <c r="G167" s="96"/>
      <c r="H167" s="96"/>
      <c r="I167" s="96"/>
      <c r="J167" s="96"/>
      <c r="K167" s="96"/>
      <c r="L167" s="96"/>
      <c r="M167" s="96"/>
      <c r="N167" s="96"/>
      <c r="O167" s="96"/>
      <c r="P167" s="96"/>
      <c r="Q167" s="96"/>
      <c r="R167" s="96"/>
      <c r="S167" s="96"/>
      <c r="T167" s="96"/>
      <c r="U167" s="96"/>
      <c r="V167" s="96"/>
      <c r="W167" s="96">
        <f>W169/W166*2</f>
        <v>2.6129020867907204E-2</v>
      </c>
      <c r="X167" s="96">
        <f>X169/X166</f>
        <v>2.277461954027047E-2</v>
      </c>
      <c r="Y167" s="96">
        <f>Y169/Y166*2</f>
        <v>4.1750779959625617E-3</v>
      </c>
      <c r="Z167" s="96">
        <f>Z169/Z166*2</f>
        <v>3.3936869709415558E-3</v>
      </c>
      <c r="AA167" s="485">
        <f>AA169/AA166</f>
        <v>3.4632700965867552E-3</v>
      </c>
      <c r="AB167" s="96">
        <f>AB169/AB166*2</f>
        <v>2.0121567805491515E-3</v>
      </c>
      <c r="AC167" s="96">
        <f>AC169/AC166*2</f>
        <v>1.5535417051969669E-3</v>
      </c>
      <c r="AD167" s="96">
        <f>AD169/AD166</f>
        <v>1.8368096657006409E-3</v>
      </c>
      <c r="AE167" s="96">
        <f>AE169/AE166*2</f>
        <v>5.5590166291273301E-3</v>
      </c>
      <c r="AF167" s="96">
        <f>AF169/AF166*2</f>
        <v>-3.3605619045771161E-2</v>
      </c>
      <c r="AG167" s="96">
        <f>AG169/AG166</f>
        <v>-1.5622178074769731E-2</v>
      </c>
      <c r="AH167" s="96">
        <f>AH169/AH166</f>
        <v>0</v>
      </c>
      <c r="AI167" s="96">
        <f>AI169/AI166*2</f>
        <v>3.8062871707731524E-2</v>
      </c>
      <c r="AJ167" s="96">
        <f>AJ169/AJ166</f>
        <v>3.4271323770940547E-2</v>
      </c>
      <c r="AK167" s="96">
        <f>AK169/AK166</f>
        <v>1.3201615369500127E-15</v>
      </c>
      <c r="AL167" s="96">
        <f>AL169/AL166*2</f>
        <v>0.24097997407918392</v>
      </c>
      <c r="AM167" s="442">
        <f>AM169/AM166</f>
        <v>0.12724342700721872</v>
      </c>
      <c r="AN167" s="612">
        <f>AN169/AN166</f>
        <v>2.3374339808722899E-2</v>
      </c>
      <c r="AO167" s="87">
        <f>+AN167</f>
        <v>2.3374339808722899E-2</v>
      </c>
      <c r="AP167" s="87">
        <f>AP169/AP166</f>
        <v>2.351219991231699E-2</v>
      </c>
      <c r="AQ167" s="87">
        <f>+AP167</f>
        <v>2.351219991231699E-2</v>
      </c>
      <c r="AR167" s="87">
        <f>+AQ167</f>
        <v>2.351219991231699E-2</v>
      </c>
      <c r="AS167" s="87">
        <f>AS169/AS166</f>
        <v>4.7024399824633981E-2</v>
      </c>
      <c r="AT167" s="87">
        <f>+AS167</f>
        <v>4.7024399824633981E-2</v>
      </c>
      <c r="AU167" s="87">
        <f>+AT167</f>
        <v>4.7024399824633981E-2</v>
      </c>
      <c r="AV167" s="87">
        <v>0.09</v>
      </c>
      <c r="AW167" s="87">
        <f>+AV167</f>
        <v>0.09</v>
      </c>
      <c r="AX167" s="87">
        <f>+AW167</f>
        <v>0.09</v>
      </c>
      <c r="AY167" s="87">
        <f>AY169/AY166</f>
        <v>0.09</v>
      </c>
      <c r="AZ167" s="87">
        <v>0.09</v>
      </c>
      <c r="BA167" s="87">
        <f>+AZ167</f>
        <v>0.09</v>
      </c>
      <c r="BB167" s="87">
        <f>BB169/BB166</f>
        <v>0.09</v>
      </c>
    </row>
    <row r="168" spans="2:54">
      <c r="B168" s="14" t="s">
        <v>256</v>
      </c>
      <c r="C168" s="76" t="s">
        <v>269</v>
      </c>
      <c r="D168" s="95"/>
      <c r="E168" s="95"/>
      <c r="F168" s="95"/>
      <c r="G168" s="95"/>
      <c r="H168" s="95"/>
      <c r="I168" s="95"/>
      <c r="J168" s="95"/>
      <c r="K168" s="95"/>
      <c r="L168" s="188"/>
      <c r="M168" s="188"/>
      <c r="N168" s="188"/>
      <c r="O168" s="188"/>
      <c r="P168" s="188"/>
      <c r="Q168" s="188"/>
      <c r="R168" s="188"/>
      <c r="S168" s="188"/>
      <c r="T168" s="188"/>
      <c r="U168" s="188"/>
      <c r="V168" s="188"/>
      <c r="W168" s="188">
        <f t="shared" ref="W168:AA168" si="320">W57</f>
        <v>0.37</v>
      </c>
      <c r="X168" s="188">
        <f t="shared" si="320"/>
        <v>0.64500000000000002</v>
      </c>
      <c r="Y168" s="188">
        <f t="shared" si="320"/>
        <v>9.0999999999999998E-2</v>
      </c>
      <c r="Z168" s="188">
        <f t="shared" si="320"/>
        <v>4.4000000000000011E-2</v>
      </c>
      <c r="AA168" s="464">
        <f t="shared" si="320"/>
        <v>0.13500000000000001</v>
      </c>
      <c r="AB168" s="188">
        <f t="shared" ref="AB168:AD168" si="321">AB57</f>
        <v>2.4E-2</v>
      </c>
      <c r="AC168" s="188">
        <f t="shared" si="321"/>
        <v>2.0999999999999998E-2</v>
      </c>
      <c r="AD168" s="188">
        <f t="shared" si="321"/>
        <v>4.4999999999999998E-2</v>
      </c>
      <c r="AE168" s="188">
        <f t="shared" ref="AE168:AG168" si="322">AE57</f>
        <v>8.6999999999999994E-2</v>
      </c>
      <c r="AF168" s="188">
        <f t="shared" si="322"/>
        <v>-0.43299999999999994</v>
      </c>
      <c r="AG168" s="188">
        <f t="shared" si="322"/>
        <v>-0.34599999999999997</v>
      </c>
      <c r="AH168" s="188">
        <f>(AH167*AH166/2)</f>
        <v>0</v>
      </c>
      <c r="AI168" s="188">
        <f t="shared" ref="AI168:AJ168" si="323">AI57</f>
        <v>0.44800000000000001</v>
      </c>
      <c r="AJ168" s="188">
        <f t="shared" si="323"/>
        <v>0.626</v>
      </c>
      <c r="AK168" s="188">
        <f>(AK167*AK166/2)</f>
        <v>1.3983481039758773E-14</v>
      </c>
      <c r="AL168" s="188">
        <f t="shared" ref="AL168:AM168" si="324">AL57</f>
        <v>2.8820000000000001</v>
      </c>
      <c r="AM168" s="439">
        <f t="shared" si="324"/>
        <v>2.8820000000000001</v>
      </c>
      <c r="AN168" s="609">
        <f>(AN167*AN166/2)</f>
        <v>0.30020833333333252</v>
      </c>
      <c r="AO168" s="188">
        <f>(AO167*AO166/2)</f>
        <v>0.30374954581435404</v>
      </c>
      <c r="AP168" s="188">
        <f>AO168+AN168</f>
        <v>0.6039578791476865</v>
      </c>
      <c r="AQ168" s="188">
        <f>(AQ167*AQ166/2)</f>
        <v>0.30554103786055925</v>
      </c>
      <c r="AR168" s="188">
        <f>(AR167*AR166/2)</f>
        <v>0.30554103786055925</v>
      </c>
      <c r="AS168" s="188">
        <f>AR168+AQ168</f>
        <v>0.6110820757211185</v>
      </c>
      <c r="AT168" s="188">
        <f>(AT167*AT166/2)</f>
        <v>0.6110820757211185</v>
      </c>
      <c r="AU168" s="188">
        <f>(AU167*AU166/2)</f>
        <v>0.6110820757211185</v>
      </c>
      <c r="AV168" s="188">
        <f>AU168+AT168</f>
        <v>1.222164151442237</v>
      </c>
      <c r="AW168" s="188">
        <f>(AW167*AW166/2)</f>
        <v>1.1695499999999999</v>
      </c>
      <c r="AX168" s="188">
        <f>(AX167*AX166/2)</f>
        <v>1.1695499999999999</v>
      </c>
      <c r="AY168" s="188">
        <f>AX168+AW168</f>
        <v>2.3390999999999997</v>
      </c>
      <c r="AZ168" s="188">
        <f>(AZ167*AZ166/2)</f>
        <v>1.1695499999999999</v>
      </c>
      <c r="BA168" s="188">
        <f>(BA167*BA166/2)</f>
        <v>1.1695499999999999</v>
      </c>
      <c r="BB168" s="188">
        <f>BA168+AZ168</f>
        <v>2.3390999999999997</v>
      </c>
    </row>
    <row r="169" spans="2:54">
      <c r="B169" s="7" t="s">
        <v>257</v>
      </c>
      <c r="C169" s="73" t="s">
        <v>269</v>
      </c>
      <c r="D169" s="95"/>
      <c r="E169" s="95"/>
      <c r="F169" s="95"/>
      <c r="G169" s="95"/>
      <c r="H169" s="95"/>
      <c r="I169" s="95"/>
      <c r="J169" s="95"/>
      <c r="K169" s="95"/>
      <c r="L169" s="188"/>
      <c r="M169" s="188"/>
      <c r="N169" s="188"/>
      <c r="O169" s="188"/>
      <c r="P169" s="188"/>
      <c r="Q169" s="188"/>
      <c r="R169" s="188"/>
      <c r="S169" s="188"/>
      <c r="T169" s="188"/>
      <c r="U169" s="188"/>
      <c r="V169" s="188"/>
      <c r="W169" s="188">
        <v>0.37</v>
      </c>
      <c r="X169" s="188">
        <v>0.64500000000000002</v>
      </c>
      <c r="Y169" s="188">
        <v>9.0999999999999998E-2</v>
      </c>
      <c r="Z169" s="188">
        <v>4.4000000000000011E-2</v>
      </c>
      <c r="AA169" s="464">
        <v>0.13500000000000001</v>
      </c>
      <c r="AB169" s="188">
        <v>2.4E-2</v>
      </c>
      <c r="AC169" s="188">
        <v>2.0999999999999998E-2</v>
      </c>
      <c r="AD169" s="188">
        <v>4.4999999999999998E-2</v>
      </c>
      <c r="AE169" s="188">
        <v>8.6999999999999994E-2</v>
      </c>
      <c r="AF169" s="188">
        <v>-0.43299999999999994</v>
      </c>
      <c r="AG169" s="188">
        <v>-0.34599999999999997</v>
      </c>
      <c r="AH169" s="188">
        <v>0</v>
      </c>
      <c r="AI169" s="188">
        <v>0.44800000000000001</v>
      </c>
      <c r="AJ169" s="188">
        <v>0.626</v>
      </c>
      <c r="AK169" s="188">
        <v>2.7966962079517546E-14</v>
      </c>
      <c r="AL169" s="188">
        <v>2.8820000000000001</v>
      </c>
      <c r="AM169" s="439">
        <v>2.8820000000000001</v>
      </c>
      <c r="AN169" s="609">
        <v>0.60041666666666504</v>
      </c>
      <c r="AO169" s="188">
        <v>0.30374954581435404</v>
      </c>
      <c r="AP169" s="188">
        <v>0.6039578791476865</v>
      </c>
      <c r="AQ169" s="188">
        <v>0.6110820757211185</v>
      </c>
      <c r="AR169" s="188">
        <v>0.6110820757211185</v>
      </c>
      <c r="AS169" s="188">
        <v>1.222164151442237</v>
      </c>
      <c r="AT169" s="188">
        <v>1.222164151442237</v>
      </c>
      <c r="AU169" s="188">
        <v>1.222164151442237</v>
      </c>
      <c r="AV169" s="188">
        <v>2.444328302884474</v>
      </c>
      <c r="AW169" s="188">
        <v>1.1695499999999999</v>
      </c>
      <c r="AX169" s="188">
        <v>1.1695499999999999</v>
      </c>
      <c r="AY169" s="188">
        <v>2.3390999999999997</v>
      </c>
      <c r="AZ169" s="188">
        <v>1.1695499999999999</v>
      </c>
      <c r="BA169" s="188">
        <v>1.1695499999999999</v>
      </c>
      <c r="BB169" s="188">
        <v>2.3390999999999997</v>
      </c>
    </row>
    <row r="170" spans="2:54">
      <c r="B170" s="52" t="s">
        <v>259</v>
      </c>
      <c r="C170" s="74"/>
      <c r="D170" s="53"/>
      <c r="E170" s="53"/>
      <c r="F170" s="53"/>
      <c r="G170" s="53"/>
      <c r="H170" s="53"/>
      <c r="I170" s="53"/>
      <c r="J170" s="53"/>
      <c r="K170" s="53"/>
      <c r="L170" s="191"/>
      <c r="M170" s="191"/>
      <c r="N170" s="191"/>
      <c r="O170" s="191"/>
      <c r="P170" s="191"/>
      <c r="Q170" s="191"/>
      <c r="R170" s="191"/>
      <c r="S170" s="191"/>
      <c r="T170" s="191"/>
      <c r="U170" s="191"/>
      <c r="V170" s="191"/>
      <c r="W170" s="191">
        <f t="shared" ref="W170:AA170" si="325">ROUND(W168-W169,2)</f>
        <v>0</v>
      </c>
      <c r="X170" s="191">
        <f t="shared" si="325"/>
        <v>0</v>
      </c>
      <c r="Y170" s="191">
        <f t="shared" si="325"/>
        <v>0</v>
      </c>
      <c r="Z170" s="191">
        <f t="shared" si="325"/>
        <v>0</v>
      </c>
      <c r="AA170" s="486">
        <f t="shared" si="325"/>
        <v>0</v>
      </c>
      <c r="AB170" s="191">
        <f t="shared" ref="AB170:AD170" si="326">ROUND(AB168-AB169,2)</f>
        <v>0</v>
      </c>
      <c r="AC170" s="191">
        <f t="shared" si="326"/>
        <v>0</v>
      </c>
      <c r="AD170" s="191">
        <f t="shared" si="326"/>
        <v>0</v>
      </c>
      <c r="AE170" s="191">
        <f t="shared" ref="AE170:AG170" si="327">ROUND(AE168-AE169,2)</f>
        <v>0</v>
      </c>
      <c r="AF170" s="191">
        <f t="shared" si="327"/>
        <v>0</v>
      </c>
      <c r="AG170" s="191">
        <f t="shared" si="327"/>
        <v>0</v>
      </c>
      <c r="AH170" s="191">
        <f t="shared" ref="AH170:AJ170" si="328">ROUND(AH168-AH169,2)</f>
        <v>0</v>
      </c>
      <c r="AI170" s="191">
        <f t="shared" si="328"/>
        <v>0</v>
      </c>
      <c r="AJ170" s="191">
        <f t="shared" si="328"/>
        <v>0</v>
      </c>
      <c r="AK170" s="191">
        <f t="shared" ref="AK170:AM170" si="329">ROUND(AK168-AK169,2)</f>
        <v>0</v>
      </c>
      <c r="AL170" s="191">
        <f t="shared" si="329"/>
        <v>0</v>
      </c>
      <c r="AM170" s="445">
        <f t="shared" si="329"/>
        <v>0</v>
      </c>
      <c r="AN170" s="615">
        <f>ROUND(AN168-AN169,2)</f>
        <v>-0.3</v>
      </c>
      <c r="AO170" s="191">
        <f t="shared" ref="AO170:BB170" si="330">ROUND(AO168-AO169,2)</f>
        <v>0</v>
      </c>
      <c r="AP170" s="191">
        <f t="shared" si="330"/>
        <v>0</v>
      </c>
      <c r="AQ170" s="191">
        <f t="shared" si="330"/>
        <v>-0.31</v>
      </c>
      <c r="AR170" s="191">
        <f t="shared" si="330"/>
        <v>-0.31</v>
      </c>
      <c r="AS170" s="191">
        <f t="shared" si="330"/>
        <v>-0.61</v>
      </c>
      <c r="AT170" s="191">
        <f t="shared" si="330"/>
        <v>-0.61</v>
      </c>
      <c r="AU170" s="191">
        <f t="shared" si="330"/>
        <v>-0.61</v>
      </c>
      <c r="AV170" s="191">
        <f t="shared" si="330"/>
        <v>-1.22</v>
      </c>
      <c r="AW170" s="191">
        <f t="shared" si="330"/>
        <v>0</v>
      </c>
      <c r="AX170" s="191">
        <f t="shared" si="330"/>
        <v>0</v>
      </c>
      <c r="AY170" s="191">
        <f t="shared" si="330"/>
        <v>0</v>
      </c>
      <c r="AZ170" s="191">
        <f t="shared" si="330"/>
        <v>0</v>
      </c>
      <c r="BA170" s="191">
        <f t="shared" si="330"/>
        <v>0</v>
      </c>
      <c r="BB170" s="191">
        <f t="shared" si="330"/>
        <v>0</v>
      </c>
    </row>
    <row r="171" spans="2:54">
      <c r="B171" s="14"/>
      <c r="D171" s="10"/>
      <c r="E171" s="10"/>
      <c r="F171" s="10"/>
      <c r="G171" s="10"/>
      <c r="H171" s="10"/>
      <c r="I171" s="10"/>
      <c r="J171" s="10"/>
      <c r="K171" s="10"/>
      <c r="L171" s="188"/>
      <c r="M171" s="188"/>
      <c r="N171" s="188"/>
      <c r="O171" s="188"/>
      <c r="P171" s="188"/>
      <c r="Q171" s="188"/>
      <c r="R171" s="188"/>
      <c r="S171" s="188"/>
      <c r="T171" s="188"/>
      <c r="U171" s="188"/>
      <c r="V171" s="188"/>
      <c r="W171" s="188"/>
      <c r="X171" s="188"/>
      <c r="Y171" s="188"/>
      <c r="Z171" s="188"/>
      <c r="AA171" s="464"/>
      <c r="AB171" s="188"/>
      <c r="AC171" s="188"/>
      <c r="AD171" s="188"/>
      <c r="AE171" s="188"/>
      <c r="AF171" s="188"/>
      <c r="AG171" s="188"/>
      <c r="AH171" s="188"/>
      <c r="AI171" s="188"/>
      <c r="AJ171" s="188"/>
      <c r="AK171" s="188"/>
      <c r="AL171" s="188"/>
      <c r="AM171" s="439"/>
      <c r="AN171" s="609"/>
      <c r="AO171" s="188"/>
      <c r="AP171" s="188"/>
      <c r="AQ171" s="188"/>
      <c r="AR171" s="188"/>
      <c r="AS171" s="188"/>
      <c r="AT171" s="188"/>
      <c r="AU171" s="188"/>
      <c r="AV171" s="188"/>
      <c r="AW171" s="188"/>
      <c r="AX171" s="188"/>
      <c r="AY171" s="188"/>
      <c r="AZ171" s="188"/>
      <c r="BA171" s="188"/>
      <c r="BB171" s="188"/>
    </row>
    <row r="172" spans="2:54">
      <c r="B172" s="7" t="s">
        <v>168</v>
      </c>
      <c r="C172" s="73" t="s">
        <v>85</v>
      </c>
      <c r="D172" s="95"/>
      <c r="E172" s="95"/>
      <c r="F172" s="95"/>
      <c r="G172" s="95"/>
      <c r="H172" s="95"/>
      <c r="I172" s="99"/>
      <c r="J172" s="99"/>
      <c r="K172" s="99"/>
      <c r="L172" s="292"/>
      <c r="M172" s="292"/>
      <c r="N172" s="292"/>
      <c r="O172" s="32"/>
      <c r="P172" s="32"/>
      <c r="Q172" s="32"/>
      <c r="R172" s="32"/>
      <c r="S172" s="32"/>
      <c r="T172" s="32"/>
      <c r="U172" s="32"/>
      <c r="V172" s="32"/>
      <c r="W172" s="32">
        <f t="shared" ref="W172:AA172" si="331">-W124/W31</f>
        <v>0</v>
      </c>
      <c r="X172" s="32">
        <f t="shared" si="331"/>
        <v>0.30586533146925904</v>
      </c>
      <c r="Y172" s="32">
        <f t="shared" si="331"/>
        <v>0.3445965348903991</v>
      </c>
      <c r="Z172" s="32">
        <f t="shared" si="331"/>
        <v>0.41198231845688355</v>
      </c>
      <c r="AA172" s="474">
        <f t="shared" si="331"/>
        <v>0.37849617086048609</v>
      </c>
      <c r="AB172" s="32">
        <f t="shared" ref="AB172:AD172" si="332">-AB124/AB31</f>
        <v>0.34044423877834351</v>
      </c>
      <c r="AC172" s="32">
        <f t="shared" si="332"/>
        <v>0.75182436127822461</v>
      </c>
      <c r="AD172" s="32">
        <f t="shared" si="332"/>
        <v>0.56351042196237922</v>
      </c>
      <c r="AE172" s="32">
        <f t="shared" ref="AE172:AH172" si="333">-AE124/AE31</f>
        <v>0.85456467272157843</v>
      </c>
      <c r="AF172" s="32">
        <f t="shared" si="333"/>
        <v>0.14108572904749603</v>
      </c>
      <c r="AG172" s="32">
        <f t="shared" si="333"/>
        <v>0.48730077316160403</v>
      </c>
      <c r="AH172" s="32">
        <f t="shared" si="333"/>
        <v>0.39797265945675836</v>
      </c>
      <c r="AI172" s="32">
        <f t="shared" ref="AI172:AK172" si="334">-AI124/AI31</f>
        <v>6.4872627372627473E-2</v>
      </c>
      <c r="AJ172" s="32">
        <f t="shared" si="334"/>
        <v>0.22028676580792356</v>
      </c>
      <c r="AK172" s="32">
        <f t="shared" si="334"/>
        <v>0.38300827594189485</v>
      </c>
      <c r="AL172" s="32">
        <f t="shared" ref="AL172:AN172" si="335">-AL124/AL31</f>
        <v>0.10955901692042416</v>
      </c>
      <c r="AM172" s="33">
        <f t="shared" si="335"/>
        <v>0.24695755848612169</v>
      </c>
      <c r="AN172" s="581">
        <f t="shared" si="335"/>
        <v>0.26685874030123241</v>
      </c>
      <c r="AO172" s="87">
        <f t="shared" ref="AO172" si="336">AN172</f>
        <v>0.26685874030123241</v>
      </c>
      <c r="AP172" s="87">
        <f t="shared" ref="AP172" si="337">-AP124/AP31</f>
        <v>0.26685874030123241</v>
      </c>
      <c r="AQ172" s="87">
        <v>0.6</v>
      </c>
      <c r="AR172" s="87">
        <f t="shared" ref="AR172:BA172" si="338">AQ172</f>
        <v>0.6</v>
      </c>
      <c r="AS172" s="87">
        <f t="shared" ref="AS172:BB172" si="339">-AS124/AS31</f>
        <v>0.60000000000000009</v>
      </c>
      <c r="AT172" s="87">
        <f t="shared" ref="AT172" si="340">AQ172+5%</f>
        <v>0.65</v>
      </c>
      <c r="AU172" s="87">
        <f t="shared" si="338"/>
        <v>0.65</v>
      </c>
      <c r="AV172" s="87">
        <f t="shared" si="339"/>
        <v>0.64999999999999991</v>
      </c>
      <c r="AW172" s="87">
        <v>0.9</v>
      </c>
      <c r="AX172" s="87">
        <f t="shared" si="338"/>
        <v>0.9</v>
      </c>
      <c r="AY172" s="87">
        <f t="shared" si="339"/>
        <v>0.9</v>
      </c>
      <c r="AZ172" s="87">
        <v>0.9</v>
      </c>
      <c r="BA172" s="87">
        <f t="shared" si="338"/>
        <v>0.9</v>
      </c>
      <c r="BB172" s="87">
        <f t="shared" si="339"/>
        <v>0.9</v>
      </c>
    </row>
    <row r="173" spans="2:54">
      <c r="C173" s="73"/>
      <c r="H173" s="10"/>
      <c r="I173" s="10"/>
      <c r="J173" s="10"/>
      <c r="K173" s="10"/>
      <c r="L173" s="188"/>
      <c r="M173" s="188"/>
      <c r="N173" s="188"/>
      <c r="O173" s="188"/>
      <c r="P173" s="188"/>
      <c r="Q173" s="188"/>
      <c r="R173" s="188"/>
      <c r="S173" s="188"/>
      <c r="T173" s="188"/>
      <c r="U173" s="188"/>
      <c r="V173" s="188"/>
      <c r="W173" s="188"/>
      <c r="X173" s="188"/>
      <c r="Y173" s="188"/>
      <c r="Z173" s="188"/>
      <c r="AA173" s="464"/>
      <c r="AB173" s="188"/>
      <c r="AC173" s="188"/>
      <c r="AD173" s="188"/>
      <c r="AE173" s="188"/>
      <c r="AF173" s="188"/>
      <c r="AG173" s="188"/>
      <c r="AH173" s="188"/>
      <c r="AI173" s="188"/>
      <c r="AJ173" s="188"/>
      <c r="AK173" s="188"/>
      <c r="AL173" s="188"/>
      <c r="AM173" s="439"/>
      <c r="AN173" s="609"/>
      <c r="AO173" s="188"/>
      <c r="AP173" s="188"/>
      <c r="AQ173" s="188"/>
      <c r="AR173" s="188"/>
      <c r="AS173" s="188"/>
      <c r="AT173" s="188"/>
      <c r="AU173" s="188"/>
      <c r="AV173" s="188"/>
      <c r="AW173" s="188"/>
      <c r="AX173" s="188"/>
      <c r="AY173" s="188"/>
      <c r="AZ173" s="188"/>
      <c r="BA173" s="188"/>
      <c r="BB173" s="188"/>
    </row>
    <row r="174" spans="2:54">
      <c r="B174" s="83" t="s">
        <v>169</v>
      </c>
      <c r="C174" s="73"/>
      <c r="H174" s="10"/>
      <c r="I174" s="10"/>
      <c r="J174" s="10"/>
      <c r="K174" s="10"/>
      <c r="L174" s="188"/>
      <c r="M174" s="188"/>
      <c r="N174" s="188"/>
      <c r="O174" s="188"/>
      <c r="P174" s="188"/>
      <c r="Q174" s="188"/>
      <c r="R174" s="188"/>
      <c r="S174" s="188"/>
      <c r="T174" s="188"/>
      <c r="U174" s="188"/>
      <c r="V174" s="188"/>
      <c r="W174" s="188"/>
      <c r="X174" s="188"/>
      <c r="Y174" s="188"/>
      <c r="Z174" s="188"/>
      <c r="AA174" s="464"/>
      <c r="AB174" s="188"/>
      <c r="AC174" s="188"/>
      <c r="AD174" s="188"/>
      <c r="AE174" s="188"/>
      <c r="AF174" s="188"/>
      <c r="AG174" s="188"/>
      <c r="AH174" s="188"/>
      <c r="AI174" s="188"/>
      <c r="AJ174" s="188"/>
      <c r="AK174" s="188"/>
      <c r="AL174" s="188"/>
      <c r="AM174" s="439"/>
      <c r="AN174" s="609"/>
      <c r="AO174" s="188"/>
      <c r="AP174" s="188"/>
      <c r="AQ174" s="188"/>
      <c r="AR174" s="188"/>
      <c r="AS174" s="188"/>
      <c r="AT174" s="188"/>
      <c r="AU174" s="188"/>
      <c r="AV174" s="188"/>
      <c r="AW174" s="188"/>
      <c r="AX174" s="188"/>
      <c r="AY174" s="188"/>
      <c r="AZ174" s="188"/>
      <c r="BA174" s="188"/>
      <c r="BB174" s="188"/>
    </row>
    <row r="175" spans="2:54">
      <c r="B175" s="7" t="s">
        <v>124</v>
      </c>
      <c r="C175" s="73" t="s">
        <v>269</v>
      </c>
      <c r="D175" s="30"/>
      <c r="E175" s="30"/>
      <c r="F175" s="30"/>
      <c r="G175" s="30"/>
      <c r="H175" s="95"/>
      <c r="I175" s="95"/>
      <c r="J175" s="95"/>
      <c r="K175" s="95"/>
      <c r="L175" s="188"/>
      <c r="M175" s="188"/>
      <c r="N175" s="188"/>
      <c r="O175" s="188"/>
      <c r="P175" s="188"/>
      <c r="Q175" s="188"/>
      <c r="R175" s="188"/>
      <c r="S175" s="188"/>
      <c r="T175" s="188"/>
      <c r="U175" s="188"/>
      <c r="V175" s="188"/>
      <c r="W175" s="188">
        <f>-(W126+W127)</f>
        <v>0</v>
      </c>
      <c r="X175" s="188">
        <f>W175+V175</f>
        <v>0</v>
      </c>
      <c r="Y175" s="188">
        <f>-(Y126+Y127)</f>
        <v>8.4559999999999995</v>
      </c>
      <c r="Z175" s="188">
        <f>-(Z126+Z127)</f>
        <v>26.909000000000002</v>
      </c>
      <c r="AA175" s="464">
        <f>Z175+Y175</f>
        <v>35.365000000000002</v>
      </c>
      <c r="AB175" s="188">
        <f>-(AB126+AB127)</f>
        <v>387.08</v>
      </c>
      <c r="AC175" s="188">
        <f>-(AC126+AC127)</f>
        <v>25.195000000000011</v>
      </c>
      <c r="AD175" s="188">
        <f>AC175+AB175</f>
        <v>412.27499999999998</v>
      </c>
      <c r="AE175" s="188">
        <f>-(AE126+AE127)</f>
        <v>21.829000000000001</v>
      </c>
      <c r="AF175" s="188">
        <f>-(AF126+AF127)</f>
        <v>13.823</v>
      </c>
      <c r="AG175" s="188">
        <f>AF175+AE175</f>
        <v>35.652000000000001</v>
      </c>
      <c r="AH175" s="188">
        <f>-(AH126+AH127)</f>
        <v>21.15</v>
      </c>
      <c r="AI175" s="188">
        <f>-(AI126+AI127)</f>
        <v>119.87100000000001</v>
      </c>
      <c r="AJ175" s="188">
        <f>AI175+AH175</f>
        <v>141.02100000000002</v>
      </c>
      <c r="AK175" s="188">
        <f>-(AK126+AK127)</f>
        <v>14.770000000000003</v>
      </c>
      <c r="AL175" s="188">
        <f>-(AL126+AL127)</f>
        <v>10.848999999999997</v>
      </c>
      <c r="AM175" s="439">
        <f>AL175+AK175</f>
        <v>25.619</v>
      </c>
      <c r="AN175" s="609">
        <f>-(AN126+AN127)</f>
        <v>12.654999999999999</v>
      </c>
      <c r="AO175" s="188">
        <f>-(AO126+AO127)</f>
        <v>14.38328702647194</v>
      </c>
      <c r="AP175" s="188">
        <f>AO175+AN175</f>
        <v>27.038287026471941</v>
      </c>
      <c r="AQ175" s="188">
        <f>-(AQ126+AQ127)</f>
        <v>28.443999999999996</v>
      </c>
      <c r="AR175" s="188">
        <f>-(AR126+AR127)</f>
        <v>31.508872000000014</v>
      </c>
      <c r="AS175" s="188">
        <f>AR175+AQ175</f>
        <v>59.952872000000013</v>
      </c>
      <c r="AT175" s="188">
        <f>-(AT126+AT127)</f>
        <v>31.034491999999997</v>
      </c>
      <c r="AU175" s="188">
        <f>-(AU126+AU127)</f>
        <v>34.315010180000016</v>
      </c>
      <c r="AV175" s="188">
        <f>AU175+AT175</f>
        <v>65.349502180000016</v>
      </c>
      <c r="AW175" s="188">
        <f>-(AW126+AW127)</f>
        <v>41.151882239999992</v>
      </c>
      <c r="AX175" s="188">
        <f>-(AX126+AX127)</f>
        <v>44.643714069600023</v>
      </c>
      <c r="AY175" s="188">
        <f>AX175+AW175</f>
        <v>85.795596309600015</v>
      </c>
      <c r="AZ175" s="188">
        <f>-(AZ126+AZ127)</f>
        <v>42.191036884799999</v>
      </c>
      <c r="BA175" s="188">
        <f>-(BA126+BA127)</f>
        <v>45.851930350992021</v>
      </c>
      <c r="BB175" s="188">
        <f>BA175+AZ175</f>
        <v>88.04296723579202</v>
      </c>
    </row>
    <row r="176" spans="2:54">
      <c r="B176" s="7" t="s">
        <v>125</v>
      </c>
      <c r="C176" s="73" t="s">
        <v>269</v>
      </c>
      <c r="D176" s="31"/>
      <c r="E176" s="31"/>
      <c r="F176" s="30"/>
      <c r="G176" s="30"/>
      <c r="H176" s="95"/>
      <c r="I176" s="95"/>
      <c r="J176" s="95"/>
      <c r="K176" s="95"/>
      <c r="L176" s="188"/>
      <c r="M176" s="188"/>
      <c r="N176" s="188"/>
      <c r="O176" s="188"/>
      <c r="P176" s="188"/>
      <c r="Q176" s="188"/>
      <c r="R176" s="188"/>
      <c r="S176" s="188"/>
      <c r="T176" s="188"/>
      <c r="U176" s="188"/>
      <c r="V176" s="188"/>
      <c r="W176" s="188">
        <f>-W128</f>
        <v>0</v>
      </c>
      <c r="X176" s="188">
        <f>W176+V176</f>
        <v>0</v>
      </c>
      <c r="Y176" s="188">
        <f>-Y128</f>
        <v>-0.86599999999999999</v>
      </c>
      <c r="Z176" s="188">
        <f>-Z128</f>
        <v>-0.18299999999999994</v>
      </c>
      <c r="AA176" s="464">
        <f>Z176+Y176</f>
        <v>-1.0489999999999999</v>
      </c>
      <c r="AB176" s="188">
        <f>-AB128</f>
        <v>-0.375</v>
      </c>
      <c r="AC176" s="188">
        <f>-AC128</f>
        <v>-0.26700000000000002</v>
      </c>
      <c r="AD176" s="188">
        <f>AC176+AB176</f>
        <v>-0.64200000000000002</v>
      </c>
      <c r="AE176" s="188">
        <f>-AE128</f>
        <v>-31.030999999999999</v>
      </c>
      <c r="AF176" s="188">
        <f>-AF128</f>
        <v>3.0269999999999975</v>
      </c>
      <c r="AG176" s="188">
        <f>AF176+AE176</f>
        <v>-28.004000000000001</v>
      </c>
      <c r="AH176" s="188">
        <f>-AH128</f>
        <v>-0.17499999999999999</v>
      </c>
      <c r="AI176" s="188">
        <f>-AI128</f>
        <v>-2.6750000000000003</v>
      </c>
      <c r="AJ176" s="188">
        <f>AI176+AH176</f>
        <v>-2.85</v>
      </c>
      <c r="AK176" s="188">
        <f>-AK128</f>
        <v>-0.22900000000000001</v>
      </c>
      <c r="AL176" s="188">
        <f>-AL128</f>
        <v>-1.137</v>
      </c>
      <c r="AM176" s="439">
        <f>AL176+AK176</f>
        <v>-1.3660000000000001</v>
      </c>
      <c r="AN176" s="609">
        <f>-AN128</f>
        <v>-1.522</v>
      </c>
      <c r="AO176" s="183">
        <v>0</v>
      </c>
      <c r="AP176" s="188">
        <f>AO176+AN176</f>
        <v>-1.522</v>
      </c>
      <c r="AQ176" s="183">
        <v>0</v>
      </c>
      <c r="AR176" s="183">
        <v>0</v>
      </c>
      <c r="AS176" s="188">
        <f>AR176+AQ176</f>
        <v>0</v>
      </c>
      <c r="AT176" s="183">
        <v>0</v>
      </c>
      <c r="AU176" s="183">
        <v>0</v>
      </c>
      <c r="AV176" s="188">
        <f>AU176+AT176</f>
        <v>0</v>
      </c>
      <c r="AW176" s="183">
        <v>0</v>
      </c>
      <c r="AX176" s="183">
        <v>0</v>
      </c>
      <c r="AY176" s="188">
        <f>AX176+AW176</f>
        <v>0</v>
      </c>
      <c r="AZ176" s="183">
        <v>0</v>
      </c>
      <c r="BA176" s="183">
        <v>0</v>
      </c>
      <c r="BB176" s="188">
        <f>BA176+AZ176</f>
        <v>0</v>
      </c>
    </row>
    <row r="177" spans="1:62">
      <c r="B177" s="7" t="s">
        <v>126</v>
      </c>
      <c r="C177" s="73" t="s">
        <v>269</v>
      </c>
      <c r="D177" s="31"/>
      <c r="E177" s="31"/>
      <c r="F177" s="30"/>
      <c r="G177" s="31"/>
      <c r="H177" s="31"/>
      <c r="I177" s="95"/>
      <c r="J177" s="31"/>
      <c r="K177" s="31"/>
      <c r="L177" s="188"/>
      <c r="M177" s="171"/>
      <c r="N177" s="171"/>
      <c r="O177" s="188"/>
      <c r="P177" s="171"/>
      <c r="Q177" s="171"/>
      <c r="R177" s="188"/>
      <c r="S177" s="171"/>
      <c r="T177" s="171"/>
      <c r="U177" s="188"/>
      <c r="V177" s="171"/>
      <c r="W177" s="171">
        <v>0</v>
      </c>
      <c r="X177" s="188">
        <f>W177+V177</f>
        <v>0</v>
      </c>
      <c r="Y177" s="171">
        <f t="shared" ref="Y177:AE177" si="341">+-(X179+Y175+Y176-Y178-Y179)</f>
        <v>20.971000000000004</v>
      </c>
      <c r="Z177" s="165">
        <f t="shared" si="341"/>
        <v>3.6469999999999914</v>
      </c>
      <c r="AA177" s="464">
        <f t="shared" si="341"/>
        <v>7.7299999999999613</v>
      </c>
      <c r="AB177" s="165">
        <f t="shared" si="341"/>
        <v>-286.95800000000008</v>
      </c>
      <c r="AC177" s="165">
        <f t="shared" si="341"/>
        <v>-11.027999999999963</v>
      </c>
      <c r="AD177" s="188">
        <f t="shared" si="341"/>
        <v>-364.42499999999995</v>
      </c>
      <c r="AE177" s="165">
        <f t="shared" si="341"/>
        <v>22.411000000000001</v>
      </c>
      <c r="AF177" s="165">
        <f t="shared" ref="AF177" si="342">+-(AE179+AF175+AF176-AF178-AF179)</f>
        <v>15.473000000000013</v>
      </c>
      <c r="AG177" s="188">
        <f t="shared" ref="AG177" si="343">+-(AF179+AG175+AG176-AG178-AG179)</f>
        <v>44.993000000000052</v>
      </c>
      <c r="AH177" s="165">
        <f>+-(AG179+AH175+AH176-AH178-AH179)</f>
        <v>6.492999999999995</v>
      </c>
      <c r="AI177" s="165">
        <f t="shared" ref="AI177" si="344">+-(AH179+AI175+AI176-AI178-AI179)</f>
        <v>-61.305999999999926</v>
      </c>
      <c r="AJ177" s="188">
        <f t="shared" ref="AJ177" si="345">+-(AI179+AJ175+AJ176-AJ178-AJ179)</f>
        <v>-78.122000000000014</v>
      </c>
      <c r="AK177" s="165">
        <f>+-(AJ179+AK175+AK176-AK178-AK179)</f>
        <v>-1.4500000000000455</v>
      </c>
      <c r="AL177" s="165">
        <f t="shared" ref="AL177" si="346">+-(AK179+AL175+AL176-AL178-AL179)</f>
        <v>21.958000000000027</v>
      </c>
      <c r="AM177" s="439">
        <f t="shared" ref="AM177" si="347">+-(AL179+AM175+AM176-AM178-AM179)</f>
        <v>44.524000000000058</v>
      </c>
      <c r="AN177" s="577">
        <f>+-(AM179+AN175+AN176-AN178-AN179)</f>
        <v>18.854999999999961</v>
      </c>
      <c r="AO177" s="183">
        <v>0</v>
      </c>
      <c r="AP177" s="188">
        <f>AO177+AN177</f>
        <v>18.854999999999961</v>
      </c>
      <c r="AQ177" s="183">
        <v>0</v>
      </c>
      <c r="AR177" s="183">
        <v>0</v>
      </c>
      <c r="AS177" s="188">
        <f>AR177+AQ177</f>
        <v>0</v>
      </c>
      <c r="AT177" s="183">
        <v>0</v>
      </c>
      <c r="AU177" s="183">
        <v>0</v>
      </c>
      <c r="AV177" s="188">
        <f>AU177+AT177</f>
        <v>0</v>
      </c>
      <c r="AW177" s="183">
        <v>0</v>
      </c>
      <c r="AX177" s="183">
        <v>0</v>
      </c>
      <c r="AY177" s="188">
        <f>AX177+AW177</f>
        <v>0</v>
      </c>
      <c r="AZ177" s="183">
        <v>0</v>
      </c>
      <c r="BA177" s="183">
        <v>0</v>
      </c>
      <c r="BB177" s="188">
        <f>BA177+AZ177</f>
        <v>0</v>
      </c>
    </row>
    <row r="178" spans="1:62">
      <c r="B178" s="7" t="s">
        <v>127</v>
      </c>
      <c r="C178" s="73" t="s">
        <v>269</v>
      </c>
      <c r="D178" s="30"/>
      <c r="E178" s="30"/>
      <c r="F178" s="30"/>
      <c r="G178" s="95"/>
      <c r="H178" s="95"/>
      <c r="I178" s="95"/>
      <c r="J178" s="95"/>
      <c r="K178" s="95"/>
      <c r="L178" s="188"/>
      <c r="M178" s="188"/>
      <c r="N178" s="188"/>
      <c r="O178" s="188"/>
      <c r="P178" s="188"/>
      <c r="Q178" s="188"/>
      <c r="R178" s="188"/>
      <c r="S178" s="188"/>
      <c r="T178" s="188"/>
      <c r="U178" s="188"/>
      <c r="V178" s="188"/>
      <c r="W178" s="188">
        <f t="shared" ref="W178:AA178" si="348">W181</f>
        <v>41.01</v>
      </c>
      <c r="X178" s="188">
        <f t="shared" si="348"/>
        <v>41.01</v>
      </c>
      <c r="Y178" s="188">
        <f t="shared" si="348"/>
        <v>20.894000000000002</v>
      </c>
      <c r="Z178" s="188">
        <f t="shared" si="348"/>
        <v>21.151999999999997</v>
      </c>
      <c r="AA178" s="464">
        <f t="shared" si="348"/>
        <v>42.045999999999999</v>
      </c>
      <c r="AB178" s="188">
        <f t="shared" ref="AB178:AD178" si="349">AB181</f>
        <v>21.61</v>
      </c>
      <c r="AC178" s="188">
        <f t="shared" si="349"/>
        <v>25.597999999999999</v>
      </c>
      <c r="AD178" s="188">
        <f t="shared" si="349"/>
        <v>47.207999999999998</v>
      </c>
      <c r="AE178" s="188">
        <f t="shared" ref="AE178:AG178" si="350">AE181</f>
        <v>25.544</v>
      </c>
      <c r="AF178" s="188">
        <f t="shared" si="350"/>
        <v>27.097000000000001</v>
      </c>
      <c r="AG178" s="188">
        <f t="shared" si="350"/>
        <v>52.641000000000005</v>
      </c>
      <c r="AH178" s="188">
        <f>AH181</f>
        <v>28.016999999999999</v>
      </c>
      <c r="AI178" s="188">
        <f t="shared" ref="AI178:AJ178" si="351">AI181</f>
        <v>32.031999999999996</v>
      </c>
      <c r="AJ178" s="188">
        <f t="shared" si="351"/>
        <v>60.048999999999992</v>
      </c>
      <c r="AK178" s="188">
        <f>AK181</f>
        <v>34.558</v>
      </c>
      <c r="AL178" s="188">
        <f t="shared" ref="AL178:AM178" si="352">AL181</f>
        <v>34.219000000000023</v>
      </c>
      <c r="AM178" s="439">
        <f t="shared" si="352"/>
        <v>68.777000000000015</v>
      </c>
      <c r="AN178" s="609">
        <f>AN181</f>
        <v>35.05599999999999</v>
      </c>
      <c r="AO178" s="188">
        <f>AO181</f>
        <v>35.16200000000002</v>
      </c>
      <c r="AP178" s="188">
        <f>AO178+AN178</f>
        <v>70.218000000000018</v>
      </c>
      <c r="AQ178" s="188">
        <f>AQ181</f>
        <v>35.739999999999995</v>
      </c>
      <c r="AR178" s="188">
        <f>AR181</f>
        <v>35.848120000000023</v>
      </c>
      <c r="AS178" s="188">
        <f>AR178+AQ178</f>
        <v>71.588120000000018</v>
      </c>
      <c r="AT178" s="188">
        <f>AT181</f>
        <v>36.437679999999993</v>
      </c>
      <c r="AU178" s="188">
        <f>AU181</f>
        <v>36.638477200000018</v>
      </c>
      <c r="AV178" s="188">
        <f>AU178+AT178</f>
        <v>73.076157200000011</v>
      </c>
      <c r="AW178" s="188">
        <f>AW181</f>
        <v>37.149313599999992</v>
      </c>
      <c r="AX178" s="188">
        <f>AX181</f>
        <v>37.354126744000027</v>
      </c>
      <c r="AY178" s="188">
        <f>AX178+AW178</f>
        <v>74.503440344000012</v>
      </c>
      <c r="AZ178" s="188">
        <f>AZ181</f>
        <v>37.875179871999997</v>
      </c>
      <c r="BA178" s="188">
        <f>BA181</f>
        <v>38.084089278880022</v>
      </c>
      <c r="BB178" s="188">
        <f>BA178+AZ178</f>
        <v>75.959269150880019</v>
      </c>
    </row>
    <row r="179" spans="1:62">
      <c r="B179" s="7" t="s">
        <v>128</v>
      </c>
      <c r="C179" s="73" t="s">
        <v>269</v>
      </c>
      <c r="D179" s="30"/>
      <c r="E179" s="30"/>
      <c r="F179" s="30"/>
      <c r="G179" s="30"/>
      <c r="H179" s="95"/>
      <c r="I179" s="95"/>
      <c r="J179" s="95"/>
      <c r="K179" s="95"/>
      <c r="L179" s="188"/>
      <c r="M179" s="188"/>
      <c r="N179" s="188"/>
      <c r="O179" s="188"/>
      <c r="P179" s="188"/>
      <c r="Q179" s="188"/>
      <c r="R179" s="188"/>
      <c r="S179" s="188"/>
      <c r="T179" s="188"/>
      <c r="U179" s="188"/>
      <c r="V179" s="188"/>
      <c r="W179" s="188">
        <f t="shared" ref="W179:AA179" si="353">W194</f>
        <v>250.48099999999999</v>
      </c>
      <c r="X179" s="188">
        <f t="shared" si="353"/>
        <v>250.48099999999999</v>
      </c>
      <c r="Y179" s="188">
        <f t="shared" si="353"/>
        <v>258.14800000000002</v>
      </c>
      <c r="Z179" s="188">
        <f t="shared" si="353"/>
        <v>267.36900000000003</v>
      </c>
      <c r="AA179" s="464">
        <f t="shared" si="353"/>
        <v>267.36900000000003</v>
      </c>
      <c r="AB179" s="188">
        <f t="shared" ref="AB179:AD179" si="354">AB194</f>
        <v>345.50599999999997</v>
      </c>
      <c r="AC179" s="188">
        <f t="shared" si="354"/>
        <v>333.80799999999999</v>
      </c>
      <c r="AD179" s="188">
        <f t="shared" si="354"/>
        <v>333.80799999999999</v>
      </c>
      <c r="AE179" s="188">
        <f t="shared" ref="AE179:AH179" si="355">AE194</f>
        <v>321.47300000000001</v>
      </c>
      <c r="AF179" s="188">
        <f t="shared" si="355"/>
        <v>326.69900000000001</v>
      </c>
      <c r="AG179" s="188">
        <f t="shared" si="355"/>
        <v>326.69900000000001</v>
      </c>
      <c r="AH179" s="188">
        <f t="shared" si="355"/>
        <v>326.14999999999998</v>
      </c>
      <c r="AI179" s="188">
        <f t="shared" ref="AI179:AK179" si="356">AI194</f>
        <v>350.00800000000004</v>
      </c>
      <c r="AJ179" s="188">
        <f t="shared" si="356"/>
        <v>350.00800000000004</v>
      </c>
      <c r="AK179" s="188">
        <f t="shared" si="356"/>
        <v>328.541</v>
      </c>
      <c r="AL179" s="188">
        <f t="shared" ref="AL179:AN179" si="357">AL194</f>
        <v>325.99200000000002</v>
      </c>
      <c r="AM179" s="439">
        <f t="shared" si="357"/>
        <v>325.99200000000002</v>
      </c>
      <c r="AN179" s="609">
        <f t="shared" si="357"/>
        <v>320.92399999999998</v>
      </c>
      <c r="AO179" s="188">
        <f>AN179+SUM(AO175:AO177)-AO178</f>
        <v>300.14528702647186</v>
      </c>
      <c r="AP179" s="188">
        <f>AM179+SUM(AP175:AP177)-AP178</f>
        <v>300.14528702647192</v>
      </c>
      <c r="AQ179" s="188">
        <f>AP179+SUM(AQ175:AQ177)-AQ178</f>
        <v>292.84928702647193</v>
      </c>
      <c r="AR179" s="188">
        <f>AQ179+SUM(AR175:AR177)-AR178</f>
        <v>288.51003902647187</v>
      </c>
      <c r="AS179" s="188">
        <f>AP179+SUM(AS175:AS177)-AS178</f>
        <v>288.51003902647193</v>
      </c>
      <c r="AT179" s="188">
        <f>AS179+SUM(AT175:AT177)-AT178</f>
        <v>283.10685102647193</v>
      </c>
      <c r="AU179" s="188">
        <f>AT179+SUM(AU175:AU177)-AU178</f>
        <v>280.78338400647192</v>
      </c>
      <c r="AV179" s="188">
        <f>AS179+SUM(AV175:AV177)-AV178</f>
        <v>280.78338400647192</v>
      </c>
      <c r="AW179" s="188">
        <f>AV179+SUM(AW175:AW177)-AW178</f>
        <v>284.78595264647191</v>
      </c>
      <c r="AX179" s="188">
        <f>AW179+SUM(AX175:AX177)-AX178</f>
        <v>292.07553997207191</v>
      </c>
      <c r="AY179" s="188">
        <f>AV179+SUM(AY175:AY177)-AY178</f>
        <v>292.07553997207191</v>
      </c>
      <c r="AZ179" s="188">
        <f>AY179+SUM(AZ175:AZ177)-AZ178</f>
        <v>296.3913969848719</v>
      </c>
      <c r="BA179" s="188">
        <f>AZ179+SUM(BA175:BA177)-BA178</f>
        <v>304.1592380569839</v>
      </c>
      <c r="BB179" s="188">
        <f>AY179+SUM(BB175:BB177)-BB178</f>
        <v>304.1592380569839</v>
      </c>
    </row>
    <row r="180" spans="1:62">
      <c r="C180" s="73"/>
      <c r="F180" s="38"/>
      <c r="H180" s="10"/>
      <c r="I180" s="96"/>
      <c r="J180" s="10"/>
      <c r="K180" s="10"/>
      <c r="L180" s="192"/>
      <c r="M180" s="188"/>
      <c r="N180" s="188"/>
      <c r="O180" s="192"/>
      <c r="P180" s="188"/>
      <c r="Q180" s="188"/>
      <c r="R180" s="193"/>
      <c r="S180" s="188"/>
      <c r="T180" s="188"/>
      <c r="U180" s="193"/>
      <c r="V180" s="188"/>
      <c r="W180" s="188"/>
      <c r="X180" s="193"/>
      <c r="Y180" s="188"/>
      <c r="Z180" s="188"/>
      <c r="AA180" s="487"/>
      <c r="AB180" s="188"/>
      <c r="AC180" s="188"/>
      <c r="AD180" s="193"/>
      <c r="AE180" s="188"/>
      <c r="AF180" s="188"/>
      <c r="AG180" s="193"/>
      <c r="AH180" s="188"/>
      <c r="AI180" s="188"/>
      <c r="AJ180" s="193"/>
      <c r="AK180" s="188"/>
      <c r="AL180" s="188"/>
      <c r="AM180" s="561"/>
      <c r="AN180" s="609"/>
      <c r="AO180" s="188"/>
      <c r="AP180" s="192"/>
      <c r="AQ180" s="188"/>
      <c r="AR180" s="188"/>
      <c r="AS180" s="192"/>
      <c r="AT180" s="188"/>
      <c r="AU180" s="188"/>
      <c r="AV180" s="192"/>
      <c r="AW180" s="188"/>
      <c r="AX180" s="188"/>
      <c r="AY180" s="192"/>
      <c r="AZ180" s="188"/>
      <c r="BA180" s="188"/>
      <c r="BB180" s="192"/>
    </row>
    <row r="181" spans="1:62">
      <c r="B181" s="7" t="s">
        <v>129</v>
      </c>
      <c r="C181" s="73" t="s">
        <v>269</v>
      </c>
      <c r="D181" s="30"/>
      <c r="E181" s="30"/>
      <c r="F181" s="30"/>
      <c r="G181" s="95"/>
      <c r="H181" s="95"/>
      <c r="I181" s="95"/>
      <c r="J181" s="95"/>
      <c r="K181" s="95"/>
      <c r="L181" s="188"/>
      <c r="M181" s="188"/>
      <c r="N181" s="188"/>
      <c r="O181" s="188"/>
      <c r="P181" s="188"/>
      <c r="Q181" s="188"/>
      <c r="R181" s="188"/>
      <c r="S181" s="188"/>
      <c r="T181" s="188"/>
      <c r="U181" s="188"/>
      <c r="V181" s="188"/>
      <c r="W181" s="188">
        <f>W31</f>
        <v>41.01</v>
      </c>
      <c r="X181" s="188">
        <f>SUM(V181:W181)</f>
        <v>41.01</v>
      </c>
      <c r="Y181" s="188">
        <f>Y182</f>
        <v>20.894000000000002</v>
      </c>
      <c r="Z181" s="188">
        <f>Z31</f>
        <v>21.151999999999997</v>
      </c>
      <c r="AA181" s="464">
        <f>SUM(Y181:Z181)</f>
        <v>42.045999999999999</v>
      </c>
      <c r="AB181" s="188">
        <f>AB182</f>
        <v>21.61</v>
      </c>
      <c r="AC181" s="188">
        <f>AC31</f>
        <v>25.597999999999999</v>
      </c>
      <c r="AD181" s="188">
        <f>SUM(AB181:AC181)</f>
        <v>47.207999999999998</v>
      </c>
      <c r="AE181" s="188">
        <f>AE182</f>
        <v>25.544</v>
      </c>
      <c r="AF181" s="188">
        <f>AF31</f>
        <v>27.097000000000001</v>
      </c>
      <c r="AG181" s="188">
        <f>SUM(AE181:AF181)</f>
        <v>52.641000000000005</v>
      </c>
      <c r="AH181" s="188">
        <f>AH31</f>
        <v>28.016999999999999</v>
      </c>
      <c r="AI181" s="188">
        <f>AI31</f>
        <v>32.031999999999996</v>
      </c>
      <c r="AJ181" s="188">
        <f>SUM(AH181:AI181)</f>
        <v>60.048999999999992</v>
      </c>
      <c r="AK181" s="188">
        <f>AK31</f>
        <v>34.558</v>
      </c>
      <c r="AL181" s="188">
        <f>AL31</f>
        <v>34.219000000000023</v>
      </c>
      <c r="AM181" s="439">
        <f>SUM(AK181:AL181)</f>
        <v>68.777000000000015</v>
      </c>
      <c r="AN181" s="609">
        <f>AN31</f>
        <v>35.05599999999999</v>
      </c>
      <c r="AO181" s="188">
        <f>AO31</f>
        <v>35.16200000000002</v>
      </c>
      <c r="AP181" s="188">
        <f>AO181+AN181</f>
        <v>70.218000000000018</v>
      </c>
      <c r="AQ181" s="188">
        <f>AQ31</f>
        <v>35.739999999999995</v>
      </c>
      <c r="AR181" s="188">
        <f>AR31</f>
        <v>35.848120000000023</v>
      </c>
      <c r="AS181" s="188">
        <f>AR181+AQ181</f>
        <v>71.588120000000018</v>
      </c>
      <c r="AT181" s="188">
        <f>AT31</f>
        <v>36.437679999999993</v>
      </c>
      <c r="AU181" s="188">
        <f>AU31</f>
        <v>36.638477200000018</v>
      </c>
      <c r="AV181" s="188">
        <f>AU181+AT181</f>
        <v>73.076157200000011</v>
      </c>
      <c r="AW181" s="188">
        <f>AW31</f>
        <v>37.149313599999992</v>
      </c>
      <c r="AX181" s="188">
        <f>AX31</f>
        <v>37.354126744000027</v>
      </c>
      <c r="AY181" s="188">
        <f>AX181+AW181</f>
        <v>74.503440344000012</v>
      </c>
      <c r="AZ181" s="188">
        <f>AZ31</f>
        <v>37.875179871999997</v>
      </c>
      <c r="BA181" s="188">
        <f>BA31</f>
        <v>38.084089278880022</v>
      </c>
      <c r="BB181" s="188">
        <f>BA181+AZ181</f>
        <v>75.959269150880019</v>
      </c>
    </row>
    <row r="182" spans="1:62">
      <c r="B182" s="14" t="s">
        <v>130</v>
      </c>
      <c r="C182" s="73" t="s">
        <v>269</v>
      </c>
      <c r="D182" s="30"/>
      <c r="E182" s="30"/>
      <c r="F182" s="30"/>
      <c r="G182" s="95"/>
      <c r="H182" s="95"/>
      <c r="I182" s="95"/>
      <c r="J182" s="95"/>
      <c r="K182" s="95"/>
      <c r="L182" s="188"/>
      <c r="M182" s="188"/>
      <c r="N182" s="188"/>
      <c r="O182" s="188"/>
      <c r="P182" s="188"/>
      <c r="Q182" s="188"/>
      <c r="R182" s="188"/>
      <c r="S182" s="188"/>
      <c r="T182" s="188"/>
      <c r="U182" s="188"/>
      <c r="V182" s="188"/>
      <c r="W182" s="188">
        <f>W181</f>
        <v>41.01</v>
      </c>
      <c r="X182" s="188">
        <f>X181</f>
        <v>41.01</v>
      </c>
      <c r="Y182" s="188">
        <f>Y31</f>
        <v>20.894000000000002</v>
      </c>
      <c r="Z182" s="188">
        <f>Z181</f>
        <v>21.151999999999997</v>
      </c>
      <c r="AA182" s="464">
        <f>AA181</f>
        <v>42.045999999999999</v>
      </c>
      <c r="AB182" s="188">
        <f>AB31</f>
        <v>21.61</v>
      </c>
      <c r="AC182" s="188">
        <f>AC181</f>
        <v>25.597999999999999</v>
      </c>
      <c r="AD182" s="188">
        <f>AD181</f>
        <v>47.207999999999998</v>
      </c>
      <c r="AE182" s="188">
        <f>AE31</f>
        <v>25.544</v>
      </c>
      <c r="AF182" s="188">
        <f>AF181</f>
        <v>27.097000000000001</v>
      </c>
      <c r="AG182" s="188">
        <f>AG181</f>
        <v>52.641000000000005</v>
      </c>
      <c r="AH182" s="188">
        <f t="shared" ref="AH182" si="358">AH181</f>
        <v>28.016999999999999</v>
      </c>
      <c r="AI182" s="188">
        <f>AI181</f>
        <v>32.031999999999996</v>
      </c>
      <c r="AJ182" s="188">
        <f>AJ181</f>
        <v>60.048999999999992</v>
      </c>
      <c r="AK182" s="188">
        <f t="shared" ref="AK182" si="359">AK181</f>
        <v>34.558</v>
      </c>
      <c r="AL182" s="188">
        <f>AL181</f>
        <v>34.219000000000023</v>
      </c>
      <c r="AM182" s="439">
        <f>AM181</f>
        <v>68.777000000000015</v>
      </c>
      <c r="AN182" s="609">
        <f t="shared" ref="AN182" si="360">AN181</f>
        <v>35.05599999999999</v>
      </c>
      <c r="AO182" s="188">
        <f t="shared" ref="AO182:BB182" si="361">AO181</f>
        <v>35.16200000000002</v>
      </c>
      <c r="AP182" s="188">
        <f t="shared" si="361"/>
        <v>70.218000000000018</v>
      </c>
      <c r="AQ182" s="188">
        <f t="shared" si="361"/>
        <v>35.739999999999995</v>
      </c>
      <c r="AR182" s="188">
        <f t="shared" si="361"/>
        <v>35.848120000000023</v>
      </c>
      <c r="AS182" s="188">
        <f t="shared" si="361"/>
        <v>71.588120000000018</v>
      </c>
      <c r="AT182" s="188">
        <f t="shared" si="361"/>
        <v>36.437679999999993</v>
      </c>
      <c r="AU182" s="188">
        <f t="shared" si="361"/>
        <v>36.638477200000018</v>
      </c>
      <c r="AV182" s="188">
        <f t="shared" si="361"/>
        <v>73.076157200000011</v>
      </c>
      <c r="AW182" s="188">
        <f t="shared" si="361"/>
        <v>37.149313599999992</v>
      </c>
      <c r="AX182" s="188">
        <f t="shared" si="361"/>
        <v>37.354126744000027</v>
      </c>
      <c r="AY182" s="188">
        <f t="shared" si="361"/>
        <v>74.503440344000012</v>
      </c>
      <c r="AZ182" s="188">
        <f t="shared" si="361"/>
        <v>37.875179871999997</v>
      </c>
      <c r="BA182" s="188">
        <f t="shared" si="361"/>
        <v>38.084089278880022</v>
      </c>
      <c r="BB182" s="188">
        <f t="shared" si="361"/>
        <v>75.959269150880019</v>
      </c>
    </row>
    <row r="184" spans="1:62" s="9" customFormat="1">
      <c r="A184" s="22" t="s">
        <v>73</v>
      </c>
      <c r="B184" s="22"/>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81"/>
      <c r="AB184" s="45"/>
      <c r="AC184" s="45"/>
      <c r="AD184" s="45"/>
      <c r="AE184" s="45"/>
      <c r="AF184" s="45"/>
      <c r="AG184" s="45"/>
      <c r="AI184" s="45"/>
      <c r="AJ184" s="45"/>
      <c r="AL184" s="45"/>
      <c r="AM184" s="557"/>
      <c r="AN184" s="602"/>
      <c r="BE184"/>
      <c r="BF184"/>
      <c r="BG184"/>
      <c r="BH184"/>
      <c r="BI184"/>
      <c r="BJ184"/>
    </row>
    <row r="186" spans="1:62">
      <c r="B186" s="14" t="s">
        <v>138</v>
      </c>
      <c r="M186" s="30"/>
      <c r="O186" s="30"/>
      <c r="P186" s="30"/>
      <c r="S186" s="30"/>
    </row>
    <row r="187" spans="1:62">
      <c r="B187" s="161" t="s">
        <v>74</v>
      </c>
      <c r="C187" s="73" t="s">
        <v>269</v>
      </c>
      <c r="D187" s="31"/>
      <c r="E187" s="30"/>
      <c r="F187" s="31"/>
      <c r="G187" s="31"/>
      <c r="H187" s="30"/>
      <c r="I187" s="31"/>
      <c r="J187" s="31"/>
      <c r="K187" s="30"/>
      <c r="L187" s="171"/>
      <c r="M187" s="171"/>
      <c r="N187" s="165"/>
      <c r="O187" s="171"/>
      <c r="P187" s="171"/>
      <c r="Q187" s="165"/>
      <c r="R187" s="171"/>
      <c r="S187" s="171"/>
      <c r="T187" s="165"/>
      <c r="U187" s="171"/>
      <c r="V187" s="171"/>
      <c r="W187" s="165">
        <f>X187</f>
        <v>56.642000000000003</v>
      </c>
      <c r="X187" s="171">
        <v>56.642000000000003</v>
      </c>
      <c r="Y187" s="171">
        <v>30.542000000000002</v>
      </c>
      <c r="Z187" s="165">
        <f>AA187</f>
        <v>21.318999999999999</v>
      </c>
      <c r="AA187" s="473">
        <v>21.318999999999999</v>
      </c>
      <c r="AB187" s="171">
        <v>26.390999999999998</v>
      </c>
      <c r="AC187" s="165">
        <f>AD187</f>
        <v>27.678999999999998</v>
      </c>
      <c r="AD187" s="171">
        <v>27.678999999999998</v>
      </c>
      <c r="AE187" s="171">
        <v>34.921999999999997</v>
      </c>
      <c r="AF187" s="165">
        <f>AG187</f>
        <v>16.617000000000001</v>
      </c>
      <c r="AG187" s="171">
        <v>16.617000000000001</v>
      </c>
      <c r="AH187" s="171">
        <v>27.164999999999999</v>
      </c>
      <c r="AI187" s="165">
        <f>AJ187</f>
        <v>19.914999999999999</v>
      </c>
      <c r="AJ187" s="171">
        <v>19.914999999999999</v>
      </c>
      <c r="AK187" s="171">
        <v>22.454000000000001</v>
      </c>
      <c r="AL187" s="165">
        <f>AM187</f>
        <v>25.384</v>
      </c>
      <c r="AM187" s="425">
        <v>25.384</v>
      </c>
      <c r="AN187" s="580">
        <v>25.99</v>
      </c>
      <c r="AO187" s="165">
        <f>AN187+AO137</f>
        <v>25.99</v>
      </c>
      <c r="AP187" s="643">
        <f>AO187</f>
        <v>25.99</v>
      </c>
      <c r="AQ187" s="165">
        <f>AP187+AQ137</f>
        <v>25.99</v>
      </c>
      <c r="AR187" s="165">
        <f>AQ187+AR137</f>
        <v>25.99</v>
      </c>
      <c r="AS187" s="165">
        <f>AR187</f>
        <v>25.99</v>
      </c>
      <c r="AT187" s="165">
        <f>AS187+AT137</f>
        <v>25.99</v>
      </c>
      <c r="AU187" s="165">
        <f>AT187+AU137</f>
        <v>25.99</v>
      </c>
      <c r="AV187" s="165">
        <f>AU187</f>
        <v>25.99</v>
      </c>
      <c r="AW187" s="165">
        <f>AV187+AW137</f>
        <v>25.99</v>
      </c>
      <c r="AX187" s="165">
        <f>AW187+AX137</f>
        <v>25.99</v>
      </c>
      <c r="AY187" s="165">
        <f>AX187</f>
        <v>25.99</v>
      </c>
      <c r="AZ187" s="165">
        <f>AY187+AZ137</f>
        <v>25.99</v>
      </c>
      <c r="BA187" s="165">
        <f>AZ187+BA137</f>
        <v>25.99</v>
      </c>
      <c r="BB187" s="165">
        <f>BA187</f>
        <v>25.99</v>
      </c>
    </row>
    <row r="188" spans="1:62">
      <c r="B188" s="161" t="s">
        <v>388</v>
      </c>
      <c r="C188" s="73" t="s">
        <v>269</v>
      </c>
      <c r="D188" s="31"/>
      <c r="E188" s="30"/>
      <c r="F188" s="31"/>
      <c r="G188" s="31"/>
      <c r="H188" s="30"/>
      <c r="I188" s="31"/>
      <c r="J188" s="31"/>
      <c r="K188" s="30"/>
      <c r="L188" s="171"/>
      <c r="M188" s="171"/>
      <c r="N188" s="165"/>
      <c r="O188" s="171"/>
      <c r="P188" s="171"/>
      <c r="Q188" s="165"/>
      <c r="R188" s="171"/>
      <c r="S188" s="171"/>
      <c r="T188" s="165"/>
      <c r="U188" s="171"/>
      <c r="V188" s="171"/>
      <c r="W188" s="165">
        <f>X188</f>
        <v>181.50299999999999</v>
      </c>
      <c r="X188" s="171">
        <v>181.50299999999999</v>
      </c>
      <c r="Y188" s="171">
        <v>190.346</v>
      </c>
      <c r="Z188" s="165">
        <f>AA188</f>
        <v>219.90899999999999</v>
      </c>
      <c r="AA188" s="473">
        <v>219.90899999999999</v>
      </c>
      <c r="AB188" s="171">
        <v>237.60300000000001</v>
      </c>
      <c r="AC188" s="165">
        <f>AD188</f>
        <v>266.22300000000001</v>
      </c>
      <c r="AD188" s="171">
        <v>266.22300000000001</v>
      </c>
      <c r="AE188" s="171">
        <v>243.74799999999999</v>
      </c>
      <c r="AF188" s="165">
        <f>AG188</f>
        <v>246.04400000000001</v>
      </c>
      <c r="AG188" s="171">
        <v>246.04400000000001</v>
      </c>
      <c r="AH188" s="171">
        <v>216.25299999999999</v>
      </c>
      <c r="AI188" s="165">
        <f>AJ188</f>
        <v>238.81200000000001</v>
      </c>
      <c r="AJ188" s="171">
        <v>238.81200000000001</v>
      </c>
      <c r="AK188" s="171">
        <v>232.99199999999999</v>
      </c>
      <c r="AL188" s="165">
        <f>AM188</f>
        <v>231.87</v>
      </c>
      <c r="AM188" s="425">
        <v>231.87</v>
      </c>
      <c r="AN188" s="580">
        <v>220.637</v>
      </c>
      <c r="AO188" s="165">
        <f>AO240</f>
        <v>245.32899901469679</v>
      </c>
      <c r="AP188" s="165">
        <f>AO188</f>
        <v>245.32899901469679</v>
      </c>
      <c r="AQ188" s="165">
        <f>AQ240</f>
        <v>274.98932227265294</v>
      </c>
      <c r="AR188" s="165">
        <f>AR240</f>
        <v>258.71261101278509</v>
      </c>
      <c r="AS188" s="165">
        <f>AR188</f>
        <v>258.71261101278509</v>
      </c>
      <c r="AT188" s="165">
        <f>AT240</f>
        <v>291.58062668723335</v>
      </c>
      <c r="AU188" s="165">
        <f>AU240</f>
        <v>272.48310091930045</v>
      </c>
      <c r="AV188" s="165">
        <f>AU188</f>
        <v>272.48310091930045</v>
      </c>
      <c r="AW188" s="165">
        <f>AW240</f>
        <v>303.30881218077525</v>
      </c>
      <c r="AX188" s="165">
        <f>AX240</f>
        <v>283.48331730550433</v>
      </c>
      <c r="AY188" s="165">
        <f>AX188</f>
        <v>283.48331730550433</v>
      </c>
      <c r="AZ188" s="165">
        <f>AZ240</f>
        <v>314.57939183445495</v>
      </c>
      <c r="BA188" s="165">
        <f>BA240</f>
        <v>294.32768818811024</v>
      </c>
      <c r="BB188" s="165">
        <f>BA188</f>
        <v>294.32768818811024</v>
      </c>
    </row>
    <row r="189" spans="1:62">
      <c r="B189" s="161" t="s">
        <v>216</v>
      </c>
      <c r="C189" s="73" t="s">
        <v>269</v>
      </c>
      <c r="D189" s="31"/>
      <c r="E189" s="30"/>
      <c r="F189" s="31"/>
      <c r="G189" s="31"/>
      <c r="H189" s="30"/>
      <c r="I189" s="31"/>
      <c r="J189" s="31"/>
      <c r="K189" s="30"/>
      <c r="L189" s="171"/>
      <c r="M189" s="171"/>
      <c r="N189" s="165"/>
      <c r="O189" s="171"/>
      <c r="P189" s="171"/>
      <c r="Q189" s="165"/>
      <c r="R189" s="171"/>
      <c r="S189" s="171"/>
      <c r="T189" s="165"/>
      <c r="U189" s="171"/>
      <c r="V189" s="171"/>
      <c r="W189" s="165">
        <f>X189</f>
        <v>147.577</v>
      </c>
      <c r="X189" s="171">
        <v>147.577</v>
      </c>
      <c r="Y189" s="171">
        <v>188.32</v>
      </c>
      <c r="Z189" s="165">
        <f>AA189</f>
        <v>195.13499999999999</v>
      </c>
      <c r="AA189" s="473">
        <v>195.13499999999999</v>
      </c>
      <c r="AB189" s="171">
        <v>315.84300000000002</v>
      </c>
      <c r="AC189" s="165">
        <f>AD189</f>
        <v>315.536</v>
      </c>
      <c r="AD189" s="171">
        <v>315.536</v>
      </c>
      <c r="AE189" s="171">
        <v>344.75599999999997</v>
      </c>
      <c r="AF189" s="165">
        <f>AG189</f>
        <v>289.399</v>
      </c>
      <c r="AG189" s="171">
        <v>289.399</v>
      </c>
      <c r="AH189" s="171">
        <v>292.87599999999998</v>
      </c>
      <c r="AI189" s="165">
        <f>AJ189</f>
        <v>292.77999999999997</v>
      </c>
      <c r="AJ189" s="171">
        <v>292.77999999999997</v>
      </c>
      <c r="AK189" s="171">
        <v>302.29500000000002</v>
      </c>
      <c r="AL189" s="165">
        <f>AM189</f>
        <v>310.78500000000003</v>
      </c>
      <c r="AM189" s="425">
        <v>310.78500000000003</v>
      </c>
      <c r="AN189" s="580">
        <v>343.87900000000002</v>
      </c>
      <c r="AO189" s="165">
        <f>AO239</f>
        <v>328.82465587951242</v>
      </c>
      <c r="AP189" s="165">
        <f>AO189</f>
        <v>328.82465587951242</v>
      </c>
      <c r="AQ189" s="165">
        <f>AQ239</f>
        <v>344.3949403736209</v>
      </c>
      <c r="AR189" s="165">
        <f>AR239</f>
        <v>346.76326740677285</v>
      </c>
      <c r="AS189" s="165">
        <f>AR189</f>
        <v>346.76326740677285</v>
      </c>
      <c r="AT189" s="165">
        <f>AT239</f>
        <v>365.17378824799249</v>
      </c>
      <c r="AU189" s="165">
        <f>AU239</f>
        <v>365.22042747748645</v>
      </c>
      <c r="AV189" s="165">
        <f>AU189</f>
        <v>365.22042747748645</v>
      </c>
      <c r="AW189" s="165">
        <f>AW239</f>
        <v>379.86209581701991</v>
      </c>
      <c r="AX189" s="165">
        <f>AX239</f>
        <v>379.96447478669586</v>
      </c>
      <c r="AY189" s="165">
        <f>AX189</f>
        <v>379.96447478669586</v>
      </c>
      <c r="AZ189" s="165">
        <f>AZ239</f>
        <v>393.97730063925155</v>
      </c>
      <c r="BA189" s="165">
        <f>BA239</f>
        <v>394.49963588882491</v>
      </c>
      <c r="BB189" s="165">
        <f>BA189</f>
        <v>394.49963588882491</v>
      </c>
    </row>
    <row r="190" spans="1:62">
      <c r="B190" s="161" t="s">
        <v>194</v>
      </c>
      <c r="C190" s="73" t="s">
        <v>269</v>
      </c>
      <c r="D190" s="31"/>
      <c r="E190" s="30"/>
      <c r="F190" s="31"/>
      <c r="G190" s="31"/>
      <c r="H190" s="30"/>
      <c r="I190" s="31"/>
      <c r="J190" s="31"/>
      <c r="K190" s="30"/>
      <c r="L190" s="171"/>
      <c r="M190" s="171"/>
      <c r="N190" s="165"/>
      <c r="O190" s="171"/>
      <c r="P190" s="171"/>
      <c r="Q190" s="165"/>
      <c r="R190" s="171"/>
      <c r="S190" s="171"/>
      <c r="T190" s="165"/>
      <c r="U190" s="171"/>
      <c r="V190" s="171"/>
      <c r="W190" s="165">
        <f>X190</f>
        <v>11.074</v>
      </c>
      <c r="X190" s="171">
        <v>11.074</v>
      </c>
      <c r="Y190" s="171">
        <f>8.641+13.02</f>
        <v>21.661000000000001</v>
      </c>
      <c r="Z190" s="165">
        <f>AA190</f>
        <v>18.259</v>
      </c>
      <c r="AA190" s="473">
        <f>6.41+11.849</f>
        <v>18.259</v>
      </c>
      <c r="AB190" s="171">
        <f>11.626+19.471</f>
        <v>31.097000000000001</v>
      </c>
      <c r="AC190" s="165">
        <f>AD190</f>
        <v>36.009</v>
      </c>
      <c r="AD190" s="171">
        <f>9.523+16.562+9.924</f>
        <v>36.009</v>
      </c>
      <c r="AE190" s="171">
        <f>23.025+16.879+0</f>
        <v>39.903999999999996</v>
      </c>
      <c r="AF190" s="165">
        <f>AG190</f>
        <v>37.079000000000001</v>
      </c>
      <c r="AG190" s="171">
        <f>25.303+11.776+0</f>
        <v>37.079000000000001</v>
      </c>
      <c r="AH190" s="171">
        <f>35.772+13.952</f>
        <v>49.723999999999997</v>
      </c>
      <c r="AI190" s="165">
        <f>AJ190</f>
        <v>30.372</v>
      </c>
      <c r="AJ190" s="171">
        <f>20.289+10.083</f>
        <v>30.372</v>
      </c>
      <c r="AK190" s="171">
        <f>20.824+12.9</f>
        <v>33.724000000000004</v>
      </c>
      <c r="AL190" s="165">
        <f>AM190</f>
        <v>21.895000000000003</v>
      </c>
      <c r="AM190" s="425">
        <f>13.127+8.768</f>
        <v>21.895000000000003</v>
      </c>
      <c r="AN190" s="580">
        <f>8.135+14.087</f>
        <v>22.222000000000001</v>
      </c>
      <c r="AO190" s="165">
        <f t="shared" ref="AO190:BA190" si="362">AN190</f>
        <v>22.222000000000001</v>
      </c>
      <c r="AP190" s="165">
        <f t="shared" si="362"/>
        <v>22.222000000000001</v>
      </c>
      <c r="AQ190" s="165">
        <f t="shared" si="362"/>
        <v>22.222000000000001</v>
      </c>
      <c r="AR190" s="165">
        <f t="shared" si="362"/>
        <v>22.222000000000001</v>
      </c>
      <c r="AS190" s="165">
        <f t="shared" si="362"/>
        <v>22.222000000000001</v>
      </c>
      <c r="AT190" s="165">
        <f t="shared" si="362"/>
        <v>22.222000000000001</v>
      </c>
      <c r="AU190" s="165">
        <f t="shared" si="362"/>
        <v>22.222000000000001</v>
      </c>
      <c r="AV190" s="165">
        <f t="shared" si="362"/>
        <v>22.222000000000001</v>
      </c>
      <c r="AW190" s="165">
        <f t="shared" si="362"/>
        <v>22.222000000000001</v>
      </c>
      <c r="AX190" s="165">
        <f t="shared" si="362"/>
        <v>22.222000000000001</v>
      </c>
      <c r="AY190" s="165">
        <f t="shared" si="362"/>
        <v>22.222000000000001</v>
      </c>
      <c r="AZ190" s="165">
        <f t="shared" si="362"/>
        <v>22.222000000000001</v>
      </c>
      <c r="BA190" s="165">
        <f t="shared" si="362"/>
        <v>22.222000000000001</v>
      </c>
      <c r="BB190" s="165">
        <f>BA190</f>
        <v>22.222000000000001</v>
      </c>
    </row>
    <row r="191" spans="1:62">
      <c r="B191" s="14" t="s">
        <v>81</v>
      </c>
      <c r="C191" s="76" t="s">
        <v>269</v>
      </c>
      <c r="D191" s="30"/>
      <c r="E191" s="30"/>
      <c r="F191" s="30"/>
      <c r="G191" s="30"/>
      <c r="H191" s="30"/>
      <c r="I191" s="30"/>
      <c r="J191" s="30"/>
      <c r="K191" s="30"/>
      <c r="L191" s="166"/>
      <c r="M191" s="166"/>
      <c r="N191" s="166"/>
      <c r="O191" s="166"/>
      <c r="P191" s="166"/>
      <c r="Q191" s="166"/>
      <c r="R191" s="166"/>
      <c r="S191" s="166"/>
      <c r="T191" s="166"/>
      <c r="U191" s="166"/>
      <c r="V191" s="166"/>
      <c r="W191" s="166">
        <f>SUM(W187:W190)</f>
        <v>396.79599999999999</v>
      </c>
      <c r="X191" s="166">
        <f t="shared" ref="X191:AH191" si="363">SUM(X187:X190)</f>
        <v>396.79599999999999</v>
      </c>
      <c r="Y191" s="166">
        <f t="shared" si="363"/>
        <v>430.86899999999997</v>
      </c>
      <c r="Z191" s="166">
        <f>SUM(Z187:Z190)</f>
        <v>454.62199999999996</v>
      </c>
      <c r="AA191" s="466">
        <f t="shared" si="363"/>
        <v>454.62199999999996</v>
      </c>
      <c r="AB191" s="166">
        <f t="shared" si="363"/>
        <v>610.93399999999997</v>
      </c>
      <c r="AC191" s="166">
        <f>SUM(AC187:AC190)</f>
        <v>645.447</v>
      </c>
      <c r="AD191" s="166">
        <f t="shared" ref="AD191:AE191" si="364">SUM(AD187:AD190)</f>
        <v>645.447</v>
      </c>
      <c r="AE191" s="166">
        <f t="shared" si="364"/>
        <v>663.32999999999993</v>
      </c>
      <c r="AF191" s="166">
        <f>SUM(AF187:AF190)</f>
        <v>589.1389999999999</v>
      </c>
      <c r="AG191" s="166">
        <f t="shared" ref="AG191" si="365">SUM(AG187:AG190)</f>
        <v>589.1389999999999</v>
      </c>
      <c r="AH191" s="466">
        <f t="shared" si="363"/>
        <v>586.01800000000003</v>
      </c>
      <c r="AI191" s="166">
        <f>SUM(AI187:AI190)</f>
        <v>581.87900000000002</v>
      </c>
      <c r="AJ191" s="166">
        <f t="shared" ref="AJ191:AK191" si="366">SUM(AJ187:AJ190)</f>
        <v>581.87900000000002</v>
      </c>
      <c r="AK191" s="466">
        <f t="shared" si="366"/>
        <v>591.46500000000003</v>
      </c>
      <c r="AL191" s="166">
        <f>SUM(AL187:AL190)</f>
        <v>589.93399999999997</v>
      </c>
      <c r="AM191" s="430">
        <f t="shared" ref="AM191:AN191" si="367">SUM(AM187:AM190)</f>
        <v>589.93399999999997</v>
      </c>
      <c r="AN191" s="616">
        <f t="shared" si="367"/>
        <v>612.72800000000007</v>
      </c>
      <c r="AO191" s="166">
        <f t="shared" ref="AO191:BB191" si="368">SUM(AO187:AO190)</f>
        <v>622.36565489420923</v>
      </c>
      <c r="AP191" s="166">
        <f t="shared" si="368"/>
        <v>622.36565489420923</v>
      </c>
      <c r="AQ191" s="166">
        <f t="shared" si="368"/>
        <v>667.59626264627377</v>
      </c>
      <c r="AR191" s="166">
        <f t="shared" si="368"/>
        <v>653.68787841955793</v>
      </c>
      <c r="AS191" s="166">
        <f t="shared" si="368"/>
        <v>653.68787841955793</v>
      </c>
      <c r="AT191" s="166">
        <f t="shared" si="368"/>
        <v>704.96641493522588</v>
      </c>
      <c r="AU191" s="166">
        <f t="shared" si="368"/>
        <v>685.91552839678684</v>
      </c>
      <c r="AV191" s="166">
        <f t="shared" si="368"/>
        <v>685.91552839678684</v>
      </c>
      <c r="AW191" s="166">
        <f t="shared" si="368"/>
        <v>731.3829079977952</v>
      </c>
      <c r="AX191" s="166">
        <f t="shared" si="368"/>
        <v>711.65979209220018</v>
      </c>
      <c r="AY191" s="166">
        <f t="shared" si="368"/>
        <v>711.65979209220018</v>
      </c>
      <c r="AZ191" s="166">
        <f t="shared" si="368"/>
        <v>756.76869247370655</v>
      </c>
      <c r="BA191" s="166">
        <f t="shared" si="368"/>
        <v>737.03932407693515</v>
      </c>
      <c r="BB191" s="166">
        <f t="shared" si="368"/>
        <v>737.03932407693515</v>
      </c>
    </row>
    <row r="192" spans="1:62">
      <c r="L192" s="165"/>
      <c r="M192" s="165"/>
      <c r="N192" s="165"/>
      <c r="O192" s="165"/>
      <c r="P192" s="165"/>
      <c r="Q192" s="165"/>
      <c r="R192" s="165"/>
      <c r="S192" s="165"/>
      <c r="T192" s="165"/>
      <c r="U192" s="165"/>
      <c r="V192" s="165"/>
      <c r="W192" s="165"/>
      <c r="X192" s="165"/>
      <c r="Y192" s="165"/>
      <c r="Z192" s="165"/>
      <c r="AB192" s="165"/>
      <c r="AC192" s="165"/>
      <c r="AD192" s="165"/>
      <c r="AE192" s="165"/>
      <c r="AF192" s="165"/>
      <c r="AG192" s="165"/>
      <c r="AH192" s="165"/>
      <c r="AI192" s="165"/>
      <c r="AJ192" s="165"/>
      <c r="AK192" s="165"/>
      <c r="AL192" s="165"/>
      <c r="AM192" s="428"/>
      <c r="AN192" s="577"/>
      <c r="AO192" s="165"/>
      <c r="AP192" s="165"/>
      <c r="AQ192" s="165"/>
      <c r="AR192" s="165"/>
      <c r="AS192" s="165"/>
      <c r="AT192" s="165"/>
      <c r="AU192" s="165"/>
      <c r="AV192" s="165"/>
      <c r="AW192" s="165"/>
      <c r="AX192" s="165"/>
      <c r="AY192" s="165"/>
      <c r="AZ192" s="165"/>
      <c r="BA192" s="165"/>
      <c r="BB192" s="165"/>
    </row>
    <row r="193" spans="2:62">
      <c r="B193" s="14" t="s">
        <v>195</v>
      </c>
      <c r="L193" s="165"/>
      <c r="M193" s="165"/>
      <c r="N193" s="165"/>
      <c r="O193" s="165"/>
      <c r="P193" s="165"/>
      <c r="Q193" s="165"/>
      <c r="R193" s="165"/>
      <c r="S193" s="165"/>
      <c r="T193" s="165"/>
      <c r="U193" s="165"/>
      <c r="V193" s="165"/>
      <c r="W193" s="165"/>
      <c r="X193" s="165"/>
      <c r="Y193" s="165"/>
      <c r="Z193" s="165"/>
      <c r="AB193" s="165"/>
      <c r="AC193" s="165"/>
      <c r="AD193" s="165"/>
      <c r="AE193" s="165"/>
      <c r="AF193" s="165"/>
      <c r="AG193" s="165"/>
      <c r="AH193" s="165"/>
      <c r="AI193" s="165"/>
      <c r="AJ193" s="165"/>
      <c r="AK193" s="165"/>
      <c r="AL193" s="165"/>
      <c r="AM193" s="428"/>
      <c r="AN193" s="577"/>
      <c r="AO193" s="165"/>
      <c r="AP193" s="165"/>
      <c r="AQ193" s="165"/>
      <c r="AR193" s="165"/>
      <c r="AS193" s="165"/>
      <c r="AT193" s="165"/>
      <c r="AU193" s="165"/>
      <c r="AV193" s="165"/>
      <c r="AW193" s="165"/>
      <c r="AX193" s="165"/>
      <c r="AY193" s="165"/>
      <c r="AZ193" s="165"/>
      <c r="BA193" s="165"/>
      <c r="BB193" s="165"/>
    </row>
    <row r="194" spans="2:62">
      <c r="B194" s="161" t="s">
        <v>196</v>
      </c>
      <c r="C194" s="73" t="s">
        <v>269</v>
      </c>
      <c r="D194" s="31"/>
      <c r="E194" s="30"/>
      <c r="F194" s="31"/>
      <c r="G194" s="31"/>
      <c r="H194" s="30"/>
      <c r="I194" s="31"/>
      <c r="J194" s="31"/>
      <c r="K194" s="30"/>
      <c r="L194" s="171"/>
      <c r="M194" s="171"/>
      <c r="N194" s="165"/>
      <c r="O194" s="171"/>
      <c r="P194" s="171"/>
      <c r="Q194" s="165"/>
      <c r="R194" s="171"/>
      <c r="S194" s="171"/>
      <c r="T194" s="165"/>
      <c r="U194" s="171"/>
      <c r="V194" s="171"/>
      <c r="W194" s="165">
        <f>X194</f>
        <v>250.48099999999999</v>
      </c>
      <c r="X194" s="171">
        <v>250.48099999999999</v>
      </c>
      <c r="Y194" s="171">
        <v>258.14800000000002</v>
      </c>
      <c r="Z194" s="165">
        <f>AA194</f>
        <v>267.36900000000003</v>
      </c>
      <c r="AA194" s="473">
        <v>267.36900000000003</v>
      </c>
      <c r="AB194" s="171">
        <f>228.343+117.163</f>
        <v>345.50599999999997</v>
      </c>
      <c r="AC194" s="165">
        <f>AD194</f>
        <v>333.80799999999999</v>
      </c>
      <c r="AD194" s="171">
        <f>224.987+108.821</f>
        <v>333.80799999999999</v>
      </c>
      <c r="AE194" s="171">
        <f>224.863+96.61</f>
        <v>321.47300000000001</v>
      </c>
      <c r="AF194" s="165">
        <f>AG194</f>
        <v>326.69900000000001</v>
      </c>
      <c r="AG194" s="171">
        <f>231.138+95.561</f>
        <v>326.69900000000001</v>
      </c>
      <c r="AH194" s="171">
        <f>234.504+91.646</f>
        <v>326.14999999999998</v>
      </c>
      <c r="AI194" s="165">
        <f>AJ194</f>
        <v>350.00800000000004</v>
      </c>
      <c r="AJ194" s="171">
        <f>240.12+109.888</f>
        <v>350.00800000000004</v>
      </c>
      <c r="AK194" s="171">
        <f>227.959+100.582</f>
        <v>328.541</v>
      </c>
      <c r="AL194" s="165">
        <f>AM194</f>
        <v>325.99200000000002</v>
      </c>
      <c r="AM194" s="425">
        <f>231.483+94.509</f>
        <v>325.99200000000002</v>
      </c>
      <c r="AN194" s="580">
        <f>103.277+217.647</f>
        <v>320.92399999999998</v>
      </c>
      <c r="AO194" s="165">
        <f t="shared" ref="AO194:BB194" si="369">AO179</f>
        <v>300.14528702647186</v>
      </c>
      <c r="AP194" s="165">
        <f t="shared" si="369"/>
        <v>300.14528702647192</v>
      </c>
      <c r="AQ194" s="165">
        <f t="shared" si="369"/>
        <v>292.84928702647193</v>
      </c>
      <c r="AR194" s="165">
        <f t="shared" si="369"/>
        <v>288.51003902647187</v>
      </c>
      <c r="AS194" s="165">
        <f t="shared" si="369"/>
        <v>288.51003902647193</v>
      </c>
      <c r="AT194" s="165">
        <f t="shared" si="369"/>
        <v>283.10685102647193</v>
      </c>
      <c r="AU194" s="165">
        <f t="shared" si="369"/>
        <v>280.78338400647192</v>
      </c>
      <c r="AV194" s="165">
        <f t="shared" si="369"/>
        <v>280.78338400647192</v>
      </c>
      <c r="AW194" s="165">
        <f t="shared" si="369"/>
        <v>284.78595264647191</v>
      </c>
      <c r="AX194" s="165">
        <f t="shared" si="369"/>
        <v>292.07553997207191</v>
      </c>
      <c r="AY194" s="165">
        <f t="shared" si="369"/>
        <v>292.07553997207191</v>
      </c>
      <c r="AZ194" s="165">
        <f t="shared" si="369"/>
        <v>296.3913969848719</v>
      </c>
      <c r="BA194" s="165">
        <f t="shared" si="369"/>
        <v>304.1592380569839</v>
      </c>
      <c r="BB194" s="165">
        <f t="shared" si="369"/>
        <v>304.1592380569839</v>
      </c>
    </row>
    <row r="195" spans="2:62">
      <c r="B195" s="161" t="s">
        <v>266</v>
      </c>
      <c r="C195" s="73" t="s">
        <v>269</v>
      </c>
      <c r="D195" s="31"/>
      <c r="E195" s="30"/>
      <c r="F195" s="31"/>
      <c r="G195" s="31"/>
      <c r="H195" s="30"/>
      <c r="I195" s="31"/>
      <c r="J195" s="31"/>
      <c r="K195" s="30"/>
      <c r="L195" s="171"/>
      <c r="M195" s="171"/>
      <c r="N195" s="165"/>
      <c r="O195" s="171"/>
      <c r="P195" s="171"/>
      <c r="Q195" s="165"/>
      <c r="R195" s="171"/>
      <c r="S195" s="171"/>
      <c r="T195" s="165"/>
      <c r="U195" s="171"/>
      <c r="V195" s="171"/>
      <c r="W195" s="165">
        <f>X195</f>
        <v>25.504999999999999</v>
      </c>
      <c r="X195" s="171">
        <v>25.504999999999999</v>
      </c>
      <c r="Y195" s="171">
        <v>24.975999999999999</v>
      </c>
      <c r="Z195" s="165">
        <f>AA195</f>
        <v>25.75</v>
      </c>
      <c r="AA195" s="473">
        <v>25.75</v>
      </c>
      <c r="AB195" s="171">
        <v>27.236999999999998</v>
      </c>
      <c r="AC195" s="165">
        <f>AD195</f>
        <v>25.722999999999999</v>
      </c>
      <c r="AD195" s="171">
        <v>25.722999999999999</v>
      </c>
      <c r="AE195" s="171">
        <v>28.602</v>
      </c>
      <c r="AF195" s="165">
        <f>AG195</f>
        <v>31.695</v>
      </c>
      <c r="AG195" s="171">
        <v>31.695</v>
      </c>
      <c r="AH195" s="171">
        <v>36.853000000000002</v>
      </c>
      <c r="AI195" s="165">
        <f>AJ195</f>
        <v>57.814999999999998</v>
      </c>
      <c r="AJ195" s="171">
        <v>57.814999999999998</v>
      </c>
      <c r="AK195" s="171">
        <v>56.48</v>
      </c>
      <c r="AL195" s="165">
        <f>AM195</f>
        <v>74.225999999999999</v>
      </c>
      <c r="AM195" s="425">
        <v>74.225999999999999</v>
      </c>
      <c r="AN195" s="580">
        <v>73.501000000000005</v>
      </c>
      <c r="AO195" s="165">
        <f t="shared" ref="AO195:BB195" si="370">AN195</f>
        <v>73.501000000000005</v>
      </c>
      <c r="AP195" s="165">
        <f t="shared" si="370"/>
        <v>73.501000000000005</v>
      </c>
      <c r="AQ195" s="165">
        <f t="shared" si="370"/>
        <v>73.501000000000005</v>
      </c>
      <c r="AR195" s="165">
        <f t="shared" si="370"/>
        <v>73.501000000000005</v>
      </c>
      <c r="AS195" s="165">
        <f t="shared" si="370"/>
        <v>73.501000000000005</v>
      </c>
      <c r="AT195" s="165">
        <f t="shared" si="370"/>
        <v>73.501000000000005</v>
      </c>
      <c r="AU195" s="165">
        <f t="shared" si="370"/>
        <v>73.501000000000005</v>
      </c>
      <c r="AV195" s="165">
        <f t="shared" si="370"/>
        <v>73.501000000000005</v>
      </c>
      <c r="AW195" s="165">
        <f t="shared" si="370"/>
        <v>73.501000000000005</v>
      </c>
      <c r="AX195" s="165">
        <f t="shared" si="370"/>
        <v>73.501000000000005</v>
      </c>
      <c r="AY195" s="165">
        <f t="shared" si="370"/>
        <v>73.501000000000005</v>
      </c>
      <c r="AZ195" s="165">
        <f t="shared" si="370"/>
        <v>73.501000000000005</v>
      </c>
      <c r="BA195" s="165">
        <f t="shared" si="370"/>
        <v>73.501000000000005</v>
      </c>
      <c r="BB195" s="165">
        <f t="shared" si="370"/>
        <v>73.501000000000005</v>
      </c>
    </row>
    <row r="196" spans="2:62">
      <c r="B196" s="161" t="s">
        <v>90</v>
      </c>
      <c r="C196" s="73" t="s">
        <v>269</v>
      </c>
      <c r="D196" s="31"/>
      <c r="E196" s="30"/>
      <c r="F196" s="31"/>
      <c r="G196" s="31"/>
      <c r="H196" s="30"/>
      <c r="I196" s="31"/>
      <c r="J196" s="31"/>
      <c r="K196" s="30"/>
      <c r="L196" s="171"/>
      <c r="M196" s="171"/>
      <c r="N196" s="165"/>
      <c r="O196" s="171"/>
      <c r="P196" s="171"/>
      <c r="Q196" s="165"/>
      <c r="R196" s="171"/>
      <c r="S196" s="171"/>
      <c r="T196" s="165"/>
      <c r="U196" s="171"/>
      <c r="V196" s="171"/>
      <c r="W196" s="165">
        <f>X196</f>
        <v>617.86</v>
      </c>
      <c r="X196" s="171">
        <v>617.86</v>
      </c>
      <c r="Y196" s="171">
        <v>679.60199999999998</v>
      </c>
      <c r="Z196" s="165">
        <f>AA196</f>
        <v>686.09500000000003</v>
      </c>
      <c r="AA196" s="473">
        <v>686.09500000000003</v>
      </c>
      <c r="AB196" s="171">
        <v>823.08100000000002</v>
      </c>
      <c r="AC196" s="165">
        <f>AD196</f>
        <v>758.57399999999996</v>
      </c>
      <c r="AD196" s="171">
        <v>758.57399999999996</v>
      </c>
      <c r="AE196" s="171">
        <v>753.82100000000003</v>
      </c>
      <c r="AF196" s="165">
        <f>AG196</f>
        <v>780.71100000000001</v>
      </c>
      <c r="AG196" s="171">
        <v>780.71100000000001</v>
      </c>
      <c r="AH196" s="171">
        <v>782.86599999999999</v>
      </c>
      <c r="AI196" s="165">
        <f>AJ196</f>
        <v>818.82600000000002</v>
      </c>
      <c r="AJ196" s="171">
        <v>818.82600000000002</v>
      </c>
      <c r="AK196" s="171">
        <v>808.43899999999996</v>
      </c>
      <c r="AL196" s="165">
        <f>AM196</f>
        <v>867.15700000000004</v>
      </c>
      <c r="AM196" s="425">
        <v>867.15700000000004</v>
      </c>
      <c r="AN196" s="580">
        <v>856.53800000000001</v>
      </c>
      <c r="AO196" s="165">
        <f t="shared" ref="AO196:BB196" si="371">AN196</f>
        <v>856.53800000000001</v>
      </c>
      <c r="AP196" s="165">
        <f t="shared" si="371"/>
        <v>856.53800000000001</v>
      </c>
      <c r="AQ196" s="165">
        <f t="shared" si="371"/>
        <v>856.53800000000001</v>
      </c>
      <c r="AR196" s="165">
        <f t="shared" si="371"/>
        <v>856.53800000000001</v>
      </c>
      <c r="AS196" s="165">
        <f t="shared" si="371"/>
        <v>856.53800000000001</v>
      </c>
      <c r="AT196" s="165">
        <f t="shared" si="371"/>
        <v>856.53800000000001</v>
      </c>
      <c r="AU196" s="165">
        <f t="shared" si="371"/>
        <v>856.53800000000001</v>
      </c>
      <c r="AV196" s="165">
        <f t="shared" si="371"/>
        <v>856.53800000000001</v>
      </c>
      <c r="AW196" s="165">
        <f t="shared" si="371"/>
        <v>856.53800000000001</v>
      </c>
      <c r="AX196" s="165">
        <f t="shared" si="371"/>
        <v>856.53800000000001</v>
      </c>
      <c r="AY196" s="165">
        <f t="shared" si="371"/>
        <v>856.53800000000001</v>
      </c>
      <c r="AZ196" s="165">
        <f t="shared" si="371"/>
        <v>856.53800000000001</v>
      </c>
      <c r="BA196" s="165">
        <f t="shared" si="371"/>
        <v>856.53800000000001</v>
      </c>
      <c r="BB196" s="165">
        <f t="shared" si="371"/>
        <v>856.53800000000001</v>
      </c>
    </row>
    <row r="197" spans="2:62">
      <c r="B197" s="161" t="s">
        <v>335</v>
      </c>
      <c r="C197" s="73" t="s">
        <v>269</v>
      </c>
      <c r="D197" s="31"/>
      <c r="E197" s="30"/>
      <c r="F197" s="31"/>
      <c r="G197" s="31"/>
      <c r="H197" s="30"/>
      <c r="I197" s="31"/>
      <c r="J197" s="31"/>
      <c r="K197" s="30"/>
      <c r="L197" s="171"/>
      <c r="M197" s="171"/>
      <c r="N197" s="165"/>
      <c r="O197" s="171"/>
      <c r="P197" s="171"/>
      <c r="Q197" s="165"/>
      <c r="R197" s="171"/>
      <c r="S197" s="171"/>
      <c r="T197" s="165"/>
      <c r="U197" s="171"/>
      <c r="V197" s="171"/>
      <c r="W197" s="165">
        <f>X197</f>
        <v>225.721</v>
      </c>
      <c r="X197" s="171">
        <f>224.306+1.415</f>
        <v>225.721</v>
      </c>
      <c r="Y197" s="171">
        <f>240.413+0.994</f>
        <v>241.40700000000001</v>
      </c>
      <c r="Z197" s="165">
        <f>AA197</f>
        <v>240.33799999999999</v>
      </c>
      <c r="AA197" s="473">
        <v>240.33799999999999</v>
      </c>
      <c r="AB197" s="171">
        <v>343.24900000000002</v>
      </c>
      <c r="AC197" s="165">
        <f>AD197</f>
        <v>322.42500000000001</v>
      </c>
      <c r="AD197" s="171">
        <v>322.42500000000001</v>
      </c>
      <c r="AE197" s="171">
        <f>322.314+3.648</f>
        <v>325.96200000000005</v>
      </c>
      <c r="AF197" s="165">
        <f>AG197</f>
        <v>330.34200000000004</v>
      </c>
      <c r="AG197" s="171">
        <f>326.968+3.374</f>
        <v>330.34200000000004</v>
      </c>
      <c r="AH197" s="171">
        <f>312.453+4.564</f>
        <v>317.017</v>
      </c>
      <c r="AI197" s="165">
        <f>AJ197</f>
        <v>335.971</v>
      </c>
      <c r="AJ197" s="171">
        <f>331.859+4.112</f>
        <v>335.971</v>
      </c>
      <c r="AK197" s="171">
        <f>325.967+3.412</f>
        <v>329.37899999999996</v>
      </c>
      <c r="AL197" s="165">
        <f>AM197</f>
        <v>341.80500000000001</v>
      </c>
      <c r="AM197" s="425">
        <f>338.831+2.974</f>
        <v>341.80500000000001</v>
      </c>
      <c r="AN197" s="580">
        <f>334.625+2.649</f>
        <v>337.274</v>
      </c>
      <c r="AO197" s="165">
        <f t="shared" ref="AO197:BB197" si="372">+AN197</f>
        <v>337.274</v>
      </c>
      <c r="AP197" s="165">
        <f t="shared" si="372"/>
        <v>337.274</v>
      </c>
      <c r="AQ197" s="165">
        <f t="shared" si="372"/>
        <v>337.274</v>
      </c>
      <c r="AR197" s="165">
        <f t="shared" si="372"/>
        <v>337.274</v>
      </c>
      <c r="AS197" s="165">
        <f t="shared" si="372"/>
        <v>337.274</v>
      </c>
      <c r="AT197" s="165">
        <f t="shared" si="372"/>
        <v>337.274</v>
      </c>
      <c r="AU197" s="165">
        <f t="shared" si="372"/>
        <v>337.274</v>
      </c>
      <c r="AV197" s="165">
        <f t="shared" si="372"/>
        <v>337.274</v>
      </c>
      <c r="AW197" s="165">
        <f t="shared" si="372"/>
        <v>337.274</v>
      </c>
      <c r="AX197" s="165">
        <f t="shared" si="372"/>
        <v>337.274</v>
      </c>
      <c r="AY197" s="165">
        <f t="shared" si="372"/>
        <v>337.274</v>
      </c>
      <c r="AZ197" s="165">
        <f t="shared" si="372"/>
        <v>337.274</v>
      </c>
      <c r="BA197" s="165">
        <f t="shared" si="372"/>
        <v>337.274</v>
      </c>
      <c r="BB197" s="165">
        <f t="shared" si="372"/>
        <v>337.274</v>
      </c>
    </row>
    <row r="198" spans="2:62" s="14" customFormat="1">
      <c r="B198" s="14" t="s">
        <v>45</v>
      </c>
      <c r="C198" s="76" t="s">
        <v>269</v>
      </c>
      <c r="D198" s="28"/>
      <c r="E198" s="28"/>
      <c r="F198" s="28"/>
      <c r="G198" s="28"/>
      <c r="H198" s="28"/>
      <c r="I198" s="28"/>
      <c r="J198" s="28"/>
      <c r="K198" s="28"/>
      <c r="L198" s="166"/>
      <c r="M198" s="166"/>
      <c r="N198" s="166"/>
      <c r="O198" s="166"/>
      <c r="P198" s="166"/>
      <c r="Q198" s="166"/>
      <c r="R198" s="166"/>
      <c r="S198" s="166"/>
      <c r="T198" s="166"/>
      <c r="U198" s="166"/>
      <c r="V198" s="166"/>
      <c r="W198" s="166">
        <f t="shared" ref="W198:AH198" si="373">SUM(W194:W197)</f>
        <v>1119.567</v>
      </c>
      <c r="X198" s="166">
        <f t="shared" si="373"/>
        <v>1119.567</v>
      </c>
      <c r="Y198" s="166">
        <f t="shared" si="373"/>
        <v>1204.133</v>
      </c>
      <c r="Z198" s="166">
        <f t="shared" si="373"/>
        <v>1219.5520000000001</v>
      </c>
      <c r="AA198" s="466">
        <f t="shared" si="373"/>
        <v>1219.5520000000001</v>
      </c>
      <c r="AB198" s="166">
        <f t="shared" si="373"/>
        <v>1539.0730000000001</v>
      </c>
      <c r="AC198" s="166">
        <f t="shared" ref="AC198:AD198" si="374">SUM(AC194:AC197)</f>
        <v>1440.53</v>
      </c>
      <c r="AD198" s="166">
        <f t="shared" si="374"/>
        <v>1440.53</v>
      </c>
      <c r="AE198" s="166">
        <f t="shared" ref="AE198:AG198" si="375">SUM(AE194:AE197)</f>
        <v>1429.8579999999999</v>
      </c>
      <c r="AF198" s="166">
        <f t="shared" si="375"/>
        <v>1469.4470000000001</v>
      </c>
      <c r="AG198" s="166">
        <f t="shared" si="375"/>
        <v>1469.4470000000001</v>
      </c>
      <c r="AH198" s="166">
        <f t="shared" si="373"/>
        <v>1462.886</v>
      </c>
      <c r="AI198" s="166">
        <f t="shared" ref="AI198:AJ198" si="376">SUM(AI194:AI197)</f>
        <v>1562.6200000000001</v>
      </c>
      <c r="AJ198" s="166">
        <f t="shared" si="376"/>
        <v>1562.6200000000001</v>
      </c>
      <c r="AK198" s="166">
        <f t="shared" ref="AK198:AM198" si="377">SUM(AK194:AK197)</f>
        <v>1522.8389999999999</v>
      </c>
      <c r="AL198" s="166">
        <f t="shared" si="377"/>
        <v>1609.18</v>
      </c>
      <c r="AM198" s="430">
        <f t="shared" si="377"/>
        <v>1609.18</v>
      </c>
      <c r="AN198" s="578">
        <f t="shared" ref="AN198" si="378">SUM(AN194:AN197)</f>
        <v>1588.2370000000001</v>
      </c>
      <c r="AO198" s="166">
        <f t="shared" ref="AO198:BB198" si="379">SUM(AO194:AO197)</f>
        <v>1567.4582870264717</v>
      </c>
      <c r="AP198" s="166">
        <f t="shared" si="379"/>
        <v>1567.4582870264717</v>
      </c>
      <c r="AQ198" s="166">
        <f t="shared" si="379"/>
        <v>1560.1622870264719</v>
      </c>
      <c r="AR198" s="166">
        <f t="shared" si="379"/>
        <v>1555.8230390264716</v>
      </c>
      <c r="AS198" s="166">
        <f t="shared" si="379"/>
        <v>1555.8230390264721</v>
      </c>
      <c r="AT198" s="166">
        <f t="shared" si="379"/>
        <v>1550.4198510264719</v>
      </c>
      <c r="AU198" s="166">
        <f t="shared" si="379"/>
        <v>1548.0963840064719</v>
      </c>
      <c r="AV198" s="166">
        <f t="shared" si="379"/>
        <v>1548.0963840064719</v>
      </c>
      <c r="AW198" s="166">
        <f t="shared" si="379"/>
        <v>1552.0989526464718</v>
      </c>
      <c r="AX198" s="166">
        <f t="shared" si="379"/>
        <v>1559.3885399720721</v>
      </c>
      <c r="AY198" s="166">
        <f t="shared" si="379"/>
        <v>1559.3885399720721</v>
      </c>
      <c r="AZ198" s="166">
        <f t="shared" si="379"/>
        <v>1563.7043969848719</v>
      </c>
      <c r="BA198" s="166">
        <f t="shared" si="379"/>
        <v>1571.4722380569838</v>
      </c>
      <c r="BB198" s="166">
        <f t="shared" si="379"/>
        <v>1571.4722380569838</v>
      </c>
      <c r="BE198"/>
      <c r="BF198"/>
      <c r="BG198"/>
      <c r="BH198"/>
      <c r="BI198"/>
      <c r="BJ198"/>
    </row>
    <row r="199" spans="2:62">
      <c r="L199" s="165"/>
      <c r="M199" s="165"/>
      <c r="N199" s="165"/>
      <c r="O199" s="165"/>
      <c r="P199" s="165"/>
      <c r="Q199" s="165"/>
      <c r="R199" s="165"/>
      <c r="S199" s="165"/>
      <c r="T199" s="165"/>
      <c r="U199" s="165"/>
      <c r="V199" s="165"/>
      <c r="W199" s="165"/>
      <c r="X199" s="165"/>
      <c r="Y199" s="165"/>
      <c r="Z199" s="165"/>
      <c r="AB199" s="165"/>
      <c r="AC199" s="165"/>
      <c r="AD199" s="165"/>
      <c r="AE199" s="165"/>
      <c r="AF199" s="165"/>
      <c r="AG199" s="165"/>
      <c r="AH199" s="165"/>
      <c r="AI199" s="165"/>
      <c r="AJ199" s="165"/>
      <c r="AK199" s="165"/>
      <c r="AL199" s="165"/>
      <c r="AM199" s="428"/>
      <c r="AN199" s="577"/>
      <c r="AO199" s="165"/>
      <c r="AP199" s="165"/>
      <c r="AQ199" s="165"/>
      <c r="AR199" s="165"/>
      <c r="AS199" s="165"/>
      <c r="AT199" s="165"/>
      <c r="AU199" s="165"/>
      <c r="AV199" s="165"/>
      <c r="AW199" s="165"/>
      <c r="AX199" s="165"/>
      <c r="AY199" s="165"/>
      <c r="AZ199" s="165"/>
      <c r="BA199" s="165"/>
      <c r="BB199" s="165"/>
    </row>
    <row r="200" spans="2:62" ht="13.8" thickBot="1">
      <c r="B200" s="100" t="s">
        <v>46</v>
      </c>
      <c r="C200" s="100"/>
      <c r="D200" s="101"/>
      <c r="E200" s="101"/>
      <c r="F200" s="101"/>
      <c r="G200" s="101"/>
      <c r="H200" s="101"/>
      <c r="I200" s="101"/>
      <c r="J200" s="101"/>
      <c r="K200" s="101"/>
      <c r="L200" s="194"/>
      <c r="M200" s="194"/>
      <c r="N200" s="194"/>
      <c r="O200" s="194"/>
      <c r="P200" s="194"/>
      <c r="Q200" s="194"/>
      <c r="R200" s="194"/>
      <c r="S200" s="194"/>
      <c r="T200" s="194"/>
      <c r="U200" s="194"/>
      <c r="V200" s="194"/>
      <c r="W200" s="194">
        <f t="shared" ref="W200:AJ200" si="380">W198+W191</f>
        <v>1516.3630000000001</v>
      </c>
      <c r="X200" s="194">
        <f t="shared" si="380"/>
        <v>1516.3630000000001</v>
      </c>
      <c r="Y200" s="194">
        <f t="shared" si="380"/>
        <v>1635.002</v>
      </c>
      <c r="Z200" s="194">
        <f t="shared" si="380"/>
        <v>1674.174</v>
      </c>
      <c r="AA200" s="488">
        <f t="shared" si="380"/>
        <v>1674.174</v>
      </c>
      <c r="AB200" s="194">
        <f t="shared" si="380"/>
        <v>2150.0070000000001</v>
      </c>
      <c r="AC200" s="194">
        <f t="shared" ref="AC200:AE200" si="381">AC198+AC191</f>
        <v>2085.9769999999999</v>
      </c>
      <c r="AD200" s="194">
        <f t="shared" si="381"/>
        <v>2085.9769999999999</v>
      </c>
      <c r="AE200" s="194">
        <f t="shared" si="381"/>
        <v>2093.1880000000001</v>
      </c>
      <c r="AF200" s="194">
        <f t="shared" ref="AF200:AG200" si="382">AF198+AF191</f>
        <v>2058.5860000000002</v>
      </c>
      <c r="AG200" s="194">
        <f t="shared" si="382"/>
        <v>2058.5860000000002</v>
      </c>
      <c r="AH200" s="531">
        <f t="shared" si="380"/>
        <v>2048.904</v>
      </c>
      <c r="AI200" s="194">
        <f t="shared" si="380"/>
        <v>2144.4990000000003</v>
      </c>
      <c r="AJ200" s="194">
        <f t="shared" si="380"/>
        <v>2144.4990000000003</v>
      </c>
      <c r="AK200" s="531">
        <f t="shared" ref="AK200:AM200" si="383">AK198+AK191</f>
        <v>2114.3040000000001</v>
      </c>
      <c r="AL200" s="194">
        <f t="shared" si="383"/>
        <v>2199.114</v>
      </c>
      <c r="AM200" s="562">
        <f t="shared" si="383"/>
        <v>2199.114</v>
      </c>
      <c r="AN200" s="605">
        <f t="shared" ref="AN200" si="384">AN198+AN191</f>
        <v>2200.9650000000001</v>
      </c>
      <c r="AO200" s="194">
        <f t="shared" ref="AO200:BB200" si="385">AO198+AO191</f>
        <v>2189.8239419206811</v>
      </c>
      <c r="AP200" s="194">
        <f t="shared" si="385"/>
        <v>2189.8239419206811</v>
      </c>
      <c r="AQ200" s="194">
        <f t="shared" si="385"/>
        <v>2227.7585496727456</v>
      </c>
      <c r="AR200" s="194">
        <f t="shared" si="385"/>
        <v>2209.5109174460295</v>
      </c>
      <c r="AS200" s="194">
        <f t="shared" si="385"/>
        <v>2209.5109174460299</v>
      </c>
      <c r="AT200" s="194">
        <f t="shared" si="385"/>
        <v>2255.386265961698</v>
      </c>
      <c r="AU200" s="194">
        <f t="shared" si="385"/>
        <v>2234.011912403259</v>
      </c>
      <c r="AV200" s="194">
        <f t="shared" si="385"/>
        <v>2234.011912403259</v>
      </c>
      <c r="AW200" s="194">
        <f t="shared" si="385"/>
        <v>2283.4818606442668</v>
      </c>
      <c r="AX200" s="194">
        <f t="shared" si="385"/>
        <v>2271.0483320642725</v>
      </c>
      <c r="AY200" s="194">
        <f t="shared" si="385"/>
        <v>2271.0483320642725</v>
      </c>
      <c r="AZ200" s="194">
        <f t="shared" si="385"/>
        <v>2320.4730894585782</v>
      </c>
      <c r="BA200" s="194">
        <f t="shared" si="385"/>
        <v>2308.5115621339191</v>
      </c>
      <c r="BB200" s="194">
        <f t="shared" si="385"/>
        <v>2308.5115621339191</v>
      </c>
    </row>
    <row r="201" spans="2:62">
      <c r="D201" s="46"/>
      <c r="E201" s="47"/>
      <c r="F201" s="46"/>
      <c r="G201" s="46"/>
      <c r="H201" s="47"/>
      <c r="I201" s="46"/>
      <c r="J201" s="46"/>
      <c r="K201" s="47"/>
      <c r="L201" s="181"/>
      <c r="M201" s="181"/>
      <c r="N201" s="182"/>
      <c r="O201" s="181"/>
      <c r="P201" s="181"/>
      <c r="Q201" s="182"/>
      <c r="R201" s="181"/>
      <c r="S201" s="181"/>
      <c r="T201" s="182"/>
      <c r="U201" s="181"/>
      <c r="V201" s="181"/>
      <c r="W201" s="182"/>
      <c r="X201" s="181" t="str">
        <f>IF(ROUND(W200,0)=ROUND(X200,0),"","ERROR")</f>
        <v/>
      </c>
      <c r="Y201" s="181"/>
      <c r="Z201" s="182"/>
      <c r="AA201" s="489" t="str">
        <f>IF(ROUND(Z200,0)=ROUND(AA200,0),"","ERROR")</f>
        <v/>
      </c>
      <c r="AB201" s="181"/>
      <c r="AC201" s="182"/>
      <c r="AD201" s="181" t="str">
        <f>IF(ROUND(AC200,0)=ROUND(AD200,0),"","ERROR")</f>
        <v/>
      </c>
      <c r="AE201" s="181"/>
      <c r="AF201" s="182"/>
      <c r="AG201" s="181" t="str">
        <f>IF(ROUND(AF200,0)=ROUND(AG200,0),"","ERROR")</f>
        <v/>
      </c>
      <c r="AH201" s="181"/>
      <c r="AI201" s="182"/>
      <c r="AJ201" s="181" t="str">
        <f>IF(ROUND(AI200,0)=ROUND(AJ200,0),"","ERROR")</f>
        <v/>
      </c>
      <c r="AK201" s="181"/>
      <c r="AL201" s="182"/>
      <c r="AM201" s="431" t="str">
        <f>IF(ROUND(AL200,0)=ROUND(AM200,0),"","ERROR")</f>
        <v/>
      </c>
      <c r="AN201" s="617"/>
      <c r="AO201" s="182"/>
      <c r="AP201" s="181" t="str">
        <f>IF(AO200=AP200,"","ERROR")</f>
        <v/>
      </c>
      <c r="AQ201" s="181"/>
      <c r="AR201" s="182"/>
      <c r="AS201" s="181" t="str">
        <f>IF(AR200=AS200,"","ERROR")</f>
        <v/>
      </c>
      <c r="AT201" s="181"/>
      <c r="AU201" s="182"/>
      <c r="AV201" s="181" t="str">
        <f>IF(AU200=AV200,"","ERROR")</f>
        <v/>
      </c>
      <c r="AW201" s="181"/>
      <c r="AX201" s="182"/>
      <c r="AY201" s="181" t="str">
        <f>IF(AX200=AY200,"","ERROR")</f>
        <v/>
      </c>
      <c r="AZ201" s="181"/>
      <c r="BA201" s="182"/>
      <c r="BB201" s="181" t="str">
        <f>IF(BA200=BB200,"","ERROR")</f>
        <v/>
      </c>
    </row>
    <row r="202" spans="2:62">
      <c r="B202" s="14" t="s">
        <v>188</v>
      </c>
      <c r="L202" s="165"/>
      <c r="M202" s="165"/>
      <c r="N202" s="165"/>
      <c r="O202" s="165"/>
      <c r="P202" s="165"/>
      <c r="Q202" s="165"/>
      <c r="R202" s="165"/>
      <c r="S202" s="165"/>
      <c r="T202" s="165"/>
      <c r="U202" s="165"/>
      <c r="V202" s="165"/>
      <c r="W202" s="165"/>
      <c r="X202" s="165"/>
      <c r="Y202" s="165"/>
      <c r="Z202" s="165"/>
      <c r="AB202" s="165"/>
      <c r="AC202" s="165"/>
      <c r="AD202" s="165"/>
      <c r="AE202" s="165"/>
      <c r="AF202" s="165"/>
      <c r="AG202" s="165"/>
      <c r="AH202" s="165"/>
      <c r="AI202" s="165"/>
      <c r="AJ202" s="165"/>
      <c r="AK202" s="165"/>
      <c r="AL202" s="165"/>
      <c r="AM202" s="428"/>
      <c r="AN202" s="577"/>
      <c r="AO202" s="165"/>
      <c r="AP202" s="165"/>
      <c r="AQ202" s="165"/>
      <c r="AR202" s="165"/>
      <c r="AS202" s="165"/>
      <c r="AT202" s="165"/>
      <c r="AU202" s="165"/>
      <c r="AV202" s="165"/>
      <c r="AW202" s="165"/>
      <c r="AX202" s="165"/>
      <c r="AY202" s="165"/>
      <c r="AZ202" s="165"/>
      <c r="BA202" s="165"/>
      <c r="BB202" s="165"/>
    </row>
    <row r="203" spans="2:62">
      <c r="B203" s="161" t="s">
        <v>387</v>
      </c>
      <c r="C203" s="73" t="s">
        <v>269</v>
      </c>
      <c r="D203" s="31"/>
      <c r="E203" s="30"/>
      <c r="F203" s="31"/>
      <c r="G203" s="31"/>
      <c r="H203" s="30"/>
      <c r="I203" s="31"/>
      <c r="J203" s="31"/>
      <c r="K203" s="30"/>
      <c r="L203" s="171"/>
      <c r="M203" s="171"/>
      <c r="N203" s="165"/>
      <c r="O203" s="171"/>
      <c r="P203" s="171"/>
      <c r="Q203" s="165"/>
      <c r="R203" s="171"/>
      <c r="S203" s="171"/>
      <c r="T203" s="165"/>
      <c r="U203" s="171"/>
      <c r="V203" s="171"/>
      <c r="W203" s="165">
        <f>X203</f>
        <v>116.08499999999999</v>
      </c>
      <c r="X203" s="171">
        <v>116.08499999999999</v>
      </c>
      <c r="Y203" s="171">
        <v>151.46899999999999</v>
      </c>
      <c r="Z203" s="165">
        <f>AA203</f>
        <v>179.982</v>
      </c>
      <c r="AA203" s="473">
        <v>179.982</v>
      </c>
      <c r="AB203" s="171">
        <v>186.661</v>
      </c>
      <c r="AC203" s="165">
        <f>AD203</f>
        <v>173.166</v>
      </c>
      <c r="AD203" s="171">
        <v>173.166</v>
      </c>
      <c r="AE203" s="171">
        <v>172.01400000000001</v>
      </c>
      <c r="AF203" s="165">
        <f>AG203</f>
        <v>166.541</v>
      </c>
      <c r="AG203" s="171">
        <v>166.541</v>
      </c>
      <c r="AH203" s="171">
        <v>169.904</v>
      </c>
      <c r="AI203" s="165">
        <f>AJ203</f>
        <v>179.09899999999999</v>
      </c>
      <c r="AJ203" s="171">
        <v>179.09899999999999</v>
      </c>
      <c r="AK203" s="171">
        <v>180.10499999999999</v>
      </c>
      <c r="AL203" s="165">
        <f>AM203</f>
        <v>187.19800000000001</v>
      </c>
      <c r="AM203" s="425">
        <v>187.19800000000001</v>
      </c>
      <c r="AN203" s="580">
        <v>206</v>
      </c>
      <c r="AO203" s="165">
        <f>AO241</f>
        <v>198.06399257149786</v>
      </c>
      <c r="AP203" s="165">
        <f>AO203</f>
        <v>198.06399257149786</v>
      </c>
      <c r="AQ203" s="165">
        <f>AQ241</f>
        <v>194.06113396379922</v>
      </c>
      <c r="AR203" s="165">
        <f>AR241</f>
        <v>208.86912216488267</v>
      </c>
      <c r="AS203" s="165">
        <f>AR203</f>
        <v>208.86912216488267</v>
      </c>
      <c r="AT203" s="165">
        <f>AT241</f>
        <v>205.76968803427212</v>
      </c>
      <c r="AU203" s="165">
        <f>AU241</f>
        <v>219.98659389266055</v>
      </c>
      <c r="AV203" s="165">
        <f>AU203</f>
        <v>219.98659389266055</v>
      </c>
      <c r="AW203" s="165">
        <f>AW241</f>
        <v>214.04631840451563</v>
      </c>
      <c r="AX203" s="165">
        <f>AX241</f>
        <v>228.86751211004355</v>
      </c>
      <c r="AY203" s="165">
        <f>AX203</f>
        <v>228.86751211004355</v>
      </c>
      <c r="AZ203" s="165">
        <f>AZ241</f>
        <v>222.00001438785935</v>
      </c>
      <c r="BA203" s="165">
        <f>BA241</f>
        <v>237.62260996868008</v>
      </c>
      <c r="BB203" s="165">
        <f>BA203</f>
        <v>237.62260996868008</v>
      </c>
    </row>
    <row r="204" spans="2:62">
      <c r="B204" s="161" t="s">
        <v>201</v>
      </c>
      <c r="C204" s="73" t="s">
        <v>269</v>
      </c>
      <c r="D204" s="31"/>
      <c r="E204" s="30"/>
      <c r="F204" s="31"/>
      <c r="G204" s="31"/>
      <c r="H204" s="30"/>
      <c r="I204" s="31"/>
      <c r="J204" s="31"/>
      <c r="K204" s="30"/>
      <c r="L204" s="171"/>
      <c r="M204" s="171"/>
      <c r="N204" s="165"/>
      <c r="O204" s="171"/>
      <c r="P204" s="171"/>
      <c r="Q204" s="165"/>
      <c r="R204" s="171"/>
      <c r="S204" s="171"/>
      <c r="T204" s="165"/>
      <c r="U204" s="171"/>
      <c r="V204" s="171"/>
      <c r="W204" s="165">
        <f>X204</f>
        <v>0</v>
      </c>
      <c r="X204" s="171">
        <v>0</v>
      </c>
      <c r="Y204" s="171">
        <v>0</v>
      </c>
      <c r="Z204" s="165">
        <f>AA204</f>
        <v>0</v>
      </c>
      <c r="AA204" s="473">
        <v>0</v>
      </c>
      <c r="AB204" s="171">
        <v>0</v>
      </c>
      <c r="AC204" s="165">
        <f>AD204</f>
        <v>0</v>
      </c>
      <c r="AD204" s="171">
        <v>0</v>
      </c>
      <c r="AE204" s="171">
        <v>0</v>
      </c>
      <c r="AF204" s="165">
        <f>AG204</f>
        <v>0</v>
      </c>
      <c r="AG204" s="171">
        <v>0</v>
      </c>
      <c r="AH204" s="171">
        <v>0</v>
      </c>
      <c r="AI204" s="165">
        <f>AJ204</f>
        <v>0</v>
      </c>
      <c r="AJ204" s="171">
        <v>0</v>
      </c>
      <c r="AK204" s="171">
        <v>0</v>
      </c>
      <c r="AL204" s="165">
        <f>AM204</f>
        <v>0</v>
      </c>
      <c r="AM204" s="425">
        <v>0</v>
      </c>
      <c r="AN204" s="580">
        <v>0</v>
      </c>
      <c r="AO204" s="165">
        <f t="shared" ref="AO204:AO207" si="386">AN204</f>
        <v>0</v>
      </c>
      <c r="AP204" s="165">
        <f>AO204</f>
        <v>0</v>
      </c>
      <c r="AQ204" s="165">
        <f t="shared" ref="AQ204:AR207" si="387">AP204</f>
        <v>0</v>
      </c>
      <c r="AR204" s="165">
        <f t="shared" si="387"/>
        <v>0</v>
      </c>
      <c r="AS204" s="165">
        <f>AR204</f>
        <v>0</v>
      </c>
      <c r="AT204" s="165">
        <f t="shared" ref="AT204:AU207" si="388">AS204</f>
        <v>0</v>
      </c>
      <c r="AU204" s="165">
        <f t="shared" si="388"/>
        <v>0</v>
      </c>
      <c r="AV204" s="165">
        <f>AU204</f>
        <v>0</v>
      </c>
      <c r="AW204" s="165">
        <f t="shared" ref="AW204:AX207" si="389">AV204</f>
        <v>0</v>
      </c>
      <c r="AX204" s="165">
        <f t="shared" si="389"/>
        <v>0</v>
      </c>
      <c r="AY204" s="165">
        <f>AX204</f>
        <v>0</v>
      </c>
      <c r="AZ204" s="165">
        <f t="shared" ref="AZ204:BA207" si="390">AY204</f>
        <v>0</v>
      </c>
      <c r="BA204" s="165">
        <f t="shared" si="390"/>
        <v>0</v>
      </c>
      <c r="BB204" s="165">
        <f>BA204</f>
        <v>0</v>
      </c>
    </row>
    <row r="205" spans="2:62">
      <c r="B205" s="161" t="s">
        <v>386</v>
      </c>
      <c r="C205" s="73" t="s">
        <v>269</v>
      </c>
      <c r="D205" s="31"/>
      <c r="E205" s="30"/>
      <c r="F205" s="31"/>
      <c r="G205" s="31"/>
      <c r="H205" s="30"/>
      <c r="I205" s="31"/>
      <c r="J205" s="31"/>
      <c r="K205" s="30"/>
      <c r="L205" s="171"/>
      <c r="M205" s="171"/>
      <c r="N205" s="165"/>
      <c r="O205" s="171"/>
      <c r="P205" s="171"/>
      <c r="Q205" s="165"/>
      <c r="R205" s="171"/>
      <c r="S205" s="171"/>
      <c r="T205" s="165"/>
      <c r="U205" s="171"/>
      <c r="V205" s="171"/>
      <c r="W205" s="165">
        <f>X205</f>
        <v>11.484</v>
      </c>
      <c r="X205" s="171">
        <v>11.484</v>
      </c>
      <c r="Y205" s="171">
        <v>8.1890000000000001</v>
      </c>
      <c r="Z205" s="165">
        <f>AA205</f>
        <v>9.0530000000000008</v>
      </c>
      <c r="AA205" s="473">
        <v>9.0530000000000008</v>
      </c>
      <c r="AB205" s="171">
        <v>7.2670000000000003</v>
      </c>
      <c r="AC205" s="165">
        <f>AD205</f>
        <v>6.4139999999999997</v>
      </c>
      <c r="AD205" s="171">
        <v>6.4139999999999997</v>
      </c>
      <c r="AE205" s="171">
        <v>5.6520000000000001</v>
      </c>
      <c r="AF205" s="165">
        <f>AG205</f>
        <v>8.3190000000000008</v>
      </c>
      <c r="AG205" s="171">
        <v>8.3190000000000008</v>
      </c>
      <c r="AH205" s="171">
        <v>8.984</v>
      </c>
      <c r="AI205" s="165">
        <f>AJ205</f>
        <v>6.7380000000000004</v>
      </c>
      <c r="AJ205" s="171">
        <v>6.7380000000000004</v>
      </c>
      <c r="AK205" s="171">
        <v>5.7859999999999996</v>
      </c>
      <c r="AL205" s="165">
        <f>AM205</f>
        <v>8.1379999999999999</v>
      </c>
      <c r="AM205" s="425">
        <v>8.1379999999999999</v>
      </c>
      <c r="AN205" s="580">
        <v>6.4950000000000001</v>
      </c>
      <c r="AO205" s="165">
        <f t="shared" si="386"/>
        <v>6.4950000000000001</v>
      </c>
      <c r="AP205" s="165">
        <f>AO205</f>
        <v>6.4950000000000001</v>
      </c>
      <c r="AQ205" s="165">
        <f t="shared" si="387"/>
        <v>6.4950000000000001</v>
      </c>
      <c r="AR205" s="165">
        <f t="shared" si="387"/>
        <v>6.4950000000000001</v>
      </c>
      <c r="AS205" s="165">
        <f>AR205</f>
        <v>6.4950000000000001</v>
      </c>
      <c r="AT205" s="165">
        <f t="shared" si="388"/>
        <v>6.4950000000000001</v>
      </c>
      <c r="AU205" s="165">
        <f t="shared" si="388"/>
        <v>6.4950000000000001</v>
      </c>
      <c r="AV205" s="165">
        <f>AU205</f>
        <v>6.4950000000000001</v>
      </c>
      <c r="AW205" s="165">
        <f t="shared" si="389"/>
        <v>6.4950000000000001</v>
      </c>
      <c r="AX205" s="165">
        <f t="shared" si="389"/>
        <v>6.4950000000000001</v>
      </c>
      <c r="AY205" s="165">
        <f>AX205</f>
        <v>6.4950000000000001</v>
      </c>
      <c r="AZ205" s="165">
        <f t="shared" si="390"/>
        <v>6.4950000000000001</v>
      </c>
      <c r="BA205" s="165">
        <f t="shared" si="390"/>
        <v>6.4950000000000001</v>
      </c>
      <c r="BB205" s="165">
        <f>BA205</f>
        <v>6.4950000000000001</v>
      </c>
    </row>
    <row r="206" spans="2:62">
      <c r="B206" s="161" t="s">
        <v>77</v>
      </c>
      <c r="C206" s="73" t="s">
        <v>269</v>
      </c>
      <c r="D206" s="31"/>
      <c r="E206" s="30"/>
      <c r="F206" s="31"/>
      <c r="G206" s="31"/>
      <c r="H206" s="30"/>
      <c r="I206" s="31"/>
      <c r="J206" s="31"/>
      <c r="K206" s="30"/>
      <c r="L206" s="171"/>
      <c r="M206" s="171"/>
      <c r="N206" s="165"/>
      <c r="O206" s="171"/>
      <c r="P206" s="171"/>
      <c r="Q206" s="165"/>
      <c r="R206" s="171"/>
      <c r="S206" s="171"/>
      <c r="T206" s="165"/>
      <c r="U206" s="171"/>
      <c r="V206" s="171"/>
      <c r="W206" s="165">
        <f>X206</f>
        <v>-3.26</v>
      </c>
      <c r="X206" s="171">
        <v>-3.26</v>
      </c>
      <c r="Y206" s="171">
        <v>0.79900000000000004</v>
      </c>
      <c r="Z206" s="165">
        <f>AA206</f>
        <v>8.7070000000000007</v>
      </c>
      <c r="AA206" s="473">
        <v>8.7070000000000007</v>
      </c>
      <c r="AB206" s="171">
        <v>2.4809999999999999</v>
      </c>
      <c r="AC206" s="165">
        <f>AD206</f>
        <v>5.1029999999999998</v>
      </c>
      <c r="AD206" s="171">
        <v>5.1029999999999998</v>
      </c>
      <c r="AE206" s="171">
        <v>2.452</v>
      </c>
      <c r="AF206" s="165">
        <f>AG206</f>
        <v>4.1100000000000003</v>
      </c>
      <c r="AG206" s="171">
        <v>4.1100000000000003</v>
      </c>
      <c r="AH206" s="171">
        <v>0.75900000000000001</v>
      </c>
      <c r="AI206" s="165">
        <f>AJ206</f>
        <v>3.1579999999999999</v>
      </c>
      <c r="AJ206" s="171">
        <v>3.1579999999999999</v>
      </c>
      <c r="AK206" s="171">
        <v>8.1839999999999993</v>
      </c>
      <c r="AL206" s="165">
        <f>AM206</f>
        <v>1.0509999999999999</v>
      </c>
      <c r="AM206" s="425">
        <v>1.0509999999999999</v>
      </c>
      <c r="AN206" s="580">
        <v>1.861</v>
      </c>
      <c r="AO206" s="165">
        <f t="shared" si="386"/>
        <v>1.861</v>
      </c>
      <c r="AP206" s="165">
        <f>AO206</f>
        <v>1.861</v>
      </c>
      <c r="AQ206" s="165">
        <f t="shared" si="387"/>
        <v>1.861</v>
      </c>
      <c r="AR206" s="165">
        <f t="shared" si="387"/>
        <v>1.861</v>
      </c>
      <c r="AS206" s="165">
        <f>AR206</f>
        <v>1.861</v>
      </c>
      <c r="AT206" s="165">
        <f t="shared" si="388"/>
        <v>1.861</v>
      </c>
      <c r="AU206" s="165">
        <f t="shared" si="388"/>
        <v>1.861</v>
      </c>
      <c r="AV206" s="165">
        <f>AU206</f>
        <v>1.861</v>
      </c>
      <c r="AW206" s="165">
        <f t="shared" si="389"/>
        <v>1.861</v>
      </c>
      <c r="AX206" s="165">
        <f t="shared" si="389"/>
        <v>1.861</v>
      </c>
      <c r="AY206" s="165">
        <f>AX206</f>
        <v>1.861</v>
      </c>
      <c r="AZ206" s="165">
        <f t="shared" si="390"/>
        <v>1.861</v>
      </c>
      <c r="BA206" s="165">
        <f t="shared" si="390"/>
        <v>1.861</v>
      </c>
      <c r="BB206" s="165">
        <f>BA206</f>
        <v>1.861</v>
      </c>
    </row>
    <row r="207" spans="2:62">
      <c r="B207" s="161" t="s">
        <v>493</v>
      </c>
      <c r="C207" s="73" t="s">
        <v>269</v>
      </c>
      <c r="D207" s="31"/>
      <c r="E207" s="30"/>
      <c r="F207" s="31"/>
      <c r="G207" s="31"/>
      <c r="H207" s="30"/>
      <c r="I207" s="31"/>
      <c r="J207" s="102"/>
      <c r="K207" s="30"/>
      <c r="L207" s="171"/>
      <c r="M207" s="171"/>
      <c r="N207" s="165"/>
      <c r="O207" s="171"/>
      <c r="P207" s="171"/>
      <c r="Q207" s="165"/>
      <c r="R207" s="171"/>
      <c r="S207" s="171"/>
      <c r="T207" s="165"/>
      <c r="U207" s="171"/>
      <c r="V207" s="171"/>
      <c r="W207" s="165">
        <f>X207</f>
        <v>35.07</v>
      </c>
      <c r="X207" s="171">
        <f>24.496+10.574</f>
        <v>35.07</v>
      </c>
      <c r="Y207" s="171">
        <v>10.977</v>
      </c>
      <c r="Z207" s="165">
        <f>AA207</f>
        <v>26.103999999999999</v>
      </c>
      <c r="AA207" s="473">
        <v>26.103999999999999</v>
      </c>
      <c r="AB207" s="171">
        <v>16.391999999999999</v>
      </c>
      <c r="AC207" s="165">
        <f>AD207</f>
        <v>16.067</v>
      </c>
      <c r="AD207" s="171">
        <v>16.067</v>
      </c>
      <c r="AE207" s="171">
        <v>14.88</v>
      </c>
      <c r="AF207" s="165">
        <f>AG207</f>
        <v>15.459</v>
      </c>
      <c r="AG207" s="171">
        <v>15.459</v>
      </c>
      <c r="AH207" s="171">
        <v>16.550999999999998</v>
      </c>
      <c r="AI207" s="165">
        <f>AJ207</f>
        <v>20.768999999999998</v>
      </c>
      <c r="AJ207" s="171">
        <v>20.768999999999998</v>
      </c>
      <c r="AK207" s="171">
        <v>20.138000000000002</v>
      </c>
      <c r="AL207" s="165">
        <f>AM207</f>
        <v>19.841999999999999</v>
      </c>
      <c r="AM207" s="425">
        <v>19.841999999999999</v>
      </c>
      <c r="AN207" s="580">
        <v>21.89</v>
      </c>
      <c r="AO207" s="165">
        <f t="shared" si="386"/>
        <v>21.89</v>
      </c>
      <c r="AP207" s="165">
        <f>AO207</f>
        <v>21.89</v>
      </c>
      <c r="AQ207" s="165">
        <f t="shared" si="387"/>
        <v>21.89</v>
      </c>
      <c r="AR207" s="165">
        <f t="shared" si="387"/>
        <v>21.89</v>
      </c>
      <c r="AS207" s="165">
        <f>AR207</f>
        <v>21.89</v>
      </c>
      <c r="AT207" s="165">
        <f t="shared" si="388"/>
        <v>21.89</v>
      </c>
      <c r="AU207" s="165">
        <f t="shared" si="388"/>
        <v>21.89</v>
      </c>
      <c r="AV207" s="165">
        <f>AU207</f>
        <v>21.89</v>
      </c>
      <c r="AW207" s="165">
        <f t="shared" si="389"/>
        <v>21.89</v>
      </c>
      <c r="AX207" s="165">
        <f t="shared" si="389"/>
        <v>21.89</v>
      </c>
      <c r="AY207" s="165">
        <f>AX207</f>
        <v>21.89</v>
      </c>
      <c r="AZ207" s="165">
        <f t="shared" si="390"/>
        <v>21.89</v>
      </c>
      <c r="BA207" s="165">
        <f t="shared" si="390"/>
        <v>21.89</v>
      </c>
      <c r="BB207" s="165">
        <f>BA207</f>
        <v>21.89</v>
      </c>
    </row>
    <row r="208" spans="2:62" s="14" customFormat="1">
      <c r="B208" s="14" t="s">
        <v>83</v>
      </c>
      <c r="C208" s="76" t="s">
        <v>269</v>
      </c>
      <c r="D208" s="28"/>
      <c r="E208" s="28"/>
      <c r="F208" s="28"/>
      <c r="G208" s="28"/>
      <c r="H208" s="28"/>
      <c r="I208" s="28"/>
      <c r="J208" s="28"/>
      <c r="K208" s="28"/>
      <c r="L208" s="166"/>
      <c r="M208" s="166"/>
      <c r="N208" s="166"/>
      <c r="O208" s="166"/>
      <c r="P208" s="166"/>
      <c r="Q208" s="166"/>
      <c r="R208" s="166"/>
      <c r="S208" s="166"/>
      <c r="T208" s="166"/>
      <c r="U208" s="166"/>
      <c r="V208" s="166"/>
      <c r="W208" s="166">
        <f t="shared" ref="W208:AA208" si="391">SUM(W203:W207)</f>
        <v>159.37899999999999</v>
      </c>
      <c r="X208" s="166">
        <f t="shared" si="391"/>
        <v>159.37899999999999</v>
      </c>
      <c r="Y208" s="166">
        <f t="shared" si="391"/>
        <v>171.434</v>
      </c>
      <c r="Z208" s="166">
        <f t="shared" si="391"/>
        <v>223.846</v>
      </c>
      <c r="AA208" s="466">
        <f t="shared" si="391"/>
        <v>223.846</v>
      </c>
      <c r="AB208" s="166">
        <f t="shared" ref="AB208:AJ208" si="392">SUM(AB203:AB207)</f>
        <v>212.80099999999999</v>
      </c>
      <c r="AC208" s="166">
        <f t="shared" ref="AC208:AE208" si="393">SUM(AC203:AC207)</f>
        <v>200.75</v>
      </c>
      <c r="AD208" s="166">
        <f t="shared" si="393"/>
        <v>200.75</v>
      </c>
      <c r="AE208" s="166">
        <f t="shared" si="393"/>
        <v>194.99799999999999</v>
      </c>
      <c r="AF208" s="166">
        <f t="shared" ref="AF208:AG208" si="394">SUM(AF203:AF207)</f>
        <v>194.429</v>
      </c>
      <c r="AG208" s="166">
        <f t="shared" si="394"/>
        <v>194.429</v>
      </c>
      <c r="AH208" s="531">
        <f t="shared" si="392"/>
        <v>196.19799999999998</v>
      </c>
      <c r="AI208" s="166">
        <f t="shared" si="392"/>
        <v>209.76399999999998</v>
      </c>
      <c r="AJ208" s="166">
        <f t="shared" si="392"/>
        <v>209.76399999999998</v>
      </c>
      <c r="AK208" s="531">
        <f t="shared" ref="AK208:AM208" si="395">SUM(AK203:AK207)</f>
        <v>214.21299999999999</v>
      </c>
      <c r="AL208" s="166">
        <f t="shared" si="395"/>
        <v>216.22899999999998</v>
      </c>
      <c r="AM208" s="430">
        <f t="shared" si="395"/>
        <v>216.22899999999998</v>
      </c>
      <c r="AN208" s="605">
        <f t="shared" ref="AN208" si="396">SUM(AN203:AN207)</f>
        <v>236.24599999999998</v>
      </c>
      <c r="AO208" s="166">
        <f t="shared" ref="AO208:BB208" si="397">SUM(AO203:AO207)</f>
        <v>228.30999257149784</v>
      </c>
      <c r="AP208" s="166">
        <f t="shared" si="397"/>
        <v>228.30999257149784</v>
      </c>
      <c r="AQ208" s="166">
        <f t="shared" si="397"/>
        <v>224.30713396379923</v>
      </c>
      <c r="AR208" s="166">
        <f t="shared" si="397"/>
        <v>239.11512216488268</v>
      </c>
      <c r="AS208" s="166">
        <f t="shared" si="397"/>
        <v>239.11512216488268</v>
      </c>
      <c r="AT208" s="166">
        <f t="shared" si="397"/>
        <v>236.0156880342721</v>
      </c>
      <c r="AU208" s="166">
        <f t="shared" si="397"/>
        <v>250.23259389266053</v>
      </c>
      <c r="AV208" s="166">
        <f t="shared" si="397"/>
        <v>250.23259389266053</v>
      </c>
      <c r="AW208" s="166">
        <f t="shared" si="397"/>
        <v>244.29231840451564</v>
      </c>
      <c r="AX208" s="166">
        <f t="shared" si="397"/>
        <v>259.11351211004353</v>
      </c>
      <c r="AY208" s="166">
        <f t="shared" si="397"/>
        <v>259.11351211004353</v>
      </c>
      <c r="AZ208" s="166">
        <f t="shared" si="397"/>
        <v>252.24601438785936</v>
      </c>
      <c r="BA208" s="166">
        <f t="shared" si="397"/>
        <v>267.86860996868006</v>
      </c>
      <c r="BB208" s="166">
        <f t="shared" si="397"/>
        <v>267.86860996868006</v>
      </c>
      <c r="BE208"/>
      <c r="BF208"/>
      <c r="BG208"/>
      <c r="BH208"/>
      <c r="BI208"/>
      <c r="BJ208"/>
    </row>
    <row r="209" spans="2:62">
      <c r="L209" s="165"/>
      <c r="M209" s="165"/>
      <c r="N209" s="165"/>
      <c r="O209" s="165"/>
      <c r="P209" s="165"/>
      <c r="Q209" s="165"/>
      <c r="R209" s="165"/>
      <c r="S209" s="165"/>
      <c r="T209" s="165"/>
      <c r="U209" s="165"/>
      <c r="V209" s="165"/>
      <c r="W209" s="165"/>
      <c r="X209" s="165"/>
      <c r="Y209" s="165"/>
      <c r="Z209" s="165"/>
      <c r="AB209" s="165"/>
      <c r="AC209" s="165"/>
      <c r="AD209" s="165"/>
      <c r="AE209" s="165"/>
      <c r="AF209" s="165"/>
      <c r="AG209" s="165"/>
      <c r="AH209" s="165"/>
      <c r="AI209" s="165"/>
      <c r="AJ209" s="165"/>
      <c r="AK209" s="165"/>
      <c r="AL209" s="165"/>
      <c r="AM209" s="428"/>
      <c r="AN209" s="577"/>
      <c r="AO209" s="165"/>
      <c r="AP209" s="165"/>
      <c r="AQ209" s="165"/>
      <c r="AR209" s="165"/>
      <c r="AS209" s="165"/>
      <c r="AT209" s="165"/>
      <c r="AU209" s="165"/>
      <c r="AV209" s="165"/>
      <c r="AW209" s="165"/>
      <c r="AX209" s="165"/>
      <c r="AY209" s="165"/>
      <c r="AZ209" s="165"/>
      <c r="BA209" s="165"/>
      <c r="BB209" s="165"/>
    </row>
    <row r="210" spans="2:62">
      <c r="B210" s="14" t="s">
        <v>192</v>
      </c>
      <c r="J210" s="30"/>
      <c r="L210" s="165"/>
      <c r="M210" s="165"/>
      <c r="N210" s="165"/>
      <c r="O210" s="165"/>
      <c r="P210" s="165"/>
      <c r="Q210" s="165"/>
      <c r="R210" s="165"/>
      <c r="S210" s="165"/>
      <c r="T210" s="165"/>
      <c r="U210" s="165"/>
      <c r="V210" s="165"/>
      <c r="W210" s="165"/>
      <c r="X210" s="165"/>
      <c r="Y210" s="165"/>
      <c r="Z210" s="165"/>
      <c r="AB210" s="165"/>
      <c r="AC210" s="165"/>
      <c r="AD210" s="165"/>
      <c r="AE210" s="165"/>
      <c r="AF210" s="165"/>
      <c r="AG210" s="165"/>
      <c r="AH210" s="165"/>
      <c r="AI210" s="165"/>
      <c r="AJ210" s="165"/>
      <c r="AK210" s="165"/>
      <c r="AL210" s="165"/>
      <c r="AM210" s="428"/>
      <c r="AN210" s="577"/>
      <c r="AO210" s="165"/>
      <c r="AP210" s="165"/>
      <c r="AQ210" s="165"/>
      <c r="AR210" s="165"/>
      <c r="AS210" s="165"/>
      <c r="AT210" s="165"/>
      <c r="AU210" s="165"/>
      <c r="AV210" s="165"/>
      <c r="AW210" s="165"/>
      <c r="AX210" s="165"/>
      <c r="AY210" s="165"/>
      <c r="AZ210" s="165"/>
      <c r="BA210" s="165"/>
      <c r="BB210" s="165"/>
    </row>
    <row r="211" spans="2:62">
      <c r="B211" s="161" t="s">
        <v>132</v>
      </c>
      <c r="C211" s="73" t="s">
        <v>269</v>
      </c>
      <c r="D211" s="31"/>
      <c r="E211" s="30"/>
      <c r="F211" s="31"/>
      <c r="G211" s="31"/>
      <c r="H211" s="30"/>
      <c r="I211" s="31"/>
      <c r="J211" s="31"/>
      <c r="K211" s="30"/>
      <c r="L211" s="171"/>
      <c r="M211" s="171"/>
      <c r="N211" s="165"/>
      <c r="O211" s="171"/>
      <c r="P211" s="171"/>
      <c r="Q211" s="165"/>
      <c r="R211" s="171"/>
      <c r="S211" s="171"/>
      <c r="T211" s="165"/>
      <c r="U211" s="171"/>
      <c r="V211" s="165"/>
      <c r="W211" s="165">
        <f>X211</f>
        <v>265.18099999999998</v>
      </c>
      <c r="X211" s="171">
        <v>265.18099999999998</v>
      </c>
      <c r="Y211" s="171">
        <v>204.77099999999999</v>
      </c>
      <c r="Z211" s="165">
        <f>AA211</f>
        <v>151.75</v>
      </c>
      <c r="AA211" s="473">
        <v>151.75</v>
      </c>
      <c r="AB211" s="171">
        <v>571.73299999999995</v>
      </c>
      <c r="AC211" s="165">
        <f>AD211</f>
        <v>578.73699999999997</v>
      </c>
      <c r="AD211" s="171">
        <v>578.73699999999997</v>
      </c>
      <c r="AE211" s="171">
        <v>566.64499999999998</v>
      </c>
      <c r="AF211" s="165">
        <f>AG211</f>
        <v>450.16500000000002</v>
      </c>
      <c r="AG211" s="171">
        <v>450.16500000000002</v>
      </c>
      <c r="AH211" s="171">
        <v>418.73399999999998</v>
      </c>
      <c r="AI211" s="165">
        <f>AJ211</f>
        <v>438.327</v>
      </c>
      <c r="AJ211" s="171">
        <v>438.327</v>
      </c>
      <c r="AK211" s="171">
        <v>401.07600000000002</v>
      </c>
      <c r="AL211" s="165">
        <f>AM211</f>
        <v>354.80700000000002</v>
      </c>
      <c r="AM211" s="425">
        <v>354.80700000000002</v>
      </c>
      <c r="AN211" s="580">
        <v>334.43299999999999</v>
      </c>
      <c r="AO211" s="165">
        <f>AN211+AO134-(AO204-AN204)</f>
        <v>293.56102271626401</v>
      </c>
      <c r="AP211" s="165">
        <f>AO211</f>
        <v>293.56102271626401</v>
      </c>
      <c r="AQ211" s="165">
        <f>AP211+AQ134-(AQ204-AP204)</f>
        <v>302.0353783442356</v>
      </c>
      <c r="AR211" s="165">
        <f>AQ211+AR134-(AR204-AQ204)</f>
        <v>233.23429161729086</v>
      </c>
      <c r="AS211" s="165">
        <f>AR211</f>
        <v>233.23429161729086</v>
      </c>
      <c r="AT211" s="165">
        <f>AS211+AT134-(AT204-AS204)</f>
        <v>249.23006454165736</v>
      </c>
      <c r="AU211" s="165">
        <f>AT211+AU134-(AU204-AT204)</f>
        <v>174.53744293255016</v>
      </c>
      <c r="AV211" s="165">
        <f>AU211</f>
        <v>174.53744293255016</v>
      </c>
      <c r="AW211" s="165">
        <f>AV211+AW134-(AW204-AV204)</f>
        <v>200.7003671750432</v>
      </c>
      <c r="AX211" s="165">
        <f>AW211+AX134-(AX204-AW204)</f>
        <v>132.49644012029069</v>
      </c>
      <c r="AY211" s="165">
        <f>AX211</f>
        <v>132.49644012029069</v>
      </c>
      <c r="AZ211" s="165">
        <f>AY211+AZ134-(AZ204-AY204)</f>
        <v>154.19471934187212</v>
      </c>
      <c r="BA211" s="165">
        <f>AZ211+BA134-(BA204-AZ204)</f>
        <v>81.26035661507818</v>
      </c>
      <c r="BB211" s="165">
        <f>BA211</f>
        <v>81.26035661507818</v>
      </c>
    </row>
    <row r="212" spans="2:62">
      <c r="B212" s="161" t="s">
        <v>386</v>
      </c>
      <c r="C212" s="73" t="s">
        <v>269</v>
      </c>
      <c r="D212" s="31"/>
      <c r="E212" s="30"/>
      <c r="F212" s="31"/>
      <c r="G212" s="31"/>
      <c r="H212" s="30"/>
      <c r="I212" s="31"/>
      <c r="J212" s="31"/>
      <c r="K212" s="30"/>
      <c r="L212" s="171"/>
      <c r="M212" s="171"/>
      <c r="N212" s="165"/>
      <c r="O212" s="171"/>
      <c r="P212" s="171"/>
      <c r="Q212" s="165"/>
      <c r="R212" s="171"/>
      <c r="S212" s="171"/>
      <c r="T212" s="165"/>
      <c r="U212" s="171"/>
      <c r="V212" s="165"/>
      <c r="W212" s="165">
        <f>X212</f>
        <v>4.6130000000000004</v>
      </c>
      <c r="X212" s="171">
        <v>4.6130000000000004</v>
      </c>
      <c r="Y212" s="171">
        <v>5.1660000000000004</v>
      </c>
      <c r="Z212" s="165">
        <f>AA212</f>
        <v>5.0869999999999997</v>
      </c>
      <c r="AA212" s="473">
        <v>5.0869999999999997</v>
      </c>
      <c r="AB212" s="171">
        <v>5.3029999999999999</v>
      </c>
      <c r="AC212" s="165">
        <f>AD212</f>
        <v>4.8650000000000002</v>
      </c>
      <c r="AD212" s="171">
        <v>4.8650000000000002</v>
      </c>
      <c r="AE212" s="171">
        <v>4.7249999999999996</v>
      </c>
      <c r="AF212" s="165">
        <f>AG212</f>
        <v>4.5030000000000001</v>
      </c>
      <c r="AG212" s="171">
        <v>4.5030000000000001</v>
      </c>
      <c r="AH212" s="171">
        <v>4.117</v>
      </c>
      <c r="AI212" s="165">
        <f>AJ212</f>
        <v>4.5670000000000002</v>
      </c>
      <c r="AJ212" s="171">
        <v>4.5670000000000002</v>
      </c>
      <c r="AK212" s="171">
        <v>4.2939999999999996</v>
      </c>
      <c r="AL212" s="165">
        <f>AM212</f>
        <v>4.5330000000000004</v>
      </c>
      <c r="AM212" s="425">
        <v>4.5330000000000004</v>
      </c>
      <c r="AN212" s="580">
        <v>4.0410000000000004</v>
      </c>
      <c r="AO212" s="165">
        <f t="shared" ref="AO212:AO214" si="398">AN212</f>
        <v>4.0410000000000004</v>
      </c>
      <c r="AP212" s="165">
        <f>AO212</f>
        <v>4.0410000000000004</v>
      </c>
      <c r="AQ212" s="165">
        <f t="shared" ref="AQ212:AR214" si="399">AP212</f>
        <v>4.0410000000000004</v>
      </c>
      <c r="AR212" s="165">
        <f t="shared" si="399"/>
        <v>4.0410000000000004</v>
      </c>
      <c r="AS212" s="165">
        <f>AR212</f>
        <v>4.0410000000000004</v>
      </c>
      <c r="AT212" s="165">
        <f t="shared" ref="AT212:AU214" si="400">AS212</f>
        <v>4.0410000000000004</v>
      </c>
      <c r="AU212" s="165">
        <f t="shared" si="400"/>
        <v>4.0410000000000004</v>
      </c>
      <c r="AV212" s="165">
        <f>AU212</f>
        <v>4.0410000000000004</v>
      </c>
      <c r="AW212" s="165">
        <f t="shared" ref="AW212:AX214" si="401">AV212</f>
        <v>4.0410000000000004</v>
      </c>
      <c r="AX212" s="165">
        <f t="shared" si="401"/>
        <v>4.0410000000000004</v>
      </c>
      <c r="AY212" s="165">
        <f>AX212</f>
        <v>4.0410000000000004</v>
      </c>
      <c r="AZ212" s="165">
        <f t="shared" ref="AZ212:BA214" si="402">AY212</f>
        <v>4.0410000000000004</v>
      </c>
      <c r="BA212" s="165">
        <f t="shared" si="402"/>
        <v>4.0410000000000004</v>
      </c>
      <c r="BB212" s="165">
        <f>BA212</f>
        <v>4.0410000000000004</v>
      </c>
    </row>
    <row r="213" spans="2:62">
      <c r="B213" s="161" t="s">
        <v>226</v>
      </c>
      <c r="C213" s="73" t="s">
        <v>269</v>
      </c>
      <c r="D213" s="31"/>
      <c r="E213" s="30"/>
      <c r="F213" s="31"/>
      <c r="G213" s="31"/>
      <c r="H213" s="30"/>
      <c r="I213" s="31"/>
      <c r="J213" s="31"/>
      <c r="K213" s="30"/>
      <c r="L213" s="171"/>
      <c r="M213" s="171"/>
      <c r="N213" s="165"/>
      <c r="O213" s="171"/>
      <c r="P213" s="171"/>
      <c r="Q213" s="165"/>
      <c r="R213" s="171"/>
      <c r="S213" s="171"/>
      <c r="T213" s="165"/>
      <c r="U213" s="171"/>
      <c r="V213" s="165"/>
      <c r="W213" s="165">
        <f>X213</f>
        <v>47.04</v>
      </c>
      <c r="X213" s="171">
        <v>47.04</v>
      </c>
      <c r="Y213" s="171">
        <v>45.365000000000002</v>
      </c>
      <c r="Z213" s="165">
        <f>AA213</f>
        <v>49.86</v>
      </c>
      <c r="AA213" s="473">
        <v>49.86</v>
      </c>
      <c r="AB213" s="171">
        <v>60.128999999999998</v>
      </c>
      <c r="AC213" s="165">
        <f>AD213</f>
        <v>70.394999999999996</v>
      </c>
      <c r="AD213" s="171">
        <v>70.394999999999996</v>
      </c>
      <c r="AE213" s="171">
        <v>83.587999999999994</v>
      </c>
      <c r="AF213" s="165">
        <f>AG213</f>
        <v>86.733999999999995</v>
      </c>
      <c r="AG213" s="171">
        <v>86.733999999999995</v>
      </c>
      <c r="AH213" s="171">
        <v>94.423000000000002</v>
      </c>
      <c r="AI213" s="165">
        <f>AJ213</f>
        <v>125.76300000000001</v>
      </c>
      <c r="AJ213" s="171">
        <v>125.76300000000001</v>
      </c>
      <c r="AK213" s="171">
        <v>126.61499999999999</v>
      </c>
      <c r="AL213" s="165">
        <f>AM213</f>
        <v>145.58000000000001</v>
      </c>
      <c r="AM213" s="425">
        <v>145.58000000000001</v>
      </c>
      <c r="AN213" s="580">
        <v>150.821</v>
      </c>
      <c r="AO213" s="165">
        <f t="shared" si="398"/>
        <v>150.821</v>
      </c>
      <c r="AP213" s="165">
        <f>AO213</f>
        <v>150.821</v>
      </c>
      <c r="AQ213" s="165">
        <f t="shared" si="399"/>
        <v>150.821</v>
      </c>
      <c r="AR213" s="165">
        <f t="shared" si="399"/>
        <v>150.821</v>
      </c>
      <c r="AS213" s="165">
        <f>AR213</f>
        <v>150.821</v>
      </c>
      <c r="AT213" s="165">
        <f t="shared" si="400"/>
        <v>150.821</v>
      </c>
      <c r="AU213" s="165">
        <f t="shared" si="400"/>
        <v>150.821</v>
      </c>
      <c r="AV213" s="165">
        <f>AU213</f>
        <v>150.821</v>
      </c>
      <c r="AW213" s="165">
        <f t="shared" si="401"/>
        <v>150.821</v>
      </c>
      <c r="AX213" s="165">
        <f t="shared" si="401"/>
        <v>150.821</v>
      </c>
      <c r="AY213" s="165">
        <f>AX213</f>
        <v>150.821</v>
      </c>
      <c r="AZ213" s="165">
        <f t="shared" si="402"/>
        <v>150.821</v>
      </c>
      <c r="BA213" s="165">
        <f t="shared" si="402"/>
        <v>150.821</v>
      </c>
      <c r="BB213" s="165">
        <f>BA213</f>
        <v>150.821</v>
      </c>
    </row>
    <row r="214" spans="2:62">
      <c r="B214" s="161" t="s">
        <v>217</v>
      </c>
      <c r="C214" s="73" t="s">
        <v>269</v>
      </c>
      <c r="D214" s="31"/>
      <c r="E214" s="30"/>
      <c r="F214" s="90"/>
      <c r="G214" s="31"/>
      <c r="H214" s="30"/>
      <c r="I214" s="31"/>
      <c r="J214" s="31"/>
      <c r="K214" s="30"/>
      <c r="L214" s="171"/>
      <c r="M214" s="171"/>
      <c r="N214" s="165"/>
      <c r="O214" s="165"/>
      <c r="P214" s="171"/>
      <c r="Q214" s="165"/>
      <c r="R214" s="165"/>
      <c r="S214" s="171"/>
      <c r="T214" s="165"/>
      <c r="U214" s="165"/>
      <c r="V214" s="171"/>
      <c r="W214" s="165">
        <f>+X214</f>
        <v>64.494</v>
      </c>
      <c r="X214" s="171">
        <v>64.494</v>
      </c>
      <c r="Y214" s="171">
        <v>65.775000000000006</v>
      </c>
      <c r="Z214" s="165">
        <f>+AA214</f>
        <v>51.316000000000003</v>
      </c>
      <c r="AA214" s="473">
        <v>51.316000000000003</v>
      </c>
      <c r="AB214" s="171">
        <v>107.773</v>
      </c>
      <c r="AC214" s="165">
        <f>+AD214</f>
        <v>100.64700000000001</v>
      </c>
      <c r="AD214" s="171">
        <v>100.64700000000001</v>
      </c>
      <c r="AE214" s="171">
        <v>91.965999999999994</v>
      </c>
      <c r="AF214" s="165">
        <f>+AG214</f>
        <v>91.396000000000001</v>
      </c>
      <c r="AG214" s="171">
        <v>91.396000000000001</v>
      </c>
      <c r="AH214" s="171">
        <v>86.763000000000005</v>
      </c>
      <c r="AI214" s="165">
        <f>+AJ214</f>
        <v>101.71</v>
      </c>
      <c r="AJ214" s="171">
        <v>101.71</v>
      </c>
      <c r="AK214" s="171">
        <v>93.513000000000005</v>
      </c>
      <c r="AL214" s="165">
        <f>+AM214</f>
        <v>87.912999999999997</v>
      </c>
      <c r="AM214" s="425">
        <v>87.912999999999997</v>
      </c>
      <c r="AN214" s="580">
        <v>94.849000000000004</v>
      </c>
      <c r="AO214" s="165">
        <f t="shared" si="398"/>
        <v>94.849000000000004</v>
      </c>
      <c r="AP214" s="165">
        <f>AO214</f>
        <v>94.849000000000004</v>
      </c>
      <c r="AQ214" s="165">
        <f t="shared" si="399"/>
        <v>94.849000000000004</v>
      </c>
      <c r="AR214" s="165">
        <f t="shared" si="399"/>
        <v>94.849000000000004</v>
      </c>
      <c r="AS214" s="165">
        <f>AR214</f>
        <v>94.849000000000004</v>
      </c>
      <c r="AT214" s="165">
        <f t="shared" si="400"/>
        <v>94.849000000000004</v>
      </c>
      <c r="AU214" s="165">
        <f t="shared" si="400"/>
        <v>94.849000000000004</v>
      </c>
      <c r="AV214" s="165">
        <f>AU214</f>
        <v>94.849000000000004</v>
      </c>
      <c r="AW214" s="165">
        <f t="shared" si="401"/>
        <v>94.849000000000004</v>
      </c>
      <c r="AX214" s="165">
        <f t="shared" si="401"/>
        <v>94.849000000000004</v>
      </c>
      <c r="AY214" s="165">
        <f>AX214</f>
        <v>94.849000000000004</v>
      </c>
      <c r="AZ214" s="165">
        <f t="shared" si="402"/>
        <v>94.849000000000004</v>
      </c>
      <c r="BA214" s="165">
        <f t="shared" si="402"/>
        <v>94.849000000000004</v>
      </c>
      <c r="BB214" s="165">
        <f>BA214</f>
        <v>94.849000000000004</v>
      </c>
    </row>
    <row r="215" spans="2:62" s="14" customFormat="1">
      <c r="B215" s="14" t="s">
        <v>227</v>
      </c>
      <c r="C215" s="76" t="s">
        <v>269</v>
      </c>
      <c r="D215" s="28"/>
      <c r="E215" s="28"/>
      <c r="F215" s="28"/>
      <c r="G215" s="28"/>
      <c r="H215" s="28"/>
      <c r="I215" s="28"/>
      <c r="J215" s="28"/>
      <c r="K215" s="28"/>
      <c r="L215" s="166"/>
      <c r="M215" s="166"/>
      <c r="N215" s="166"/>
      <c r="O215" s="166"/>
      <c r="P215" s="166"/>
      <c r="Q215" s="166"/>
      <c r="R215" s="166"/>
      <c r="S215" s="166"/>
      <c r="T215" s="166"/>
      <c r="U215" s="166"/>
      <c r="V215" s="166"/>
      <c r="W215" s="166">
        <f t="shared" ref="W215:AA215" si="403">SUM(W211:W214)</f>
        <v>381.32799999999997</v>
      </c>
      <c r="X215" s="166">
        <f t="shared" si="403"/>
        <v>381.32799999999997</v>
      </c>
      <c r="Y215" s="166">
        <f t="shared" si="403"/>
        <v>321.077</v>
      </c>
      <c r="Z215" s="166">
        <f t="shared" si="403"/>
        <v>258.01300000000003</v>
      </c>
      <c r="AA215" s="466">
        <f t="shared" si="403"/>
        <v>258.01300000000003</v>
      </c>
      <c r="AB215" s="166">
        <f t="shared" ref="AB215:AJ215" si="404">SUM(AB211:AB214)</f>
        <v>744.93799999999999</v>
      </c>
      <c r="AC215" s="166">
        <f t="shared" ref="AC215:AE215" si="405">SUM(AC211:AC214)</f>
        <v>754.64400000000001</v>
      </c>
      <c r="AD215" s="166">
        <f t="shared" si="405"/>
        <v>754.64400000000001</v>
      </c>
      <c r="AE215" s="166">
        <f t="shared" si="405"/>
        <v>746.92399999999998</v>
      </c>
      <c r="AF215" s="166">
        <f t="shared" ref="AF215:AG215" si="406">SUM(AF211:AF214)</f>
        <v>632.798</v>
      </c>
      <c r="AG215" s="166">
        <f t="shared" si="406"/>
        <v>632.798</v>
      </c>
      <c r="AH215" s="166">
        <f t="shared" si="404"/>
        <v>604.03700000000003</v>
      </c>
      <c r="AI215" s="166">
        <f t="shared" si="404"/>
        <v>670.36700000000008</v>
      </c>
      <c r="AJ215" s="166">
        <f t="shared" si="404"/>
        <v>670.36700000000008</v>
      </c>
      <c r="AK215" s="166">
        <f t="shared" ref="AK215:AM215" si="407">SUM(AK211:AK214)</f>
        <v>625.49800000000005</v>
      </c>
      <c r="AL215" s="166">
        <f t="shared" si="407"/>
        <v>592.83300000000008</v>
      </c>
      <c r="AM215" s="430">
        <f t="shared" si="407"/>
        <v>592.83300000000008</v>
      </c>
      <c r="AN215" s="578">
        <f t="shared" ref="AN215" si="408">SUM(AN211:AN214)</f>
        <v>584.14400000000001</v>
      </c>
      <c r="AO215" s="166">
        <f t="shared" ref="AO215:BB215" si="409">SUM(AO211:AO214)</f>
        <v>543.27202271626402</v>
      </c>
      <c r="AP215" s="166">
        <f t="shared" si="409"/>
        <v>543.27202271626402</v>
      </c>
      <c r="AQ215" s="166">
        <f t="shared" si="409"/>
        <v>551.74637834423561</v>
      </c>
      <c r="AR215" s="166">
        <f t="shared" si="409"/>
        <v>482.94529161729082</v>
      </c>
      <c r="AS215" s="166">
        <f t="shared" si="409"/>
        <v>482.94529161729082</v>
      </c>
      <c r="AT215" s="166">
        <f t="shared" si="409"/>
        <v>498.94106454165734</v>
      </c>
      <c r="AU215" s="166">
        <f t="shared" si="409"/>
        <v>424.24844293255018</v>
      </c>
      <c r="AV215" s="166">
        <f t="shared" si="409"/>
        <v>424.24844293255018</v>
      </c>
      <c r="AW215" s="166">
        <f t="shared" si="409"/>
        <v>450.41136717504315</v>
      </c>
      <c r="AX215" s="166">
        <f t="shared" si="409"/>
        <v>382.20744012029064</v>
      </c>
      <c r="AY215" s="166">
        <f t="shared" si="409"/>
        <v>382.20744012029064</v>
      </c>
      <c r="AZ215" s="166">
        <f t="shared" si="409"/>
        <v>403.9057193418721</v>
      </c>
      <c r="BA215" s="166">
        <f t="shared" si="409"/>
        <v>330.97135661507815</v>
      </c>
      <c r="BB215" s="166">
        <f t="shared" si="409"/>
        <v>330.97135661507815</v>
      </c>
      <c r="BE215"/>
      <c r="BF215"/>
      <c r="BG215"/>
      <c r="BH215"/>
      <c r="BI215"/>
      <c r="BJ215"/>
    </row>
    <row r="216" spans="2:62">
      <c r="L216" s="165"/>
      <c r="M216" s="165"/>
      <c r="N216" s="165"/>
      <c r="O216" s="165"/>
      <c r="P216" s="165"/>
      <c r="Q216" s="165"/>
      <c r="R216" s="165"/>
      <c r="S216" s="165"/>
      <c r="T216" s="165"/>
      <c r="U216" s="165"/>
      <c r="V216" s="165"/>
      <c r="W216" s="165"/>
      <c r="X216" s="165"/>
      <c r="Y216" s="165"/>
      <c r="Z216" s="165"/>
      <c r="AB216" s="165"/>
      <c r="AC216" s="165"/>
      <c r="AD216" s="165"/>
      <c r="AE216" s="165"/>
      <c r="AF216" s="165"/>
      <c r="AG216" s="165"/>
      <c r="AH216" s="165"/>
      <c r="AI216" s="165"/>
      <c r="AJ216" s="165"/>
      <c r="AK216" s="165"/>
      <c r="AL216" s="165"/>
      <c r="AM216" s="428"/>
      <c r="AN216" s="577"/>
      <c r="AO216" s="165"/>
      <c r="AP216" s="165"/>
      <c r="AQ216" s="165"/>
      <c r="AR216" s="165"/>
      <c r="AS216" s="165"/>
      <c r="AT216" s="165"/>
      <c r="AU216" s="165"/>
      <c r="AV216" s="165"/>
      <c r="AW216" s="165"/>
      <c r="AX216" s="165"/>
      <c r="AY216" s="165"/>
      <c r="AZ216" s="165"/>
      <c r="BA216" s="165"/>
      <c r="BB216" s="165"/>
    </row>
    <row r="217" spans="2:62" s="14" customFormat="1" ht="13.8" thickBot="1">
      <c r="B217" s="100" t="s">
        <v>112</v>
      </c>
      <c r="C217" s="100"/>
      <c r="D217" s="54"/>
      <c r="E217" s="54"/>
      <c r="F217" s="54"/>
      <c r="G217" s="54"/>
      <c r="H217" s="54"/>
      <c r="I217" s="54"/>
      <c r="J217" s="54"/>
      <c r="K217" s="54"/>
      <c r="L217" s="194"/>
      <c r="M217" s="194"/>
      <c r="N217" s="194"/>
      <c r="O217" s="194"/>
      <c r="P217" s="194"/>
      <c r="Q217" s="194"/>
      <c r="R217" s="194"/>
      <c r="S217" s="194"/>
      <c r="T217" s="194"/>
      <c r="U217" s="194"/>
      <c r="V217" s="194"/>
      <c r="W217" s="194">
        <f t="shared" ref="W217:AA217" si="410">W215+W208</f>
        <v>540.70699999999999</v>
      </c>
      <c r="X217" s="194">
        <f t="shared" si="410"/>
        <v>540.70699999999999</v>
      </c>
      <c r="Y217" s="194">
        <f t="shared" si="410"/>
        <v>492.51099999999997</v>
      </c>
      <c r="Z217" s="194">
        <f t="shared" si="410"/>
        <v>481.85900000000004</v>
      </c>
      <c r="AA217" s="488">
        <f t="shared" si="410"/>
        <v>481.85900000000004</v>
      </c>
      <c r="AB217" s="194">
        <f t="shared" ref="AB217:AJ217" si="411">AB215+AB208</f>
        <v>957.73900000000003</v>
      </c>
      <c r="AC217" s="194">
        <f t="shared" si="411"/>
        <v>955.39400000000001</v>
      </c>
      <c r="AD217" s="194">
        <f t="shared" si="411"/>
        <v>955.39400000000001</v>
      </c>
      <c r="AE217" s="194">
        <f t="shared" ref="AE217:AG217" si="412">AE215+AE208</f>
        <v>941.92200000000003</v>
      </c>
      <c r="AF217" s="194">
        <f t="shared" si="412"/>
        <v>827.22699999999998</v>
      </c>
      <c r="AG217" s="194">
        <f t="shared" si="412"/>
        <v>827.22699999999998</v>
      </c>
      <c r="AH217" s="531">
        <f t="shared" si="411"/>
        <v>800.23500000000001</v>
      </c>
      <c r="AI217" s="194">
        <f t="shared" si="411"/>
        <v>880.13100000000009</v>
      </c>
      <c r="AJ217" s="194">
        <f t="shared" si="411"/>
        <v>880.13100000000009</v>
      </c>
      <c r="AK217" s="531">
        <f t="shared" ref="AK217:AM217" si="413">AK215+AK208</f>
        <v>839.71100000000001</v>
      </c>
      <c r="AL217" s="194">
        <f t="shared" si="413"/>
        <v>809.06200000000013</v>
      </c>
      <c r="AM217" s="562">
        <f t="shared" si="413"/>
        <v>809.06200000000013</v>
      </c>
      <c r="AN217" s="605">
        <f t="shared" ref="AN217" si="414">AN215+AN208</f>
        <v>820.39</v>
      </c>
      <c r="AO217" s="194">
        <f t="shared" ref="AO217:BB217" si="415">AO215+AO208</f>
        <v>771.58201528776181</v>
      </c>
      <c r="AP217" s="194">
        <f t="shared" si="415"/>
        <v>771.58201528776181</v>
      </c>
      <c r="AQ217" s="194">
        <f t="shared" si="415"/>
        <v>776.0535123080349</v>
      </c>
      <c r="AR217" s="194">
        <f t="shared" si="415"/>
        <v>722.06041378217355</v>
      </c>
      <c r="AS217" s="194">
        <f t="shared" si="415"/>
        <v>722.06041378217355</v>
      </c>
      <c r="AT217" s="194">
        <f t="shared" si="415"/>
        <v>734.95675257592939</v>
      </c>
      <c r="AU217" s="194">
        <f t="shared" si="415"/>
        <v>674.48103682521071</v>
      </c>
      <c r="AV217" s="194">
        <f t="shared" si="415"/>
        <v>674.48103682521071</v>
      </c>
      <c r="AW217" s="194">
        <f t="shared" si="415"/>
        <v>694.70368557955885</v>
      </c>
      <c r="AX217" s="194">
        <f t="shared" si="415"/>
        <v>641.32095223033411</v>
      </c>
      <c r="AY217" s="194">
        <f t="shared" si="415"/>
        <v>641.32095223033411</v>
      </c>
      <c r="AZ217" s="194">
        <f t="shared" si="415"/>
        <v>656.1517337297314</v>
      </c>
      <c r="BA217" s="194">
        <f t="shared" si="415"/>
        <v>598.83996658375827</v>
      </c>
      <c r="BB217" s="194">
        <f t="shared" si="415"/>
        <v>598.83996658375827</v>
      </c>
      <c r="BE217"/>
      <c r="BF217"/>
      <c r="BG217"/>
      <c r="BH217"/>
      <c r="BI217"/>
      <c r="BJ217"/>
    </row>
    <row r="218" spans="2:62">
      <c r="D218" s="46"/>
      <c r="E218" s="47"/>
      <c r="F218" s="46"/>
      <c r="G218" s="46"/>
      <c r="H218" s="47"/>
      <c r="I218" s="46"/>
      <c r="J218" s="46"/>
      <c r="K218" s="47"/>
      <c r="L218" s="181"/>
      <c r="M218" s="181"/>
      <c r="N218" s="182"/>
      <c r="O218" s="181"/>
      <c r="P218" s="181"/>
      <c r="Q218" s="182"/>
      <c r="R218" s="181"/>
      <c r="S218" s="181"/>
      <c r="T218" s="182"/>
      <c r="U218" s="181"/>
      <c r="V218" s="181"/>
      <c r="W218" s="182"/>
      <c r="X218" s="181" t="str">
        <f>IF(W217=X217,"","ERROR")</f>
        <v/>
      </c>
      <c r="Y218" s="181"/>
      <c r="Z218" s="182"/>
      <c r="AA218" s="489" t="str">
        <f>IF(Z217=AA217,"","ERROR")</f>
        <v/>
      </c>
      <c r="AB218" s="181"/>
      <c r="AC218" s="182"/>
      <c r="AD218" s="181" t="str">
        <f>IF(AC217=AD217,"","ERROR")</f>
        <v/>
      </c>
      <c r="AE218" s="181"/>
      <c r="AF218" s="182"/>
      <c r="AG218" s="181" t="str">
        <f>IF(AF217=AG217,"","ERROR")</f>
        <v/>
      </c>
      <c r="AH218" s="181"/>
      <c r="AI218" s="182"/>
      <c r="AJ218" s="181" t="str">
        <f>IF(AI217=AJ217,"","ERROR")</f>
        <v/>
      </c>
      <c r="AK218" s="181"/>
      <c r="AL218" s="182"/>
      <c r="AM218" s="431" t="str">
        <f>IF(AL217=AM217,"","ERROR")</f>
        <v/>
      </c>
      <c r="AN218" s="617"/>
      <c r="AO218" s="182"/>
      <c r="AP218" s="181" t="str">
        <f>IF(AO217=AP217,"","ERROR")</f>
        <v/>
      </c>
      <c r="AQ218" s="181"/>
      <c r="AR218" s="182"/>
      <c r="AS218" s="181" t="str">
        <f>IF(AR217=AS217,"","ERROR")</f>
        <v/>
      </c>
      <c r="AT218" s="181"/>
      <c r="AU218" s="182"/>
      <c r="AV218" s="181" t="str">
        <f>IF(AU217=AV217,"","ERROR")</f>
        <v/>
      </c>
      <c r="AW218" s="181"/>
      <c r="AX218" s="182"/>
      <c r="AY218" s="181" t="str">
        <f>IF(AX217=AY217,"","ERROR")</f>
        <v/>
      </c>
      <c r="AZ218" s="181"/>
      <c r="BA218" s="182"/>
      <c r="BB218" s="181" t="str">
        <f>IF(BA217=BB217,"","ERROR")</f>
        <v/>
      </c>
    </row>
    <row r="219" spans="2:62" s="14" customFormat="1">
      <c r="B219" s="14" t="s">
        <v>228</v>
      </c>
      <c r="D219" s="28"/>
      <c r="E219" s="28"/>
      <c r="F219" s="28"/>
      <c r="G219" s="28"/>
      <c r="H219" s="28"/>
      <c r="I219" s="28"/>
      <c r="J219" s="28"/>
      <c r="K219" s="28"/>
      <c r="L219" s="166"/>
      <c r="M219" s="166"/>
      <c r="N219" s="166"/>
      <c r="O219" s="166"/>
      <c r="P219" s="166"/>
      <c r="Q219" s="166"/>
      <c r="R219" s="166"/>
      <c r="S219" s="166"/>
      <c r="T219" s="166"/>
      <c r="U219" s="166"/>
      <c r="V219" s="166"/>
      <c r="W219" s="166">
        <f t="shared" ref="W219:AA219" si="416">W200-W217</f>
        <v>975.65600000000006</v>
      </c>
      <c r="X219" s="166">
        <f t="shared" si="416"/>
        <v>975.65600000000006</v>
      </c>
      <c r="Y219" s="166">
        <f t="shared" si="416"/>
        <v>1142.491</v>
      </c>
      <c r="Z219" s="166">
        <f t="shared" si="416"/>
        <v>1192.3150000000001</v>
      </c>
      <c r="AA219" s="466">
        <f t="shared" si="416"/>
        <v>1192.3150000000001</v>
      </c>
      <c r="AB219" s="166">
        <f t="shared" ref="AB219:AJ219" si="417">AB200-AB217</f>
        <v>1192.268</v>
      </c>
      <c r="AC219" s="166">
        <f t="shared" si="417"/>
        <v>1130.5829999999999</v>
      </c>
      <c r="AD219" s="166">
        <f t="shared" si="417"/>
        <v>1130.5829999999999</v>
      </c>
      <c r="AE219" s="166">
        <f t="shared" ref="AE219:AG219" si="418">AE200-AE217</f>
        <v>1151.2660000000001</v>
      </c>
      <c r="AF219" s="166">
        <f t="shared" si="418"/>
        <v>1231.3590000000004</v>
      </c>
      <c r="AG219" s="166">
        <f t="shared" si="418"/>
        <v>1231.3590000000004</v>
      </c>
      <c r="AH219" s="531">
        <f t="shared" si="417"/>
        <v>1248.6689999999999</v>
      </c>
      <c r="AI219" s="166">
        <f t="shared" si="417"/>
        <v>1264.3680000000002</v>
      </c>
      <c r="AJ219" s="166">
        <f t="shared" si="417"/>
        <v>1264.3680000000002</v>
      </c>
      <c r="AK219" s="531">
        <f t="shared" ref="AK219:AM219" si="419">AK200-AK217</f>
        <v>1274.5930000000001</v>
      </c>
      <c r="AL219" s="166">
        <f t="shared" si="419"/>
        <v>1390.0519999999999</v>
      </c>
      <c r="AM219" s="430">
        <f t="shared" si="419"/>
        <v>1390.0519999999999</v>
      </c>
      <c r="AN219" s="605">
        <f t="shared" ref="AN219" si="420">AN200-AN217</f>
        <v>1380.5750000000003</v>
      </c>
      <c r="AO219" s="466">
        <f t="shared" ref="AO219:BB219" si="421">AO200-AO217</f>
        <v>1418.2419266329193</v>
      </c>
      <c r="AP219" s="466">
        <f t="shared" si="421"/>
        <v>1418.2419266329193</v>
      </c>
      <c r="AQ219" s="166">
        <f t="shared" si="421"/>
        <v>1451.7050373647107</v>
      </c>
      <c r="AR219" s="166">
        <f t="shared" si="421"/>
        <v>1487.4505036638559</v>
      </c>
      <c r="AS219" s="166">
        <f t="shared" si="421"/>
        <v>1487.4505036638564</v>
      </c>
      <c r="AT219" s="166">
        <f t="shared" si="421"/>
        <v>1520.4295133857686</v>
      </c>
      <c r="AU219" s="166">
        <f t="shared" si="421"/>
        <v>1559.5308755780484</v>
      </c>
      <c r="AV219" s="166">
        <f t="shared" si="421"/>
        <v>1559.5308755780484</v>
      </c>
      <c r="AW219" s="166">
        <f t="shared" si="421"/>
        <v>1588.778175064708</v>
      </c>
      <c r="AX219" s="166">
        <f t="shared" si="421"/>
        <v>1629.7273798339384</v>
      </c>
      <c r="AY219" s="166">
        <f t="shared" si="421"/>
        <v>1629.7273798339384</v>
      </c>
      <c r="AZ219" s="166">
        <f t="shared" si="421"/>
        <v>1664.3213557288468</v>
      </c>
      <c r="BA219" s="166">
        <f t="shared" si="421"/>
        <v>1709.6715955501609</v>
      </c>
      <c r="BB219" s="166">
        <f t="shared" si="421"/>
        <v>1709.6715955501609</v>
      </c>
      <c r="BE219"/>
      <c r="BF219"/>
      <c r="BG219"/>
      <c r="BH219"/>
      <c r="BI219"/>
      <c r="BJ219"/>
    </row>
    <row r="220" spans="2:62">
      <c r="B220" s="14" t="s">
        <v>66</v>
      </c>
      <c r="L220" s="165"/>
      <c r="M220" s="165"/>
      <c r="N220" s="165"/>
      <c r="O220" s="165"/>
      <c r="P220" s="165"/>
      <c r="Q220" s="165"/>
      <c r="R220" s="165"/>
      <c r="S220" s="165"/>
      <c r="T220" s="165"/>
      <c r="U220" s="165"/>
      <c r="V220" s="165"/>
      <c r="W220" s="165"/>
      <c r="X220" s="165"/>
      <c r="Y220" s="165"/>
      <c r="Z220" s="165"/>
      <c r="AB220" s="165"/>
      <c r="AC220" s="165"/>
      <c r="AD220" s="165"/>
      <c r="AE220" s="165"/>
      <c r="AF220" s="165"/>
      <c r="AG220" s="165"/>
      <c r="AH220" s="165"/>
      <c r="AI220" s="165"/>
      <c r="AJ220" s="165"/>
      <c r="AK220" s="165"/>
      <c r="AL220" s="165"/>
      <c r="AM220" s="428"/>
      <c r="AN220" s="577"/>
      <c r="AO220" s="165"/>
      <c r="AP220" s="165"/>
      <c r="AQ220" s="165"/>
      <c r="AR220" s="165"/>
      <c r="AS220" s="165"/>
      <c r="AT220" s="165"/>
      <c r="AU220" s="165"/>
      <c r="AV220" s="165"/>
      <c r="AW220" s="165"/>
      <c r="AX220" s="165"/>
      <c r="AY220" s="165"/>
      <c r="AZ220" s="165"/>
      <c r="BA220" s="165"/>
      <c r="BB220" s="165"/>
    </row>
    <row r="221" spans="2:62">
      <c r="B221" s="161" t="s">
        <v>229</v>
      </c>
      <c r="C221" s="73" t="s">
        <v>269</v>
      </c>
      <c r="D221" s="31"/>
      <c r="E221" s="44"/>
      <c r="F221" s="102"/>
      <c r="G221" s="102"/>
      <c r="H221" s="44"/>
      <c r="I221" s="102"/>
      <c r="J221" s="31"/>
      <c r="K221" s="30"/>
      <c r="L221" s="171"/>
      <c r="M221" s="171"/>
      <c r="N221" s="165"/>
      <c r="O221" s="171"/>
      <c r="P221" s="171"/>
      <c r="Q221" s="165"/>
      <c r="R221" s="171"/>
      <c r="S221" s="171"/>
      <c r="T221" s="165"/>
      <c r="U221" s="171"/>
      <c r="V221" s="171"/>
      <c r="W221" s="165">
        <f>X221</f>
        <v>1738.067</v>
      </c>
      <c r="X221" s="171">
        <v>1738.067</v>
      </c>
      <c r="Y221" s="171">
        <v>1738.067</v>
      </c>
      <c r="Z221" s="165">
        <f>AA221</f>
        <v>1738.067</v>
      </c>
      <c r="AA221" s="473">
        <v>1738.067</v>
      </c>
      <c r="AB221" s="171">
        <v>1739.587</v>
      </c>
      <c r="AC221" s="165">
        <f>AD221</f>
        <v>1738.846</v>
      </c>
      <c r="AD221" s="171">
        <v>1738.846</v>
      </c>
      <c r="AE221" s="171">
        <v>1741.375</v>
      </c>
      <c r="AF221" s="165">
        <f>AG221</f>
        <v>1742.078</v>
      </c>
      <c r="AG221" s="171">
        <v>1742.078</v>
      </c>
      <c r="AH221" s="171">
        <v>1745.4839999999999</v>
      </c>
      <c r="AI221" s="165">
        <f>AJ221</f>
        <v>1737.277</v>
      </c>
      <c r="AJ221" s="171">
        <v>1737.277</v>
      </c>
      <c r="AK221" s="171">
        <v>1727.8420000000001</v>
      </c>
      <c r="AL221" s="165">
        <f>AM221</f>
        <v>1716.0730000000001</v>
      </c>
      <c r="AM221" s="425">
        <v>1716.0730000000001</v>
      </c>
      <c r="AN221" s="580">
        <v>1702.077</v>
      </c>
      <c r="AO221" s="394">
        <f>AN221+AO133</f>
        <v>1686.2151047</v>
      </c>
      <c r="AP221" s="394">
        <f>AO221</f>
        <v>1686.2151047</v>
      </c>
      <c r="AQ221" s="165">
        <f>AP221+AQ133</f>
        <v>1666.3821356870985</v>
      </c>
      <c r="AR221" s="165">
        <f>AQ221+AR133</f>
        <v>1642.6465197534028</v>
      </c>
      <c r="AS221" s="165">
        <f>AP221+AS133</f>
        <v>1642.6465197534028</v>
      </c>
      <c r="AT221" s="165">
        <f>AS221+AT133</f>
        <v>1618.838743673105</v>
      </c>
      <c r="AU221" s="165">
        <f>AT221+AU133</f>
        <v>1592.6674951355062</v>
      </c>
      <c r="AV221" s="165">
        <f>AS221+AV133</f>
        <v>1592.6674951355062</v>
      </c>
      <c r="AW221" s="165">
        <f>AV221+AW133</f>
        <v>1564.6728239224778</v>
      </c>
      <c r="AX221" s="165">
        <f>AW221+AX133</f>
        <v>1536.9799047188294</v>
      </c>
      <c r="AY221" s="165">
        <f>AV221+AY133</f>
        <v>1536.9799047188292</v>
      </c>
      <c r="AZ221" s="165">
        <f>AY221+AZ133</f>
        <v>1507.482733735246</v>
      </c>
      <c r="BA221" s="165">
        <f>AZ221+BA133</f>
        <v>1477.071090911589</v>
      </c>
      <c r="BB221" s="165">
        <f>AY221+BB133</f>
        <v>1477.071090911589</v>
      </c>
    </row>
    <row r="222" spans="2:62">
      <c r="B222" s="161" t="s">
        <v>63</v>
      </c>
      <c r="C222" s="73" t="s">
        <v>269</v>
      </c>
      <c r="D222" s="31"/>
      <c r="E222" s="30"/>
      <c r="F222" s="31"/>
      <c r="G222" s="31"/>
      <c r="H222" s="30"/>
      <c r="I222" s="31"/>
      <c r="J222" s="31"/>
      <c r="K222" s="30"/>
      <c r="L222" s="171"/>
      <c r="M222" s="171"/>
      <c r="N222" s="165"/>
      <c r="O222" s="171"/>
      <c r="P222" s="171"/>
      <c r="Q222" s="165"/>
      <c r="R222" s="171"/>
      <c r="S222" s="171"/>
      <c r="T222" s="165"/>
      <c r="U222" s="171"/>
      <c r="V222" s="171"/>
      <c r="W222" s="165">
        <f>X222</f>
        <v>-906.12</v>
      </c>
      <c r="X222" s="171">
        <v>-906.12</v>
      </c>
      <c r="Y222" s="171">
        <v>-799.03800000000001</v>
      </c>
      <c r="Z222" s="165">
        <f>AA222</f>
        <v>-789.56200000000001</v>
      </c>
      <c r="AA222" s="473">
        <v>-789.56200000000001</v>
      </c>
      <c r="AB222" s="171">
        <v>-815.03</v>
      </c>
      <c r="AC222" s="165">
        <f>AD222</f>
        <v>-902.28899999999999</v>
      </c>
      <c r="AD222" s="171">
        <v>-902.28899999999999</v>
      </c>
      <c r="AE222" s="171">
        <v>-910.31399999999996</v>
      </c>
      <c r="AF222" s="165">
        <f>AG222</f>
        <v>-868.66300000000001</v>
      </c>
      <c r="AG222" s="171">
        <v>-868.66300000000001</v>
      </c>
      <c r="AH222" s="171">
        <v>-866.51900000000001</v>
      </c>
      <c r="AI222" s="165">
        <f>AJ222</f>
        <v>-884.03399999999999</v>
      </c>
      <c r="AJ222" s="171">
        <v>-884.03399999999999</v>
      </c>
      <c r="AK222" s="171">
        <v>-912.01199999999994</v>
      </c>
      <c r="AL222" s="165">
        <f>AM222</f>
        <v>-823.005</v>
      </c>
      <c r="AM222" s="425">
        <v>-823.005</v>
      </c>
      <c r="AN222" s="580">
        <v>-842.86900000000003</v>
      </c>
      <c r="AO222" s="165">
        <f t="shared" ref="AO222:BB222" si="422">AN222</f>
        <v>-842.86900000000003</v>
      </c>
      <c r="AP222" s="165">
        <f t="shared" si="422"/>
        <v>-842.86900000000003</v>
      </c>
      <c r="AQ222" s="165">
        <f t="shared" si="422"/>
        <v>-842.86900000000003</v>
      </c>
      <c r="AR222" s="165">
        <f t="shared" si="422"/>
        <v>-842.86900000000003</v>
      </c>
      <c r="AS222" s="165">
        <f t="shared" si="422"/>
        <v>-842.86900000000003</v>
      </c>
      <c r="AT222" s="165">
        <f t="shared" si="422"/>
        <v>-842.86900000000003</v>
      </c>
      <c r="AU222" s="165">
        <f t="shared" si="422"/>
        <v>-842.86900000000003</v>
      </c>
      <c r="AV222" s="165">
        <f t="shared" si="422"/>
        <v>-842.86900000000003</v>
      </c>
      <c r="AW222" s="165">
        <f t="shared" si="422"/>
        <v>-842.86900000000003</v>
      </c>
      <c r="AX222" s="165">
        <f t="shared" si="422"/>
        <v>-842.86900000000003</v>
      </c>
      <c r="AY222" s="165">
        <f t="shared" si="422"/>
        <v>-842.86900000000003</v>
      </c>
      <c r="AZ222" s="165">
        <f t="shared" si="422"/>
        <v>-842.86900000000003</v>
      </c>
      <c r="BA222" s="165">
        <f t="shared" si="422"/>
        <v>-842.86900000000003</v>
      </c>
      <c r="BB222" s="165">
        <f t="shared" si="422"/>
        <v>-842.86900000000003</v>
      </c>
    </row>
    <row r="223" spans="2:62">
      <c r="B223" s="161" t="s">
        <v>202</v>
      </c>
      <c r="C223" s="73" t="s">
        <v>269</v>
      </c>
      <c r="D223" s="31"/>
      <c r="E223" s="30"/>
      <c r="F223" s="31"/>
      <c r="G223" s="31"/>
      <c r="H223" s="30"/>
      <c r="I223" s="31"/>
      <c r="J223" s="31"/>
      <c r="K223" s="30"/>
      <c r="L223" s="171"/>
      <c r="M223" s="171"/>
      <c r="N223" s="165"/>
      <c r="O223" s="171"/>
      <c r="P223" s="171"/>
      <c r="Q223" s="165"/>
      <c r="R223" s="171"/>
      <c r="S223" s="171"/>
      <c r="T223" s="165"/>
      <c r="U223" s="171"/>
      <c r="V223" s="171"/>
      <c r="W223" s="165">
        <f>X223</f>
        <v>143.709</v>
      </c>
      <c r="X223" s="171">
        <v>143.709</v>
      </c>
      <c r="Y223" s="171">
        <v>203.46299999999999</v>
      </c>
      <c r="Z223" s="165">
        <f>AA223</f>
        <v>243.81</v>
      </c>
      <c r="AA223" s="473">
        <v>243.81</v>
      </c>
      <c r="AB223" s="171">
        <v>267.71100000000001</v>
      </c>
      <c r="AC223" s="165">
        <f>AD223</f>
        <v>294.02600000000001</v>
      </c>
      <c r="AD223" s="171">
        <v>294.02600000000001</v>
      </c>
      <c r="AE223" s="171">
        <v>320.20499999999998</v>
      </c>
      <c r="AF223" s="165">
        <f>AG223</f>
        <v>357.94299999999998</v>
      </c>
      <c r="AG223" s="171">
        <v>357.94299999999998</v>
      </c>
      <c r="AH223" s="171">
        <v>369.70400000000001</v>
      </c>
      <c r="AI223" s="165">
        <f>AJ223</f>
        <v>411.125</v>
      </c>
      <c r="AJ223" s="171">
        <v>411.125</v>
      </c>
      <c r="AK223" s="171">
        <v>458.76299999999998</v>
      </c>
      <c r="AL223" s="165">
        <f>AM223</f>
        <v>496.98399999999998</v>
      </c>
      <c r="AM223" s="425">
        <v>496.98399999999998</v>
      </c>
      <c r="AN223" s="580">
        <v>521.36699999999996</v>
      </c>
      <c r="AO223" s="394">
        <f>AN223+AO74+AO132</f>
        <v>574.89582193291915</v>
      </c>
      <c r="AP223" s="394">
        <f>AM223+AP74+AP132</f>
        <v>574.87482193291919</v>
      </c>
      <c r="AQ223" s="165">
        <f>AP223+AQ74+AQ132</f>
        <v>628.17090167761239</v>
      </c>
      <c r="AR223" s="165">
        <f>AQ223+AR74+AR132</f>
        <v>687.65198391045362</v>
      </c>
      <c r="AS223" s="165">
        <f>AP223+AS74+AS132</f>
        <v>687.6519839104534</v>
      </c>
      <c r="AT223" s="165">
        <f>AS223+AT74+AT132</f>
        <v>744.4387697126632</v>
      </c>
      <c r="AU223" s="165">
        <f>AT223+AU74+AU132</f>
        <v>809.71138044254167</v>
      </c>
      <c r="AV223" s="165">
        <f>AS223+AV74+AV132</f>
        <v>809.71138044254178</v>
      </c>
      <c r="AW223" s="165">
        <f>AV223+AW74+AW132</f>
        <v>866.95335114223042</v>
      </c>
      <c r="AX223" s="165">
        <f>AW223+AX74+AX132</f>
        <v>935.59547511510857</v>
      </c>
      <c r="AY223" s="165">
        <f>AV223+AY74+AY132</f>
        <v>935.59547511510857</v>
      </c>
      <c r="AZ223" s="165">
        <f>AY223+AZ74+AZ132</f>
        <v>999.68662199360085</v>
      </c>
      <c r="BA223" s="165">
        <f>AZ223+BA74+BA132</f>
        <v>1075.4485046385716</v>
      </c>
      <c r="BB223" s="165">
        <f>AY223+BB74+BB132</f>
        <v>1075.4485046385716</v>
      </c>
    </row>
    <row r="224" spans="2:62">
      <c r="B224" s="161" t="s">
        <v>203</v>
      </c>
      <c r="C224" s="73" t="s">
        <v>269</v>
      </c>
      <c r="D224" s="31"/>
      <c r="E224" s="30"/>
      <c r="F224" s="31"/>
      <c r="G224" s="31"/>
      <c r="H224" s="30"/>
      <c r="I224" s="31"/>
      <c r="J224" s="102"/>
      <c r="K224" s="44"/>
      <c r="L224" s="184"/>
      <c r="M224" s="184"/>
      <c r="N224" s="187"/>
      <c r="O224" s="184"/>
      <c r="P224" s="184"/>
      <c r="Q224" s="165"/>
      <c r="R224" s="165"/>
      <c r="S224" s="184"/>
      <c r="T224" s="165"/>
      <c r="U224" s="165"/>
      <c r="V224" s="171"/>
      <c r="W224" s="165">
        <f>V224</f>
        <v>0</v>
      </c>
      <c r="X224" s="165">
        <v>0</v>
      </c>
      <c r="Y224" s="171">
        <v>0</v>
      </c>
      <c r="Z224" s="165">
        <f>Y224</f>
        <v>0</v>
      </c>
      <c r="AA224" s="394">
        <v>0</v>
      </c>
      <c r="AB224" s="171">
        <v>0</v>
      </c>
      <c r="AC224" s="165">
        <f>AB224</f>
        <v>0</v>
      </c>
      <c r="AD224" s="165">
        <v>0</v>
      </c>
      <c r="AE224" s="171">
        <v>0</v>
      </c>
      <c r="AF224" s="165">
        <f>AE224</f>
        <v>0</v>
      </c>
      <c r="AG224" s="165">
        <v>0</v>
      </c>
      <c r="AH224" s="171">
        <f t="shared" ref="AH224" si="423">AG224</f>
        <v>0</v>
      </c>
      <c r="AI224" s="165">
        <f>AH224</f>
        <v>0</v>
      </c>
      <c r="AJ224" s="165">
        <v>0</v>
      </c>
      <c r="AK224" s="171">
        <v>0</v>
      </c>
      <c r="AL224" s="165">
        <f>AK224</f>
        <v>0</v>
      </c>
      <c r="AM224" s="425">
        <v>0</v>
      </c>
      <c r="AN224" s="580">
        <v>0</v>
      </c>
      <c r="AO224" s="165">
        <f t="shared" ref="AO224:BB224" si="424">AN224</f>
        <v>0</v>
      </c>
      <c r="AP224" s="642">
        <f>AO224+0.021</f>
        <v>2.1000000000000001E-2</v>
      </c>
      <c r="AQ224" s="165">
        <f t="shared" si="424"/>
        <v>2.1000000000000001E-2</v>
      </c>
      <c r="AR224" s="165">
        <f t="shared" si="424"/>
        <v>2.1000000000000001E-2</v>
      </c>
      <c r="AS224" s="165">
        <f t="shared" si="424"/>
        <v>2.1000000000000001E-2</v>
      </c>
      <c r="AT224" s="165">
        <f t="shared" si="424"/>
        <v>2.1000000000000001E-2</v>
      </c>
      <c r="AU224" s="165">
        <f t="shared" si="424"/>
        <v>2.1000000000000001E-2</v>
      </c>
      <c r="AV224" s="165">
        <f t="shared" si="424"/>
        <v>2.1000000000000001E-2</v>
      </c>
      <c r="AW224" s="165">
        <f t="shared" si="424"/>
        <v>2.1000000000000001E-2</v>
      </c>
      <c r="AX224" s="165">
        <f t="shared" si="424"/>
        <v>2.1000000000000001E-2</v>
      </c>
      <c r="AY224" s="165">
        <f t="shared" si="424"/>
        <v>2.1000000000000001E-2</v>
      </c>
      <c r="AZ224" s="165">
        <f t="shared" si="424"/>
        <v>2.1000000000000001E-2</v>
      </c>
      <c r="BA224" s="165">
        <f t="shared" si="424"/>
        <v>2.1000000000000001E-2</v>
      </c>
      <c r="BB224" s="165">
        <f t="shared" si="424"/>
        <v>2.1000000000000001E-2</v>
      </c>
    </row>
    <row r="225" spans="1:62" s="14" customFormat="1">
      <c r="B225" s="14" t="s">
        <v>230</v>
      </c>
      <c r="C225" s="76" t="s">
        <v>269</v>
      </c>
      <c r="D225" s="28"/>
      <c r="E225" s="28"/>
      <c r="F225" s="28"/>
      <c r="G225" s="28"/>
      <c r="H225" s="28"/>
      <c r="I225" s="28"/>
      <c r="J225" s="28"/>
      <c r="K225" s="28"/>
      <c r="L225" s="305"/>
      <c r="M225" s="305"/>
      <c r="N225" s="305"/>
      <c r="O225" s="305"/>
      <c r="P225" s="305"/>
      <c r="Q225" s="305"/>
      <c r="R225" s="305"/>
      <c r="S225" s="305"/>
      <c r="T225" s="305"/>
      <c r="U225" s="305"/>
      <c r="V225" s="166"/>
      <c r="W225" s="305">
        <f>SUM(W221:W224)</f>
        <v>975.65599999999995</v>
      </c>
      <c r="X225" s="305">
        <f t="shared" ref="X225:AH225" si="425">SUM(X221:X224)</f>
        <v>975.65599999999995</v>
      </c>
      <c r="Y225" s="166">
        <f t="shared" si="425"/>
        <v>1142.492</v>
      </c>
      <c r="Z225" s="305">
        <f>SUM(Z221:Z224)</f>
        <v>1192.3150000000001</v>
      </c>
      <c r="AA225" s="466">
        <f t="shared" si="425"/>
        <v>1192.3150000000001</v>
      </c>
      <c r="AB225" s="166">
        <f t="shared" ref="AB225" si="426">SUM(AB221:AB224)</f>
        <v>1192.268</v>
      </c>
      <c r="AC225" s="305">
        <f>SUM(AC221:AC224)</f>
        <v>1130.5830000000001</v>
      </c>
      <c r="AD225" s="305">
        <f t="shared" ref="AD225:AE225" si="427">SUM(AD221:AD224)</f>
        <v>1130.5830000000001</v>
      </c>
      <c r="AE225" s="166">
        <f t="shared" si="427"/>
        <v>1151.2660000000001</v>
      </c>
      <c r="AF225" s="305">
        <f>SUM(AF221:AF224)</f>
        <v>1231.3579999999999</v>
      </c>
      <c r="AG225" s="305">
        <f t="shared" ref="AG225" si="428">SUM(AG221:AG224)</f>
        <v>1231.3579999999999</v>
      </c>
      <c r="AH225" s="531">
        <f t="shared" si="425"/>
        <v>1248.6689999999999</v>
      </c>
      <c r="AI225" s="305">
        <f>SUM(AI221:AI224)</f>
        <v>1264.3679999999999</v>
      </c>
      <c r="AJ225" s="305">
        <f t="shared" ref="AJ225:AK225" si="429">SUM(AJ221:AJ224)</f>
        <v>1264.3679999999999</v>
      </c>
      <c r="AK225" s="531">
        <f t="shared" si="429"/>
        <v>1274.5930000000001</v>
      </c>
      <c r="AL225" s="305">
        <f>SUM(AL221:AL224)</f>
        <v>1390.0520000000001</v>
      </c>
      <c r="AM225" s="563">
        <f t="shared" ref="AM225:AN225" si="430">SUM(AM221:AM224)</f>
        <v>1390.0520000000001</v>
      </c>
      <c r="AN225" s="605">
        <f t="shared" si="430"/>
        <v>1380.5749999999998</v>
      </c>
      <c r="AO225" s="531">
        <f t="shared" ref="AO225:BB225" si="431">SUM(AO221:AO224)</f>
        <v>1418.2419266329191</v>
      </c>
      <c r="AP225" s="531">
        <f t="shared" si="431"/>
        <v>1418.2419266329191</v>
      </c>
      <c r="AQ225" s="305">
        <f t="shared" si="431"/>
        <v>1451.705037364711</v>
      </c>
      <c r="AR225" s="305">
        <f t="shared" si="431"/>
        <v>1487.4505036638564</v>
      </c>
      <c r="AS225" s="305">
        <f>SUM(AS221:AS224)</f>
        <v>1487.4505036638561</v>
      </c>
      <c r="AT225" s="305">
        <f t="shared" si="431"/>
        <v>1520.4295133857681</v>
      </c>
      <c r="AU225" s="305">
        <f t="shared" si="431"/>
        <v>1559.5308755780477</v>
      </c>
      <c r="AV225" s="305">
        <f t="shared" si="431"/>
        <v>1559.5308755780479</v>
      </c>
      <c r="AW225" s="305">
        <f t="shared" si="431"/>
        <v>1588.7781750647082</v>
      </c>
      <c r="AX225" s="305">
        <f t="shared" si="431"/>
        <v>1629.7273798339379</v>
      </c>
      <c r="AY225" s="305">
        <f t="shared" si="431"/>
        <v>1629.7273798339377</v>
      </c>
      <c r="AZ225" s="305">
        <f t="shared" si="431"/>
        <v>1664.3213557288468</v>
      </c>
      <c r="BA225" s="305">
        <f t="shared" si="431"/>
        <v>1709.6715955501606</v>
      </c>
      <c r="BB225" s="305">
        <f t="shared" si="431"/>
        <v>1709.6715955501606</v>
      </c>
      <c r="BE225"/>
      <c r="BF225"/>
      <c r="BG225"/>
      <c r="BH225"/>
      <c r="BI225"/>
      <c r="BJ225"/>
    </row>
    <row r="226" spans="1:62">
      <c r="B226" s="55" t="s">
        <v>259</v>
      </c>
      <c r="C226" s="103"/>
      <c r="D226" s="30"/>
      <c r="E226" s="30"/>
      <c r="F226" s="30"/>
      <c r="G226" s="30"/>
      <c r="H226" s="30"/>
      <c r="I226" s="30"/>
      <c r="J226" s="91"/>
      <c r="K226" s="91"/>
      <c r="L226" s="306"/>
      <c r="M226" s="306"/>
      <c r="N226" s="306"/>
      <c r="O226" s="306"/>
      <c r="P226" s="306"/>
      <c r="Q226" s="306"/>
      <c r="R226" s="306"/>
      <c r="S226" s="306"/>
      <c r="T226" s="306"/>
      <c r="U226" s="394"/>
      <c r="V226" s="306"/>
      <c r="W226" s="394">
        <f t="shared" ref="W226:X226" si="432">ROUND(W219-W225,2)</f>
        <v>0</v>
      </c>
      <c r="X226" s="394">
        <f t="shared" si="432"/>
        <v>0</v>
      </c>
      <c r="Y226" s="394">
        <f>ROUND(Y219-Y225,2)</f>
        <v>0</v>
      </c>
      <c r="Z226" s="394">
        <f t="shared" ref="Z226:BB226" si="433">ROUND(Z219-Z225,2)</f>
        <v>0</v>
      </c>
      <c r="AA226" s="394">
        <f t="shared" si="433"/>
        <v>0</v>
      </c>
      <c r="AB226" s="394">
        <f>ROUND(AB219-AB225,2)</f>
        <v>0</v>
      </c>
      <c r="AC226" s="394">
        <f t="shared" ref="AC226:AD226" si="434">ROUND(AC219-AC225,2)</f>
        <v>0</v>
      </c>
      <c r="AD226" s="394">
        <f t="shared" si="434"/>
        <v>0</v>
      </c>
      <c r="AE226" s="394">
        <f>ROUND(AE219-AE225,2)</f>
        <v>0</v>
      </c>
      <c r="AF226" s="394">
        <f t="shared" ref="AF226:AG226" si="435">ROUND(AF219-AF225,2)</f>
        <v>0</v>
      </c>
      <c r="AG226" s="394">
        <f t="shared" si="435"/>
        <v>0</v>
      </c>
      <c r="AH226" s="394">
        <f t="shared" si="433"/>
        <v>0</v>
      </c>
      <c r="AI226" s="394">
        <f t="shared" si="433"/>
        <v>0</v>
      </c>
      <c r="AJ226" s="394">
        <f t="shared" si="433"/>
        <v>0</v>
      </c>
      <c r="AK226" s="394">
        <f t="shared" ref="AK226:AM226" si="436">ROUND(AK219-AK225,2)</f>
        <v>0</v>
      </c>
      <c r="AL226" s="394">
        <f t="shared" si="436"/>
        <v>0</v>
      </c>
      <c r="AM226" s="432">
        <f t="shared" si="436"/>
        <v>0</v>
      </c>
      <c r="AN226" s="608">
        <f t="shared" ref="AN226" si="437">ROUND(AN219-AN225,2)</f>
        <v>0</v>
      </c>
      <c r="AO226" s="394">
        <f t="shared" si="433"/>
        <v>0</v>
      </c>
      <c r="AP226" s="306">
        <f t="shared" si="433"/>
        <v>0</v>
      </c>
      <c r="AQ226" s="394">
        <f t="shared" si="433"/>
        <v>0</v>
      </c>
      <c r="AR226" s="394">
        <f t="shared" si="433"/>
        <v>0</v>
      </c>
      <c r="AS226" s="394">
        <f t="shared" si="433"/>
        <v>0</v>
      </c>
      <c r="AT226" s="394">
        <f t="shared" si="433"/>
        <v>0</v>
      </c>
      <c r="AU226" s="394">
        <f t="shared" si="433"/>
        <v>0</v>
      </c>
      <c r="AV226" s="394">
        <f t="shared" si="433"/>
        <v>0</v>
      </c>
      <c r="AW226" s="394">
        <f t="shared" si="433"/>
        <v>0</v>
      </c>
      <c r="AX226" s="394">
        <f t="shared" si="433"/>
        <v>0</v>
      </c>
      <c r="AY226" s="394">
        <f t="shared" si="433"/>
        <v>0</v>
      </c>
      <c r="AZ226" s="394">
        <f t="shared" si="433"/>
        <v>0</v>
      </c>
      <c r="BA226" s="394">
        <f t="shared" si="433"/>
        <v>0</v>
      </c>
      <c r="BB226" s="394">
        <f t="shared" si="433"/>
        <v>0</v>
      </c>
    </row>
    <row r="227" spans="1:62">
      <c r="B227" s="104"/>
      <c r="C227" s="103"/>
      <c r="F227" s="46"/>
      <c r="I227" s="46"/>
      <c r="L227" s="46"/>
      <c r="O227" s="46"/>
      <c r="R227" s="46"/>
      <c r="U227" s="46"/>
      <c r="V227" s="165"/>
      <c r="X227" s="46" t="str">
        <f>IF(W225=X225,"","ERROR")</f>
        <v/>
      </c>
      <c r="Y227" s="165"/>
      <c r="AA227" s="489" t="str">
        <f>IF(Z225=AA225,"","ERROR")</f>
        <v/>
      </c>
      <c r="AB227" s="165"/>
      <c r="AD227" s="46" t="str">
        <f>IF(AC225=AD225,"","ERROR")</f>
        <v/>
      </c>
      <c r="AE227" s="165"/>
      <c r="AG227" s="46" t="str">
        <f>IF(AF225=AG225,"","ERROR")</f>
        <v/>
      </c>
      <c r="AH227" s="394"/>
      <c r="AJ227" s="46" t="str">
        <f>IF(AI225=AJ225,"","ERROR")</f>
        <v/>
      </c>
      <c r="AK227" s="394"/>
      <c r="AM227" s="564" t="str">
        <f>IF(AL225=AM225,"","ERROR")</f>
        <v/>
      </c>
      <c r="AN227" s="608"/>
      <c r="AP227" s="46" t="str">
        <f>IF(AO225=AP225,"","ERROR")</f>
        <v/>
      </c>
      <c r="AS227" s="46" t="str">
        <f>IF(AR225=AS225,"","ERROR")</f>
        <v/>
      </c>
      <c r="AV227" s="46"/>
      <c r="AY227" s="46" t="str">
        <f>IF(AX225=AY225,"","ERROR")</f>
        <v/>
      </c>
      <c r="BB227" s="46" t="str">
        <f>IF(BA225=BB225,"","ERROR")</f>
        <v/>
      </c>
    </row>
    <row r="228" spans="1:62" s="13" customFormat="1">
      <c r="A228" s="117" t="s">
        <v>231</v>
      </c>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c r="AA228" s="480"/>
      <c r="AB228" s="117"/>
      <c r="AC228" s="117"/>
      <c r="AD228" s="117"/>
      <c r="AE228" s="117"/>
      <c r="AF228" s="117"/>
      <c r="AG228" s="117"/>
      <c r="AI228" s="117"/>
      <c r="AJ228" s="117"/>
      <c r="AL228" s="117"/>
      <c r="AM228" s="556"/>
      <c r="AN228" s="598"/>
      <c r="BE228"/>
      <c r="BF228"/>
      <c r="BG228"/>
      <c r="BH228"/>
      <c r="BI228"/>
      <c r="BJ228"/>
    </row>
    <row r="230" spans="1:62">
      <c r="B230" s="14" t="s">
        <v>219</v>
      </c>
    </row>
    <row r="231" spans="1:62">
      <c r="B231" s="7" t="s">
        <v>11</v>
      </c>
      <c r="C231" s="73" t="s">
        <v>82</v>
      </c>
      <c r="D231" s="38"/>
      <c r="E231" s="105"/>
      <c r="F231" s="38"/>
      <c r="G231" s="38"/>
      <c r="H231" s="38"/>
      <c r="I231" s="38"/>
      <c r="J231" s="38"/>
      <c r="K231" s="38"/>
      <c r="L231" s="32"/>
      <c r="M231" s="32"/>
      <c r="N231" s="32"/>
      <c r="O231" s="32"/>
      <c r="P231" s="32"/>
      <c r="Q231" s="113"/>
      <c r="R231" s="32"/>
      <c r="S231" s="32"/>
      <c r="T231" s="113"/>
      <c r="U231" s="32"/>
      <c r="V231" s="32"/>
      <c r="W231" s="32">
        <f>W189/W14/2</f>
        <v>8.519982356962072E-2</v>
      </c>
      <c r="X231" s="32">
        <f>X189/X14</f>
        <v>0.1128116180441104</v>
      </c>
      <c r="Y231" s="32">
        <f>Y189/Y14/2</f>
        <v>0.17905157430754426</v>
      </c>
      <c r="Z231" s="32">
        <f>Z189/Z14/2</f>
        <v>0.16176914353172131</v>
      </c>
      <c r="AA231" s="474">
        <f>AA189/AA14</f>
        <v>0.17283726450607173</v>
      </c>
      <c r="AB231" s="32">
        <f>AB189/AB14/2</f>
        <v>0.26807839928567428</v>
      </c>
      <c r="AC231" s="32">
        <f>AC189/AC14/2</f>
        <v>0.22330737460120648</v>
      </c>
      <c r="AD231" s="32">
        <f>AD189/AD14</f>
        <v>0.24354561965061561</v>
      </c>
      <c r="AE231" s="32">
        <f>AE189/AE14/2</f>
        <v>0.26192288698955363</v>
      </c>
      <c r="AF231" s="32">
        <f>AF189/AF14/2</f>
        <v>0.20836681325833833</v>
      </c>
      <c r="AG231" s="32">
        <f>AG189/AG14</f>
        <v>0.21396215060059692</v>
      </c>
      <c r="AH231" s="32">
        <f>AE231-1%</f>
        <v>0.25192288698955362</v>
      </c>
      <c r="AI231" s="32">
        <f>AI189/AI14/2</f>
        <v>0.20195094629586455</v>
      </c>
      <c r="AJ231" s="32">
        <f>AJ189/AJ14</f>
        <v>0.21571448885509525</v>
      </c>
      <c r="AK231" s="32">
        <f>AH231-1%</f>
        <v>0.24192288698955361</v>
      </c>
      <c r="AL231" s="32">
        <f>AL189/AL14/2</f>
        <v>0.22916476178397308</v>
      </c>
      <c r="AM231" s="33">
        <f>AM189/AM14</f>
        <v>0.22345643683384053</v>
      </c>
      <c r="AN231" s="581">
        <f>AK231-1%</f>
        <v>0.2319228869895536</v>
      </c>
      <c r="AO231" s="113">
        <f t="shared" ref="AO231:AO233" si="438">AL231</f>
        <v>0.22916476178397308</v>
      </c>
      <c r="AP231" s="32">
        <f>AP189/AP14</f>
        <v>0.23481729501859896</v>
      </c>
      <c r="AQ231" s="113">
        <f t="shared" ref="AQ231:AR233" si="439">AN231</f>
        <v>0.2319228869895536</v>
      </c>
      <c r="AR231" s="113">
        <f t="shared" si="439"/>
        <v>0.22916476178397308</v>
      </c>
      <c r="AS231" s="32">
        <f>AS189/AS14</f>
        <v>0.23132078834871275</v>
      </c>
      <c r="AT231" s="113">
        <f t="shared" ref="AT231:AU233" si="440">AQ231</f>
        <v>0.2319228869895536</v>
      </c>
      <c r="AU231" s="113">
        <f t="shared" si="440"/>
        <v>0.22916476178397308</v>
      </c>
      <c r="AV231" s="32">
        <f>AV189/AV14</f>
        <v>0.2305502078941245</v>
      </c>
      <c r="AW231" s="113">
        <f t="shared" ref="AW231:AX233" si="441">AT231</f>
        <v>0.2319228869895536</v>
      </c>
      <c r="AX231" s="113">
        <f t="shared" si="441"/>
        <v>0.22916476178397308</v>
      </c>
      <c r="AY231" s="32">
        <f>AY189/AY14</f>
        <v>0.23056645164810863</v>
      </c>
      <c r="AZ231" s="113">
        <f t="shared" ref="AZ231:BA233" si="442">AW231</f>
        <v>0.2319228869895536</v>
      </c>
      <c r="BA231" s="113">
        <f t="shared" si="442"/>
        <v>0.22916476178397308</v>
      </c>
      <c r="BB231" s="32">
        <f>BB189/BB14</f>
        <v>0.23068738182889437</v>
      </c>
    </row>
    <row r="232" spans="1:62">
      <c r="B232" s="7" t="s">
        <v>12</v>
      </c>
      <c r="C232" s="73" t="s">
        <v>82</v>
      </c>
      <c r="D232" s="38"/>
      <c r="E232" s="105"/>
      <c r="F232" s="38"/>
      <c r="G232" s="38"/>
      <c r="H232" s="38"/>
      <c r="I232" s="38"/>
      <c r="J232" s="38"/>
      <c r="K232" s="38"/>
      <c r="L232" s="32"/>
      <c r="M232" s="32"/>
      <c r="N232" s="32"/>
      <c r="O232" s="32"/>
      <c r="P232" s="32"/>
      <c r="Q232" s="113"/>
      <c r="R232" s="32"/>
      <c r="S232" s="32"/>
      <c r="T232" s="113"/>
      <c r="U232" s="32"/>
      <c r="V232" s="32"/>
      <c r="W232" s="32">
        <f>W188/W14/2</f>
        <v>0.104786135897578</v>
      </c>
      <c r="X232" s="32">
        <f>X188/X14</f>
        <v>0.13874551664460025</v>
      </c>
      <c r="Y232" s="32">
        <f>Y188/Y14/2</f>
        <v>0.18097786195382232</v>
      </c>
      <c r="Z232" s="32">
        <f>Z188/Z14/2</f>
        <v>0.18230707246223024</v>
      </c>
      <c r="AA232" s="474">
        <f>AA188/AA14</f>
        <v>0.19478038281326121</v>
      </c>
      <c r="AB232" s="32">
        <f>AB188/AB14/2</f>
        <v>0.20167055120890465</v>
      </c>
      <c r="AC232" s="32">
        <f>AC188/AC14/2</f>
        <v>0.18840816638499883</v>
      </c>
      <c r="AD232" s="32">
        <f>AD188/AD14</f>
        <v>0.20548351218322425</v>
      </c>
      <c r="AE232" s="32">
        <f>AE188/AE14/2</f>
        <v>0.18518366571699904</v>
      </c>
      <c r="AF232" s="32">
        <f>AF188/AF14/2</f>
        <v>0.17715128318112572</v>
      </c>
      <c r="AG232" s="32">
        <f>AG188/AG14</f>
        <v>0.18190838041034443</v>
      </c>
      <c r="AH232" s="113">
        <f t="shared" ref="AH232:AH233" si="443">AE232</f>
        <v>0.18518366571699904</v>
      </c>
      <c r="AI232" s="32">
        <f>AI188/AI14/2</f>
        <v>0.16472542313958607</v>
      </c>
      <c r="AJ232" s="32">
        <f>AJ188/AJ14</f>
        <v>0.17595193835802656</v>
      </c>
      <c r="AK232" s="113">
        <f t="shared" ref="AK232:AK233" si="444">AH232</f>
        <v>0.18518366571699904</v>
      </c>
      <c r="AL232" s="32">
        <f>AL188/AL14/2</f>
        <v>0.170974896841385</v>
      </c>
      <c r="AM232" s="33">
        <f>AM188/AM14</f>
        <v>0.1667160384467159</v>
      </c>
      <c r="AN232" s="599">
        <f t="shared" ref="AN232:AN233" si="445">AK232</f>
        <v>0.18518366571699904</v>
      </c>
      <c r="AO232" s="113">
        <f t="shared" si="438"/>
        <v>0.170974896841385</v>
      </c>
      <c r="AP232" s="32">
        <f>AP188/AP14</f>
        <v>0.17519213023782532</v>
      </c>
      <c r="AQ232" s="113">
        <f t="shared" si="439"/>
        <v>0.18518366571699904</v>
      </c>
      <c r="AR232" s="113">
        <f t="shared" si="439"/>
        <v>0.170974896841385</v>
      </c>
      <c r="AS232" s="32">
        <f>AS188/AS14</f>
        <v>0.17258346186082346</v>
      </c>
      <c r="AT232" s="113">
        <f t="shared" si="440"/>
        <v>0.18518366571699904</v>
      </c>
      <c r="AU232" s="113">
        <f t="shared" si="440"/>
        <v>0.170974896841385</v>
      </c>
      <c r="AV232" s="32">
        <f>AV188/AV14</f>
        <v>0.17200854836755525</v>
      </c>
      <c r="AW232" s="113">
        <f t="shared" si="441"/>
        <v>0.18518366571699904</v>
      </c>
      <c r="AX232" s="113">
        <f t="shared" si="441"/>
        <v>0.170974896841385</v>
      </c>
      <c r="AY232" s="32">
        <f>AY188/AY14</f>
        <v>0.17202066748281591</v>
      </c>
      <c r="AZ232" s="113">
        <f t="shared" si="442"/>
        <v>0.18518366571699904</v>
      </c>
      <c r="BA232" s="113">
        <f t="shared" si="442"/>
        <v>0.170974896841385</v>
      </c>
      <c r="BB232" s="32">
        <f>BB188/BB14</f>
        <v>0.1721108908881244</v>
      </c>
    </row>
    <row r="233" spans="1:62">
      <c r="B233" s="7" t="s">
        <v>13</v>
      </c>
      <c r="C233" s="73" t="s">
        <v>82</v>
      </c>
      <c r="D233" s="38"/>
      <c r="E233" s="105"/>
      <c r="F233" s="38"/>
      <c r="G233" s="38"/>
      <c r="H233" s="38"/>
      <c r="I233" s="38"/>
      <c r="J233" s="38"/>
      <c r="K233" s="38"/>
      <c r="L233" s="32"/>
      <c r="M233" s="32"/>
      <c r="N233" s="32"/>
      <c r="O233" s="32"/>
      <c r="P233" s="32"/>
      <c r="Q233" s="113"/>
      <c r="R233" s="32"/>
      <c r="S233" s="32"/>
      <c r="T233" s="113"/>
      <c r="U233" s="32"/>
      <c r="V233" s="32"/>
      <c r="W233" s="32">
        <f>W203/W14/2</f>
        <v>6.7018719170869587E-2</v>
      </c>
      <c r="X233" s="32">
        <f>X203/X14</f>
        <v>8.8738331045153079E-2</v>
      </c>
      <c r="Y233" s="32">
        <f>Y203/Y14/2</f>
        <v>0.1440142465419999</v>
      </c>
      <c r="Z233" s="32">
        <f>Z203/Z14/2</f>
        <v>0.1492071334774708</v>
      </c>
      <c r="AA233" s="474">
        <f>AA203/AA14</f>
        <v>0.15941577133949214</v>
      </c>
      <c r="AB233" s="32">
        <f>AB203/AB14/2</f>
        <v>0.15843245564746802</v>
      </c>
      <c r="AC233" s="32">
        <f>AC203/AC14/2</f>
        <v>0.12255097621251622</v>
      </c>
      <c r="AD233" s="32">
        <f>AD203/AD14</f>
        <v>0.13365771503859625</v>
      </c>
      <c r="AE233" s="32">
        <f>AE203/AE14/2</f>
        <v>0.13068490028490029</v>
      </c>
      <c r="AF233" s="32">
        <f>AF203/AF14/2</f>
        <v>0.11990925140327686</v>
      </c>
      <c r="AG233" s="32">
        <f>AG203/AG14</f>
        <v>0.12312921096193839</v>
      </c>
      <c r="AH233" s="113">
        <f t="shared" si="443"/>
        <v>0.13068490028490029</v>
      </c>
      <c r="AI233" s="32">
        <f>AI203/AI14/2</f>
        <v>0.12353716965176258</v>
      </c>
      <c r="AJ233" s="32">
        <f>AJ203/AJ14</f>
        <v>0.13195658596713813</v>
      </c>
      <c r="AK233" s="113">
        <f t="shared" si="444"/>
        <v>0.13068490028490029</v>
      </c>
      <c r="AL233" s="32">
        <f>AL203/AL14/2</f>
        <v>0.13803492792907054</v>
      </c>
      <c r="AM233" s="33">
        <f>AM203/AM14</f>
        <v>0.13459657982985432</v>
      </c>
      <c r="AN233" s="599">
        <f t="shared" si="445"/>
        <v>0.13068490028490029</v>
      </c>
      <c r="AO233" s="113">
        <f t="shared" si="438"/>
        <v>0.13803492792907054</v>
      </c>
      <c r="AP233" s="32">
        <f>AP203/AP14</f>
        <v>0.14143967048889647</v>
      </c>
      <c r="AQ233" s="113">
        <f t="shared" si="439"/>
        <v>0.13068490028490029</v>
      </c>
      <c r="AR233" s="113">
        <f t="shared" si="439"/>
        <v>0.13803492792907054</v>
      </c>
      <c r="AS233" s="32">
        <f>AS203/AS14</f>
        <v>0.13933358732661591</v>
      </c>
      <c r="AT233" s="113">
        <f t="shared" si="440"/>
        <v>0.13068490028490029</v>
      </c>
      <c r="AU233" s="113">
        <f t="shared" si="440"/>
        <v>0.13803492792907054</v>
      </c>
      <c r="AV233" s="32">
        <f>AV203/AV14</f>
        <v>0.13886943648298444</v>
      </c>
      <c r="AW233" s="113">
        <f t="shared" si="441"/>
        <v>0.13068490028490029</v>
      </c>
      <c r="AX233" s="113">
        <f t="shared" si="441"/>
        <v>0.13803492792907054</v>
      </c>
      <c r="AY233" s="32">
        <f>AY203/AY14</f>
        <v>0.13887922073337722</v>
      </c>
      <c r="AZ233" s="113">
        <f t="shared" si="442"/>
        <v>0.13068490028490029</v>
      </c>
      <c r="BA233" s="113">
        <f t="shared" si="442"/>
        <v>0.13803492792907054</v>
      </c>
      <c r="BB233" s="32">
        <f>BB203/BB14</f>
        <v>0.13895206172629104</v>
      </c>
    </row>
    <row r="234" spans="1:62">
      <c r="C234" s="73"/>
      <c r="L234" s="113"/>
      <c r="M234" s="113"/>
      <c r="N234" s="113"/>
      <c r="O234" s="113"/>
      <c r="P234" s="113"/>
      <c r="Q234" s="113"/>
      <c r="R234" s="113"/>
      <c r="S234" s="113"/>
      <c r="T234" s="113"/>
      <c r="U234" s="113"/>
      <c r="V234" s="113"/>
      <c r="W234" s="113"/>
      <c r="X234" s="113"/>
      <c r="Y234" s="113"/>
      <c r="Z234" s="113"/>
      <c r="AB234" s="113"/>
      <c r="AC234" s="113"/>
      <c r="AD234" s="113"/>
      <c r="AE234" s="113"/>
      <c r="AF234" s="113"/>
      <c r="AG234" s="113"/>
      <c r="AH234" s="113"/>
      <c r="AI234" s="113"/>
      <c r="AJ234" s="113"/>
      <c r="AK234" s="113"/>
      <c r="AL234" s="113"/>
      <c r="AM234" s="414"/>
      <c r="AN234" s="599"/>
      <c r="AO234" s="113"/>
      <c r="AP234" s="113"/>
      <c r="AQ234" s="113"/>
      <c r="AR234" s="113"/>
      <c r="AS234" s="113"/>
      <c r="AT234" s="113"/>
      <c r="AU234" s="113"/>
      <c r="AV234" s="113"/>
      <c r="AW234" s="113"/>
      <c r="AX234" s="113"/>
      <c r="AY234" s="113"/>
      <c r="AZ234" s="113"/>
      <c r="BA234" s="113"/>
      <c r="BB234" s="113"/>
    </row>
    <row r="235" spans="1:62">
      <c r="B235" s="7" t="s">
        <v>14</v>
      </c>
      <c r="C235" s="73" t="s">
        <v>15</v>
      </c>
      <c r="D235" s="30"/>
      <c r="E235" s="30"/>
      <c r="F235" s="30"/>
      <c r="G235" s="30"/>
      <c r="H235" s="30"/>
      <c r="I235" s="30"/>
      <c r="J235" s="30"/>
      <c r="K235" s="30"/>
      <c r="L235" s="165"/>
      <c r="M235" s="165"/>
      <c r="N235" s="165"/>
      <c r="O235" s="165"/>
      <c r="P235" s="165"/>
      <c r="Q235" s="165"/>
      <c r="R235" s="165"/>
      <c r="S235" s="165"/>
      <c r="T235" s="165"/>
      <c r="U235" s="165"/>
      <c r="V235" s="165"/>
      <c r="W235" s="165">
        <f>365/(W$14/AVERAGE(V189:W189))*0.5</f>
        <v>31.097935602911566</v>
      </c>
      <c r="X235" s="165">
        <f>365/(X$14/AVERAGE(W189:X189))</f>
        <v>41.176240586100299</v>
      </c>
      <c r="Y235" s="165">
        <f>365/(Y$14/AVERAGE(X189:Y189))*0.5</f>
        <v>58.284180196317799</v>
      </c>
      <c r="Z235" s="165">
        <f>365/(Z$14/AVERAGE(Y189:Z189))*0.5</f>
        <v>58.014664797522251</v>
      </c>
      <c r="AA235" s="394">
        <f>365/(AA$14/AVERAGE(Z189:AA189))</f>
        <v>63.085601544716177</v>
      </c>
      <c r="AB235" s="165">
        <f>365/(AB$14/AVERAGE(AA189:AB189))*0.5</f>
        <v>79.150859720211102</v>
      </c>
      <c r="AC235" s="165">
        <f>365/(AC$14/AVERAGE(AB189:AC189))*0.5</f>
        <v>81.546842843514412</v>
      </c>
      <c r="AD235" s="165">
        <f>365/(AD$14/AVERAGE(AC189:AD189))</f>
        <v>88.894151172474693</v>
      </c>
      <c r="AE235" s="165">
        <f>365/(AE$14/AVERAGE(AD189:AE189))*0.5</f>
        <v>91.550457739791057</v>
      </c>
      <c r="AF235" s="165">
        <f>365/(AF$14/AVERAGE(AE189:AF189))*0.5</f>
        <v>83.327780345772027</v>
      </c>
      <c r="AG235" s="165">
        <f>365/(AG$14/AVERAGE(AF189:AG189))</f>
        <v>78.096184969217873</v>
      </c>
      <c r="AH235" s="165">
        <f>365/(AH$14/AVERAGE(AG189:AH189))*0.5</f>
        <v>84.020307078993881</v>
      </c>
      <c r="AI235" s="165">
        <f>365/(AI$14/AVERAGE(AH189:AI189))*0.5</f>
        <v>73.724180173518619</v>
      </c>
      <c r="AJ235" s="165">
        <f>365/(AJ$14/AVERAGE(AI189:AJ189))</f>
        <v>78.735788432109771</v>
      </c>
      <c r="AK235" s="165">
        <f>365/(AK$14/AVERAGE(AJ189:AK189))*0.5</f>
        <v>76.187193605957972</v>
      </c>
      <c r="AL235" s="165">
        <f>365/(AL$14/AVERAGE(AK189:AL189))*0.5</f>
        <v>82.50263242498697</v>
      </c>
      <c r="AM235" s="428">
        <f>365/(AM$14/AVERAGE(AL189:AM189))</f>
        <v>81.561599444351799</v>
      </c>
      <c r="AN235" s="577">
        <f>365/(AN$14/AVERAGE(AM189:AN189))*0.5</f>
        <v>87.476940288563057</v>
      </c>
      <c r="AO235" s="165">
        <f>365/(AO$14/AVERAGE(AN189:AO189))*0.5</f>
        <v>85.559870826981168</v>
      </c>
      <c r="AP235" s="165">
        <f>365/(AP$14/AVERAGE(AO189:AP189))</f>
        <v>85.708312681788613</v>
      </c>
      <c r="AQ235" s="165">
        <f>365/(AQ$14/AVERAGE(AP189:AQ189))*0.5</f>
        <v>82.738275339684066</v>
      </c>
      <c r="AR235" s="165">
        <f>365/(AR$14/AVERAGE(AQ189:AR189))*0.5</f>
        <v>83.359497874900072</v>
      </c>
      <c r="AS235" s="165">
        <f>365/(AS$14/AVERAGE(AR189:AS189))</f>
        <v>84.432087747280164</v>
      </c>
      <c r="AT235" s="165">
        <f>365/(AT$14/AVERAGE(AS189:AT189))*0.5</f>
        <v>82.517959194828975</v>
      </c>
      <c r="AU235" s="165">
        <f>365/(AU$14/AVERAGE(AT189:AU189))*0.5</f>
        <v>83.639797242564285</v>
      </c>
      <c r="AV235" s="165">
        <f>365/(AV$14/AVERAGE(AU189:AV189))</f>
        <v>84.150825881355431</v>
      </c>
      <c r="AW235" s="165">
        <f>365/(AW$14/AVERAGE(AV189:AW189))*0.5</f>
        <v>83.02041384101949</v>
      </c>
      <c r="AX235" s="165">
        <f>365/(AX$14/AVERAGE(AW189:AX189))*0.5</f>
        <v>83.633869230483597</v>
      </c>
      <c r="AY235" s="165">
        <f>365/(AY$14/AVERAGE(AX189:AY189))</f>
        <v>84.156754851559654</v>
      </c>
      <c r="AZ235" s="165">
        <f>365/(AZ$14/AVERAGE(AY189:AZ189))*0.5</f>
        <v>83.146422241825093</v>
      </c>
      <c r="BA235" s="165">
        <f>365/(BA$14/AVERAGE(AZ189:BA189))*0.5</f>
        <v>83.589763089952669</v>
      </c>
      <c r="BB235" s="165">
        <f>365/(BB$14/AVERAGE(BA189:BB189))</f>
        <v>84.200894367546454</v>
      </c>
    </row>
    <row r="236" spans="1:62">
      <c r="B236" s="7" t="s">
        <v>16</v>
      </c>
      <c r="C236" s="73" t="s">
        <v>15</v>
      </c>
      <c r="D236" s="30"/>
      <c r="E236" s="30"/>
      <c r="F236" s="30"/>
      <c r="G236" s="30"/>
      <c r="H236" s="30"/>
      <c r="I236" s="30"/>
      <c r="J236" s="30"/>
      <c r="K236" s="30"/>
      <c r="L236" s="165"/>
      <c r="M236" s="165"/>
      <c r="N236" s="165"/>
      <c r="O236" s="165"/>
      <c r="P236" s="165"/>
      <c r="Q236" s="165"/>
      <c r="R236" s="165"/>
      <c r="S236" s="165"/>
      <c r="T236" s="165"/>
      <c r="U236" s="165"/>
      <c r="V236" s="165"/>
      <c r="W236" s="165">
        <f>365/(W$14/AVERAGE(V188:W188))*0.5</f>
        <v>38.246939602615967</v>
      </c>
      <c r="X236" s="165">
        <f>365/(X$14/AVERAGE(W188:X188))</f>
        <v>50.64211357527909</v>
      </c>
      <c r="Y236" s="165">
        <f>365/(Y$14/AVERAGE(X188:Y188))*0.5</f>
        <v>64.522499819351097</v>
      </c>
      <c r="Z236" s="165">
        <f>365/(Z$14/AVERAGE(Y188:Z188))*0.5</f>
        <v>62.069359654998614</v>
      </c>
      <c r="AA236" s="394">
        <f>365/(AA$14/AVERAGE(Z188:AA188))</f>
        <v>71.094839726840348</v>
      </c>
      <c r="AB236" s="165">
        <f>365/(AB$14/AVERAGE(AA188:AB188))*0.5</f>
        <v>70.868937864865458</v>
      </c>
      <c r="AC236" s="165">
        <f>365/(AC$14/AVERAGE(AB188:AC188))*0.5</f>
        <v>65.072515307725624</v>
      </c>
      <c r="AD236" s="165">
        <f>365/(AD$14/AVERAGE(AC188:AD188))</f>
        <v>75.001481946876851</v>
      </c>
      <c r="AE236" s="165">
        <f>365/(AE$14/AVERAGE(AD188:AE188))*0.5</f>
        <v>70.708229819563158</v>
      </c>
      <c r="AF236" s="165">
        <f>365/(AF$14/AVERAGE(AE188:AF188))*0.5</f>
        <v>64.358524636904832</v>
      </c>
      <c r="AG236" s="165">
        <f>365/(AG$14/AVERAGE(AF188:AG188))</f>
        <v>66.396558849775715</v>
      </c>
      <c r="AH236" s="165">
        <f>365/(AH$14/AVERAGE(AG188:AH188))*0.5</f>
        <v>66.707888715293706</v>
      </c>
      <c r="AI236" s="165">
        <f>365/(AI$14/AVERAGE(AH188:AI188))*0.5</f>
        <v>57.284983079934726</v>
      </c>
      <c r="AJ236" s="165">
        <f>365/(AJ$14/AVERAGE(AI188:AJ188))</f>
        <v>64.222457500679681</v>
      </c>
      <c r="AK236" s="165">
        <f>365/(AK$14/AVERAGE(AJ188:AK188))*0.5</f>
        <v>60.404861054598818</v>
      </c>
      <c r="AL236" s="165">
        <f>365/(AL$14/AVERAGE(AK188:AL188))*0.5</f>
        <v>62.556825723142637</v>
      </c>
      <c r="AM236" s="428">
        <f>365/(AM$14/AVERAGE(AL188:AM188))</f>
        <v>60.851354033051301</v>
      </c>
      <c r="AN236" s="577">
        <f>365/(AN$14/AVERAGE(AM188:AN188))*0.5</f>
        <v>60.46449448748794</v>
      </c>
      <c r="AO236" s="165">
        <f>365/(AO$14/AVERAGE(AN188:AO188))*0.5</f>
        <v>59.265309972692378</v>
      </c>
      <c r="AP236" s="165">
        <f>365/(AP$14/AVERAGE(AO188:AP188))</f>
        <v>63.945127536806233</v>
      </c>
      <c r="AQ236" s="165">
        <f>365/(AQ$14/AVERAGE(AP188:AQ188))*0.5</f>
        <v>63.946802455773842</v>
      </c>
      <c r="AR236" s="165">
        <f>365/(AR$14/AVERAGE(AQ188:AR188))*0.5</f>
        <v>64.368945738792917</v>
      </c>
      <c r="AS236" s="165">
        <f>365/(AS$14/AVERAGE(AR188:AS188))</f>
        <v>62.992963579200563</v>
      </c>
      <c r="AT236" s="165">
        <f>365/(AT$14/AVERAGE(AS188:AT188))*0.5</f>
        <v>63.782429321589277</v>
      </c>
      <c r="AU236" s="165">
        <f>365/(AU$14/AVERAGE(AT188:AU188))*0.5</f>
        <v>64.592756614364504</v>
      </c>
      <c r="AV236" s="165">
        <f>365/(AV$14/AVERAGE(AU188:AV188))</f>
        <v>62.783120154157658</v>
      </c>
      <c r="AW236" s="165">
        <f>365/(AW$14/AVERAGE(AV188:AW188))*0.5</f>
        <v>64.157299919630361</v>
      </c>
      <c r="AX236" s="165">
        <f>365/(AX$14/AVERAGE(AW188:AX188))*0.5</f>
        <v>64.588023269493846</v>
      </c>
      <c r="AY236" s="165">
        <f>365/(AY$14/AVERAGE(AX188:AY188))</f>
        <v>62.787543631227805</v>
      </c>
      <c r="AZ236" s="165">
        <f>365/(AZ$14/AVERAGE(AY188:AZ188))*0.5</f>
        <v>64.251312075605682</v>
      </c>
      <c r="BA236" s="165">
        <f>365/(BA$14/AVERAGE(AZ188:BA188))*0.5</f>
        <v>64.552805801782213</v>
      </c>
      <c r="BB236" s="165">
        <f>365/(BB$14/AVERAGE(BA188:BB188))</f>
        <v>62.820475174165409</v>
      </c>
    </row>
    <row r="237" spans="1:62">
      <c r="B237" s="7" t="s">
        <v>17</v>
      </c>
      <c r="C237" s="73" t="s">
        <v>15</v>
      </c>
      <c r="D237" s="30"/>
      <c r="E237" s="30"/>
      <c r="F237" s="30"/>
      <c r="G237" s="30"/>
      <c r="H237" s="30"/>
      <c r="I237" s="30"/>
      <c r="J237" s="30"/>
      <c r="K237" s="30"/>
      <c r="L237" s="165"/>
      <c r="M237" s="165"/>
      <c r="N237" s="165"/>
      <c r="O237" s="165"/>
      <c r="P237" s="165"/>
      <c r="Q237" s="165"/>
      <c r="R237" s="165"/>
      <c r="S237" s="165"/>
      <c r="T237" s="165"/>
      <c r="U237" s="165"/>
      <c r="V237" s="165"/>
      <c r="W237" s="165">
        <f>365/(W$14/AVERAGE(V203:W203))*0.5</f>
        <v>24.4618324973674</v>
      </c>
      <c r="X237" s="165">
        <f>365/(X$14/AVERAGE(W203:X203))</f>
        <v>32.38949083148087</v>
      </c>
      <c r="Y237" s="165">
        <f>365/(Y$14/AVERAGE(X203:Y203))*0.5</f>
        <v>46.425438596491219</v>
      </c>
      <c r="Z237" s="165">
        <f>365/(Z$14/AVERAGE(Y203:Z203))*0.5</f>
        <v>50.146741239007319</v>
      </c>
      <c r="AA237" s="394">
        <f>365/(AA$14/AVERAGE(Z203:AA203))</f>
        <v>58.186756538914636</v>
      </c>
      <c r="AB237" s="165">
        <f>365/(AB$14/AVERAGE(AA203:AB203))*0.5</f>
        <v>56.793264407464441</v>
      </c>
      <c r="AC237" s="165">
        <f>365/(AC$14/AVERAGE(AB203:AC203))*0.5</f>
        <v>46.474076299422791</v>
      </c>
      <c r="AD237" s="165">
        <f>365/(AD$14/AVERAGE(AC203:AD203))</f>
        <v>48.785065989087627</v>
      </c>
      <c r="AE237" s="165">
        <f>365/(AE$14/AVERAGE(AD203:AE203))*0.5</f>
        <v>47.859715099715096</v>
      </c>
      <c r="AF237" s="165">
        <f>365/(AF$14/AVERAGE(AE203:AF203))*0.5</f>
        <v>44.486027351298738</v>
      </c>
      <c r="AG237" s="165">
        <f>365/(AG$14/AVERAGE(AF203:AG203))</f>
        <v>44.942162001107512</v>
      </c>
      <c r="AH237" s="165">
        <f>365/(AH$14/AVERAGE(AG203:AH203))*0.5</f>
        <v>48.547872079673859</v>
      </c>
      <c r="AI237" s="165">
        <f>365/(AI$14/AVERAGE(AH203:AI203))*0.5</f>
        <v>43.933572016846959</v>
      </c>
      <c r="AJ237" s="165">
        <f>365/(AJ$14/AVERAGE(AI203:AJ203))</f>
        <v>48.164153878005422</v>
      </c>
      <c r="AK237" s="165">
        <f>365/(AK$14/AVERAGE(AJ203:AK203))*0.5</f>
        <v>45.988731995184679</v>
      </c>
      <c r="AL237" s="165">
        <f>365/(AL$14/AVERAGE(AK203:AL203))*0.5</f>
        <v>49.428238398895715</v>
      </c>
      <c r="AM237" s="428">
        <f>365/(AM$14/AVERAGE(AL203:AM203))</f>
        <v>49.127751637896829</v>
      </c>
      <c r="AN237" s="577">
        <f>365/(AN$14/AVERAGE(AM203:AN203))*0.5</f>
        <v>52.539559174755929</v>
      </c>
      <c r="AO237" s="165">
        <f>365/(AO$14/AVERAGE(AN203:AO203))*0.5</f>
        <v>51.392114058086442</v>
      </c>
      <c r="AP237" s="165">
        <f>365/(AP$14/AVERAGE(AO203:AP203))</f>
        <v>51.625479728447203</v>
      </c>
      <c r="AQ237" s="165">
        <f>365/(AQ$14/AVERAGE(AP203:AQ203))*0.5</f>
        <v>48.191937471004458</v>
      </c>
      <c r="AR237" s="165">
        <f>365/(AR$14/AVERAGE(AQ203:AR203))*0.5</f>
        <v>48.596780666697889</v>
      </c>
      <c r="AS237" s="165">
        <f>365/(AS$14/AVERAGE(AR203:AS203))</f>
        <v>50.856759374214803</v>
      </c>
      <c r="AT237" s="165">
        <f>365/(AT$14/AVERAGE(AS203:AT203))*0.5</f>
        <v>48.059232412251355</v>
      </c>
      <c r="AU237" s="165">
        <f>365/(AU$14/AVERAGE(AT203:AU203))*0.5</f>
        <v>48.754724953217433</v>
      </c>
      <c r="AV237" s="165">
        <f>365/(AV$14/AVERAGE(AU203:AV203))</f>
        <v>50.68734431628932</v>
      </c>
      <c r="AW237" s="165">
        <f>365/(AW$14/AVERAGE(AV203:AW203))*0.5</f>
        <v>48.361880560835012</v>
      </c>
      <c r="AX237" s="165">
        <f>365/(AX$14/AVERAGE(AW203:AX203))*0.5</f>
        <v>48.751384611616366</v>
      </c>
      <c r="AY237" s="165">
        <f>365/(AY$14/AVERAGE(AX203:AY203))</f>
        <v>50.69091556768268</v>
      </c>
      <c r="AZ237" s="165">
        <f>365/(AZ$14/AVERAGE(AY203:AZ203))*0.5</f>
        <v>48.437780364924677</v>
      </c>
      <c r="BA237" s="165">
        <f>365/(BA$14/AVERAGE(AZ203:BA203))*0.5</f>
        <v>48.726531494909956</v>
      </c>
      <c r="BB237" s="165">
        <f>365/(BB$14/AVERAGE(BA203:BB203))</f>
        <v>50.717502530096233</v>
      </c>
    </row>
    <row r="238" spans="1:62">
      <c r="C238" s="73"/>
      <c r="J238" s="4"/>
      <c r="L238" s="165"/>
      <c r="M238" s="165"/>
      <c r="N238" s="165"/>
      <c r="O238" s="165"/>
      <c r="P238" s="165"/>
      <c r="Q238" s="165"/>
      <c r="R238" s="165"/>
      <c r="S238" s="165"/>
      <c r="T238" s="165"/>
      <c r="U238" s="165"/>
      <c r="V238" s="165"/>
      <c r="W238" s="165"/>
      <c r="X238" s="165"/>
      <c r="Y238" s="165"/>
      <c r="Z238" s="165"/>
      <c r="AB238" s="165"/>
      <c r="AC238" s="165"/>
      <c r="AD238" s="165"/>
      <c r="AE238" s="165"/>
      <c r="AF238" s="165"/>
      <c r="AG238" s="165"/>
      <c r="AH238" s="165"/>
      <c r="AI238" s="165"/>
      <c r="AJ238" s="165"/>
      <c r="AK238" s="165"/>
      <c r="AL238" s="165"/>
      <c r="AM238" s="428"/>
      <c r="AN238" s="577"/>
      <c r="AO238" s="165"/>
      <c r="AP238" s="165"/>
      <c r="AQ238" s="165"/>
      <c r="AR238" s="165"/>
      <c r="AS238" s="165"/>
      <c r="AT238" s="165"/>
      <c r="AU238" s="165"/>
      <c r="AV238" s="165"/>
      <c r="AW238" s="165"/>
      <c r="AX238" s="165"/>
      <c r="AY238" s="165"/>
      <c r="AZ238" s="165"/>
      <c r="BA238" s="165"/>
      <c r="BB238" s="165"/>
    </row>
    <row r="239" spans="1:62">
      <c r="B239" s="7" t="s">
        <v>18</v>
      </c>
      <c r="C239" s="73" t="s">
        <v>269</v>
      </c>
      <c r="H239" s="30"/>
      <c r="I239" s="30"/>
      <c r="J239" s="106"/>
      <c r="K239" s="44"/>
      <c r="L239" s="187"/>
      <c r="M239" s="187"/>
      <c r="N239" s="187"/>
      <c r="O239" s="187"/>
      <c r="P239" s="187"/>
      <c r="Q239" s="187"/>
      <c r="R239" s="187"/>
      <c r="S239" s="187"/>
      <c r="T239" s="187"/>
      <c r="U239" s="187"/>
      <c r="V239" s="187"/>
      <c r="W239" s="187">
        <f>W14*W231*2</f>
        <v>147.577</v>
      </c>
      <c r="X239" s="187">
        <f>X189</f>
        <v>147.577</v>
      </c>
      <c r="Y239" s="187">
        <f>Y189</f>
        <v>188.32</v>
      </c>
      <c r="Z239" s="187">
        <f>Z14*Z231*2</f>
        <v>195.13499999999999</v>
      </c>
      <c r="AA239" s="483">
        <f>AA189</f>
        <v>195.13499999999999</v>
      </c>
      <c r="AB239" s="187">
        <f>AB189</f>
        <v>315.84300000000002</v>
      </c>
      <c r="AC239" s="187">
        <f>AC14*AC231*2</f>
        <v>315.536</v>
      </c>
      <c r="AD239" s="187">
        <f>AD189</f>
        <v>315.536</v>
      </c>
      <c r="AE239" s="187">
        <f>AE189</f>
        <v>344.75599999999997</v>
      </c>
      <c r="AF239" s="187">
        <f>AF14*AF231*2</f>
        <v>289.399</v>
      </c>
      <c r="AG239" s="187">
        <f>AG189</f>
        <v>289.399</v>
      </c>
      <c r="AH239" s="187">
        <f>AH189</f>
        <v>292.87599999999998</v>
      </c>
      <c r="AI239" s="187">
        <f>AI14*AI231*2</f>
        <v>292.77999999999997</v>
      </c>
      <c r="AJ239" s="187">
        <f>AJ189</f>
        <v>292.77999999999997</v>
      </c>
      <c r="AK239" s="187">
        <f>AK189</f>
        <v>302.29500000000002</v>
      </c>
      <c r="AL239" s="187">
        <f>AL14*AL231*2</f>
        <v>310.78500000000003</v>
      </c>
      <c r="AM239" s="438">
        <f>AM189</f>
        <v>310.78500000000003</v>
      </c>
      <c r="AN239" s="607">
        <f>AN189</f>
        <v>343.87900000000002</v>
      </c>
      <c r="AO239" s="187">
        <f>AO14*AO231*2</f>
        <v>328.82465587951242</v>
      </c>
      <c r="AP239" s="187">
        <f>AP189</f>
        <v>328.82465587951242</v>
      </c>
      <c r="AQ239" s="187">
        <f>AQ14*AQ231*2</f>
        <v>344.3949403736209</v>
      </c>
      <c r="AR239" s="187">
        <f>AR14*AR231*2</f>
        <v>346.76326740677285</v>
      </c>
      <c r="AS239" s="187">
        <f>AS189</f>
        <v>346.76326740677285</v>
      </c>
      <c r="AT239" s="187">
        <f>AT14*AT231*2</f>
        <v>365.17378824799249</v>
      </c>
      <c r="AU239" s="187">
        <f>AU14*AU231*2</f>
        <v>365.22042747748645</v>
      </c>
      <c r="AV239" s="187">
        <f>AV189</f>
        <v>365.22042747748645</v>
      </c>
      <c r="AW239" s="187">
        <f>AW14*AW231*2</f>
        <v>379.86209581701991</v>
      </c>
      <c r="AX239" s="187">
        <f>AX14*AX231*2</f>
        <v>379.96447478669586</v>
      </c>
      <c r="AY239" s="187">
        <f>AY189</f>
        <v>379.96447478669586</v>
      </c>
      <c r="AZ239" s="187">
        <f>AZ14*AZ231*2</f>
        <v>393.97730063925155</v>
      </c>
      <c r="BA239" s="187">
        <f>BA14*BA231*2</f>
        <v>394.49963588882491</v>
      </c>
      <c r="BB239" s="187">
        <f>BB189</f>
        <v>394.49963588882491</v>
      </c>
    </row>
    <row r="240" spans="1:62">
      <c r="B240" s="7" t="s">
        <v>19</v>
      </c>
      <c r="C240" s="73" t="s">
        <v>269</v>
      </c>
      <c r="H240" s="30"/>
      <c r="I240" s="30"/>
      <c r="J240" s="106"/>
      <c r="K240" s="44"/>
      <c r="L240" s="187"/>
      <c r="M240" s="187"/>
      <c r="N240" s="187"/>
      <c r="O240" s="187"/>
      <c r="P240" s="187"/>
      <c r="Q240" s="187"/>
      <c r="R240" s="187"/>
      <c r="S240" s="187"/>
      <c r="T240" s="187"/>
      <c r="U240" s="187"/>
      <c r="V240" s="187"/>
      <c r="W240" s="187">
        <f>W14*W232*2</f>
        <v>181.50299999999999</v>
      </c>
      <c r="X240" s="187">
        <f>X188</f>
        <v>181.50299999999999</v>
      </c>
      <c r="Y240" s="187">
        <f>Y188</f>
        <v>190.346</v>
      </c>
      <c r="Z240" s="187">
        <f>Z14*Z232*2</f>
        <v>219.90899999999996</v>
      </c>
      <c r="AA240" s="483">
        <f>AA188</f>
        <v>219.90899999999999</v>
      </c>
      <c r="AB240" s="187">
        <f>AB188</f>
        <v>237.60300000000001</v>
      </c>
      <c r="AC240" s="187">
        <f>AC14*AC232*2</f>
        <v>266.22300000000001</v>
      </c>
      <c r="AD240" s="187">
        <f>AD188</f>
        <v>266.22300000000001</v>
      </c>
      <c r="AE240" s="187">
        <f>AE188</f>
        <v>243.74799999999999</v>
      </c>
      <c r="AF240" s="187">
        <f>AF14*AF232*2</f>
        <v>246.04400000000004</v>
      </c>
      <c r="AG240" s="187">
        <f>AG188</f>
        <v>246.04400000000001</v>
      </c>
      <c r="AH240" s="187">
        <f>AH188</f>
        <v>216.25299999999999</v>
      </c>
      <c r="AI240" s="187">
        <f>AI14*AI232*2</f>
        <v>238.81199999999998</v>
      </c>
      <c r="AJ240" s="187">
        <f>AJ188</f>
        <v>238.81200000000001</v>
      </c>
      <c r="AK240" s="187">
        <f>AK188</f>
        <v>232.99199999999999</v>
      </c>
      <c r="AL240" s="187">
        <f>AL14*AL232*2</f>
        <v>231.87</v>
      </c>
      <c r="AM240" s="438">
        <f>AM188</f>
        <v>231.87</v>
      </c>
      <c r="AN240" s="607">
        <f>AN188</f>
        <v>220.637</v>
      </c>
      <c r="AO240" s="187">
        <f>AO14*AO232*2</f>
        <v>245.32899901469679</v>
      </c>
      <c r="AP240" s="187">
        <f>AP188</f>
        <v>245.32899901469679</v>
      </c>
      <c r="AQ240" s="187">
        <f>AQ14*AQ232*2</f>
        <v>274.98932227265294</v>
      </c>
      <c r="AR240" s="187">
        <f>AR14*AR232*2</f>
        <v>258.71261101278509</v>
      </c>
      <c r="AS240" s="187">
        <f>AS188</f>
        <v>258.71261101278509</v>
      </c>
      <c r="AT240" s="187">
        <f>AT14*AT232*2</f>
        <v>291.58062668723335</v>
      </c>
      <c r="AU240" s="187">
        <f>AU14*AU232*2</f>
        <v>272.48310091930045</v>
      </c>
      <c r="AV240" s="187">
        <f>AV188</f>
        <v>272.48310091930045</v>
      </c>
      <c r="AW240" s="187">
        <f>AW14*AW232*2</f>
        <v>303.30881218077525</v>
      </c>
      <c r="AX240" s="187">
        <f>AX14*AX232*2</f>
        <v>283.48331730550433</v>
      </c>
      <c r="AY240" s="187">
        <f>AY188</f>
        <v>283.48331730550433</v>
      </c>
      <c r="AZ240" s="187">
        <f>AZ14*AZ232*2</f>
        <v>314.57939183445495</v>
      </c>
      <c r="BA240" s="187">
        <f>BA14*BA232*2</f>
        <v>294.32768818811024</v>
      </c>
      <c r="BB240" s="187">
        <f>BB188</f>
        <v>294.32768818811024</v>
      </c>
    </row>
    <row r="241" spans="2:62">
      <c r="B241" s="7" t="s">
        <v>20</v>
      </c>
      <c r="C241" s="73" t="s">
        <v>269</v>
      </c>
      <c r="H241" s="30"/>
      <c r="I241" s="30"/>
      <c r="J241" s="106"/>
      <c r="K241" s="44"/>
      <c r="L241" s="187"/>
      <c r="M241" s="187"/>
      <c r="N241" s="187"/>
      <c r="O241" s="187"/>
      <c r="P241" s="187"/>
      <c r="Q241" s="187"/>
      <c r="R241" s="187"/>
      <c r="S241" s="187"/>
      <c r="T241" s="187"/>
      <c r="U241" s="187"/>
      <c r="V241" s="187"/>
      <c r="W241" s="187">
        <f>W14*W233*2</f>
        <v>116.08499999999999</v>
      </c>
      <c r="X241" s="187">
        <f>X203</f>
        <v>116.08499999999999</v>
      </c>
      <c r="Y241" s="187">
        <f>Y203</f>
        <v>151.46899999999999</v>
      </c>
      <c r="Z241" s="187">
        <f>Z14*Z233*2</f>
        <v>179.982</v>
      </c>
      <c r="AA241" s="483">
        <f>AA203</f>
        <v>179.982</v>
      </c>
      <c r="AB241" s="187">
        <f>AB203</f>
        <v>186.661</v>
      </c>
      <c r="AC241" s="187">
        <f>AC14*AC233*2</f>
        <v>173.166</v>
      </c>
      <c r="AD241" s="187">
        <f>AD203</f>
        <v>173.166</v>
      </c>
      <c r="AE241" s="187">
        <f>AE203</f>
        <v>172.01400000000001</v>
      </c>
      <c r="AF241" s="187">
        <f>AF14*AF233*2</f>
        <v>166.541</v>
      </c>
      <c r="AG241" s="187">
        <f>AG203</f>
        <v>166.541</v>
      </c>
      <c r="AH241" s="187">
        <f>AH203</f>
        <v>169.904</v>
      </c>
      <c r="AI241" s="187">
        <f>AI14*AI233*2</f>
        <v>179.09899999999999</v>
      </c>
      <c r="AJ241" s="187">
        <f>AJ203</f>
        <v>179.09899999999999</v>
      </c>
      <c r="AK241" s="187">
        <f>AK203</f>
        <v>180.10499999999999</v>
      </c>
      <c r="AL241" s="187">
        <f>AL14*AL233*2</f>
        <v>187.19799999999998</v>
      </c>
      <c r="AM241" s="438">
        <f>AM203</f>
        <v>187.19800000000001</v>
      </c>
      <c r="AN241" s="607">
        <f>AN203</f>
        <v>206</v>
      </c>
      <c r="AO241" s="187">
        <f>AO14*AO233*2</f>
        <v>198.06399257149786</v>
      </c>
      <c r="AP241" s="187">
        <f>AP203</f>
        <v>198.06399257149786</v>
      </c>
      <c r="AQ241" s="187">
        <f>AQ14*AQ233*2</f>
        <v>194.06113396379922</v>
      </c>
      <c r="AR241" s="187">
        <f>AR14*AR233*2</f>
        <v>208.86912216488267</v>
      </c>
      <c r="AS241" s="187">
        <f>AS203</f>
        <v>208.86912216488267</v>
      </c>
      <c r="AT241" s="187">
        <f>AT14*AT233*2</f>
        <v>205.76968803427212</v>
      </c>
      <c r="AU241" s="187">
        <f>AU14*AU233*2</f>
        <v>219.98659389266055</v>
      </c>
      <c r="AV241" s="187">
        <f>AV203</f>
        <v>219.98659389266055</v>
      </c>
      <c r="AW241" s="187">
        <f>AW14*AW233*2</f>
        <v>214.04631840451563</v>
      </c>
      <c r="AX241" s="187">
        <f>AX14*AX233*2</f>
        <v>228.86751211004355</v>
      </c>
      <c r="AY241" s="187">
        <f>AY203</f>
        <v>228.86751211004355</v>
      </c>
      <c r="AZ241" s="187">
        <f>AZ14*AZ233*2</f>
        <v>222.00001438785935</v>
      </c>
      <c r="BA241" s="187">
        <f>BA14*BA233*2</f>
        <v>237.62260996868008</v>
      </c>
      <c r="BB241" s="187">
        <f>BB203</f>
        <v>237.62260996868008</v>
      </c>
    </row>
    <row r="242" spans="2:62" s="14" customFormat="1">
      <c r="B242" s="14" t="s">
        <v>139</v>
      </c>
      <c r="C242" s="76" t="s">
        <v>269</v>
      </c>
      <c r="D242" s="77"/>
      <c r="E242" s="77"/>
      <c r="F242" s="28"/>
      <c r="G242" s="77"/>
      <c r="H242" s="77"/>
      <c r="I242" s="28"/>
      <c r="J242" s="107"/>
      <c r="K242" s="77"/>
      <c r="L242" s="195"/>
      <c r="M242" s="195"/>
      <c r="N242" s="195"/>
      <c r="O242" s="195"/>
      <c r="P242" s="195"/>
      <c r="Q242" s="195"/>
      <c r="R242" s="166"/>
      <c r="S242" s="195"/>
      <c r="T242" s="195"/>
      <c r="U242" s="166"/>
      <c r="V242" s="195"/>
      <c r="W242" s="195">
        <f t="shared" ref="W242:AA242" si="446">W239+W240-W241</f>
        <v>212.995</v>
      </c>
      <c r="X242" s="166">
        <f t="shared" si="446"/>
        <v>212.995</v>
      </c>
      <c r="Y242" s="195">
        <f t="shared" si="446"/>
        <v>227.197</v>
      </c>
      <c r="Z242" s="195">
        <f t="shared" si="446"/>
        <v>235.06199999999998</v>
      </c>
      <c r="AA242" s="466">
        <f t="shared" si="446"/>
        <v>235.06199999999998</v>
      </c>
      <c r="AB242" s="195">
        <f t="shared" ref="AB242:AD242" si="447">AB239+AB240-AB241</f>
        <v>366.78500000000003</v>
      </c>
      <c r="AC242" s="195">
        <f t="shared" si="447"/>
        <v>408.59300000000002</v>
      </c>
      <c r="AD242" s="166">
        <f t="shared" si="447"/>
        <v>408.59300000000002</v>
      </c>
      <c r="AE242" s="195">
        <f t="shared" ref="AE242:AG242" si="448">AE239+AE240-AE241</f>
        <v>416.4899999999999</v>
      </c>
      <c r="AF242" s="195">
        <f t="shared" si="448"/>
        <v>368.90199999999999</v>
      </c>
      <c r="AG242" s="166">
        <f t="shared" si="448"/>
        <v>368.90199999999999</v>
      </c>
      <c r="AH242" s="195">
        <f t="shared" ref="AH242:AJ242" si="449">AH239+AH240-AH241</f>
        <v>339.22499999999997</v>
      </c>
      <c r="AI242" s="195">
        <f t="shared" si="449"/>
        <v>352.49299999999999</v>
      </c>
      <c r="AJ242" s="166">
        <f t="shared" si="449"/>
        <v>352.49299999999999</v>
      </c>
      <c r="AK242" s="195">
        <f t="shared" ref="AK242:AM242" si="450">AK239+AK240-AK241</f>
        <v>355.18200000000002</v>
      </c>
      <c r="AL242" s="195">
        <f t="shared" si="450"/>
        <v>355.45699999999999</v>
      </c>
      <c r="AM242" s="430">
        <f t="shared" si="450"/>
        <v>355.45699999999999</v>
      </c>
      <c r="AN242" s="618">
        <f t="shared" ref="AN242" si="451">AN239+AN240-AN241</f>
        <v>358.51600000000008</v>
      </c>
      <c r="AO242" s="195">
        <f t="shared" ref="AO242:BB242" si="452">AO239+AO240-AO241</f>
        <v>376.08966232271138</v>
      </c>
      <c r="AP242" s="166">
        <f t="shared" si="452"/>
        <v>376.08966232271138</v>
      </c>
      <c r="AQ242" s="195">
        <f t="shared" si="452"/>
        <v>425.32312868247459</v>
      </c>
      <c r="AR242" s="195">
        <f t="shared" si="452"/>
        <v>396.60675625467525</v>
      </c>
      <c r="AS242" s="166">
        <f t="shared" si="452"/>
        <v>396.60675625467525</v>
      </c>
      <c r="AT242" s="195">
        <f t="shared" si="452"/>
        <v>450.98472690095377</v>
      </c>
      <c r="AU242" s="195">
        <f t="shared" si="452"/>
        <v>417.7169345041263</v>
      </c>
      <c r="AV242" s="166">
        <f t="shared" si="452"/>
        <v>417.7169345041263</v>
      </c>
      <c r="AW242" s="195">
        <f t="shared" si="452"/>
        <v>469.12458959327955</v>
      </c>
      <c r="AX242" s="195">
        <f t="shared" si="452"/>
        <v>434.58027998215664</v>
      </c>
      <c r="AY242" s="166">
        <f t="shared" si="452"/>
        <v>434.58027998215664</v>
      </c>
      <c r="AZ242" s="195">
        <f t="shared" si="452"/>
        <v>486.55667808584724</v>
      </c>
      <c r="BA242" s="195">
        <f t="shared" si="452"/>
        <v>451.20471410825508</v>
      </c>
      <c r="BB242" s="166">
        <f t="shared" si="452"/>
        <v>451.20471410825508</v>
      </c>
      <c r="BE242"/>
      <c r="BF242"/>
      <c r="BG242"/>
      <c r="BH242"/>
      <c r="BI242"/>
      <c r="BJ242"/>
    </row>
    <row r="243" spans="2:62">
      <c r="C243" s="73"/>
      <c r="J243" s="4"/>
      <c r="L243" s="165"/>
      <c r="M243" s="165"/>
      <c r="N243" s="165"/>
      <c r="O243" s="165"/>
      <c r="P243" s="165"/>
      <c r="Q243" s="165"/>
      <c r="R243" s="165"/>
      <c r="S243" s="165"/>
      <c r="T243" s="165"/>
      <c r="U243" s="165"/>
      <c r="V243" s="165"/>
      <c r="W243" s="165"/>
      <c r="X243" s="165"/>
      <c r="Y243" s="165"/>
      <c r="Z243" s="165"/>
      <c r="AB243" s="165"/>
      <c r="AC243" s="165"/>
      <c r="AD243" s="165"/>
      <c r="AE243" s="165"/>
      <c r="AF243" s="165"/>
      <c r="AG243" s="165"/>
      <c r="AH243" s="165"/>
      <c r="AI243" s="165"/>
      <c r="AJ243" s="165"/>
      <c r="AK243" s="165"/>
      <c r="AL243" s="165"/>
      <c r="AM243" s="428"/>
      <c r="AN243" s="577"/>
      <c r="AO243" s="165"/>
      <c r="AP243" s="165"/>
      <c r="AQ243" s="165"/>
      <c r="AR243" s="165"/>
      <c r="AS243" s="165"/>
      <c r="AT243" s="165"/>
      <c r="AU243" s="165"/>
      <c r="AV243" s="165"/>
      <c r="AW243" s="165"/>
      <c r="AX243" s="165"/>
      <c r="AY243" s="165"/>
      <c r="AZ243" s="165"/>
      <c r="BA243" s="165"/>
      <c r="BB243" s="165"/>
    </row>
    <row r="244" spans="2:62">
      <c r="B244" s="14" t="s">
        <v>140</v>
      </c>
      <c r="C244" s="73" t="s">
        <v>269</v>
      </c>
      <c r="D244" s="30"/>
      <c r="E244" s="30"/>
      <c r="F244" s="30"/>
      <c r="G244" s="30"/>
      <c r="H244" s="30"/>
      <c r="I244" s="30"/>
      <c r="J244" s="57"/>
      <c r="K244" s="30"/>
      <c r="L244" s="165"/>
      <c r="M244" s="165"/>
      <c r="N244" s="165"/>
      <c r="O244" s="165"/>
      <c r="P244" s="165"/>
      <c r="Q244" s="165"/>
      <c r="R244" s="165"/>
      <c r="S244" s="165"/>
      <c r="T244" s="165"/>
      <c r="U244" s="165"/>
      <c r="V244" s="165"/>
      <c r="W244" s="165">
        <f>W242-V242</f>
        <v>212.995</v>
      </c>
      <c r="X244" s="165">
        <f>X242-U242</f>
        <v>212.995</v>
      </c>
      <c r="Y244" s="165">
        <f>Y242-X242</f>
        <v>14.201999999999998</v>
      </c>
      <c r="Z244" s="165">
        <f>Z242-Y242</f>
        <v>7.8649999999999807</v>
      </c>
      <c r="AA244" s="394">
        <f>AA242-X242</f>
        <v>22.066999999999979</v>
      </c>
      <c r="AB244" s="165">
        <f>AB242-AA242</f>
        <v>131.72300000000004</v>
      </c>
      <c r="AC244" s="165">
        <f>AC242-AB242</f>
        <v>41.807999999999993</v>
      </c>
      <c r="AD244" s="165">
        <f>AD242-AA242</f>
        <v>173.53100000000003</v>
      </c>
      <c r="AE244" s="165">
        <f>AE242-AD242</f>
        <v>7.8969999999998777</v>
      </c>
      <c r="AF244" s="165">
        <f>AF242-AE242</f>
        <v>-47.587999999999909</v>
      </c>
      <c r="AG244" s="165">
        <f>AG242-AD242</f>
        <v>-39.691000000000031</v>
      </c>
      <c r="AH244" s="165">
        <f>AH242-AG242</f>
        <v>-29.677000000000021</v>
      </c>
      <c r="AI244" s="165">
        <f>AI242-AH242</f>
        <v>13.268000000000029</v>
      </c>
      <c r="AJ244" s="165">
        <f>AJ242-AG242</f>
        <v>-16.408999999999992</v>
      </c>
      <c r="AK244" s="165">
        <f>AK242-AJ242</f>
        <v>2.6890000000000214</v>
      </c>
      <c r="AL244" s="165">
        <f>AL242-AK242</f>
        <v>0.27499999999997726</v>
      </c>
      <c r="AM244" s="428">
        <f>AM242-AJ242</f>
        <v>2.9639999999999986</v>
      </c>
      <c r="AN244" s="577">
        <f>AN242-AM242</f>
        <v>3.0590000000000828</v>
      </c>
      <c r="AO244" s="165">
        <f>AO242-AN242</f>
        <v>17.5736623227113</v>
      </c>
      <c r="AP244" s="165">
        <f>AP242-AM242</f>
        <v>20.632662322711383</v>
      </c>
      <c r="AQ244" s="165">
        <f>AQ242-AP242</f>
        <v>49.233466359763213</v>
      </c>
      <c r="AR244" s="165">
        <f>AR242-AQ242</f>
        <v>-28.716372427799342</v>
      </c>
      <c r="AS244" s="165">
        <f>AS242-AP242</f>
        <v>20.517093931963871</v>
      </c>
      <c r="AT244" s="165">
        <f>AT242-AS242</f>
        <v>54.377970646278527</v>
      </c>
      <c r="AU244" s="165">
        <f>AU242-AT242</f>
        <v>-33.267792396827474</v>
      </c>
      <c r="AV244" s="165">
        <f>AV242-AS242</f>
        <v>21.110178249451053</v>
      </c>
      <c r="AW244" s="165">
        <f>AW242-AV242</f>
        <v>51.407655089153252</v>
      </c>
      <c r="AX244" s="165">
        <f>AX242-AW242</f>
        <v>-34.544309611122912</v>
      </c>
      <c r="AY244" s="165">
        <f>AY242-AV242</f>
        <v>16.86334547803034</v>
      </c>
      <c r="AZ244" s="165">
        <f>AZ242-AY242</f>
        <v>51.976398103690599</v>
      </c>
      <c r="BA244" s="165">
        <f>BA242-AZ242</f>
        <v>-35.351963977592163</v>
      </c>
      <c r="BB244" s="165">
        <f>BB242-AY242</f>
        <v>16.624434126098436</v>
      </c>
    </row>
    <row r="245" spans="2:62">
      <c r="B245" s="14" t="s">
        <v>141</v>
      </c>
      <c r="C245" s="73" t="s">
        <v>82</v>
      </c>
      <c r="D245" s="38"/>
      <c r="E245" s="38"/>
      <c r="F245" s="38"/>
      <c r="G245" s="38"/>
      <c r="H245" s="38"/>
      <c r="I245" s="38"/>
      <c r="J245" s="108"/>
      <c r="K245" s="38"/>
      <c r="L245" s="174"/>
      <c r="M245" s="174"/>
      <c r="N245" s="174"/>
      <c r="O245" s="174"/>
      <c r="P245" s="174"/>
      <c r="Q245" s="174"/>
      <c r="R245" s="174"/>
      <c r="S245" s="174"/>
      <c r="T245" s="174"/>
      <c r="U245" s="174"/>
      <c r="V245" s="174"/>
      <c r="W245" s="174"/>
      <c r="X245" s="174"/>
      <c r="Y245" s="174"/>
      <c r="Z245" s="174"/>
      <c r="AA245" s="474"/>
      <c r="AB245" s="174"/>
      <c r="AC245" s="174"/>
      <c r="AD245" s="174"/>
      <c r="AE245" s="174"/>
      <c r="AF245" s="174"/>
      <c r="AG245" s="174"/>
      <c r="AH245" s="174"/>
      <c r="AI245" s="174"/>
      <c r="AJ245" s="174"/>
      <c r="AK245" s="174"/>
      <c r="AL245" s="174"/>
      <c r="AM245" s="446"/>
      <c r="AN245" s="619"/>
      <c r="AO245" s="174"/>
      <c r="AP245" s="174"/>
      <c r="AQ245" s="174"/>
      <c r="AR245" s="174"/>
      <c r="AS245" s="174"/>
      <c r="AT245" s="174"/>
      <c r="AU245" s="174"/>
      <c r="AV245" s="174"/>
      <c r="AW245" s="174"/>
      <c r="AX245" s="174"/>
      <c r="AY245" s="174"/>
      <c r="AZ245" s="174"/>
      <c r="BA245" s="174"/>
      <c r="BB245" s="174"/>
    </row>
    <row r="246" spans="2:62">
      <c r="J246" s="4"/>
      <c r="L246" s="165"/>
      <c r="M246" s="165"/>
      <c r="N246" s="165"/>
      <c r="O246" s="165"/>
      <c r="P246" s="165"/>
      <c r="Q246" s="165"/>
      <c r="R246" s="165"/>
      <c r="S246" s="165"/>
      <c r="T246" s="165"/>
      <c r="U246" s="165"/>
      <c r="V246" s="165"/>
      <c r="W246" s="165"/>
      <c r="X246" s="165"/>
      <c r="Y246" s="165"/>
      <c r="Z246" s="165"/>
      <c r="AB246" s="165"/>
      <c r="AC246" s="165"/>
      <c r="AD246" s="165"/>
      <c r="AE246" s="165"/>
      <c r="AF246" s="165"/>
      <c r="AG246" s="165"/>
      <c r="AH246" s="165"/>
      <c r="AI246" s="165"/>
      <c r="AJ246" s="165"/>
      <c r="AK246" s="165"/>
      <c r="AL246" s="165"/>
      <c r="AM246" s="428"/>
      <c r="AN246" s="577"/>
      <c r="AO246" s="165"/>
      <c r="AP246" s="165"/>
      <c r="AQ246" s="165"/>
      <c r="AR246" s="165"/>
      <c r="AS246" s="165"/>
      <c r="AT246" s="165"/>
      <c r="AU246" s="165"/>
      <c r="AV246" s="165"/>
      <c r="AW246" s="165"/>
      <c r="AX246" s="165"/>
      <c r="AY246" s="165"/>
      <c r="AZ246" s="165"/>
      <c r="BA246" s="165"/>
      <c r="BB246" s="165"/>
    </row>
    <row r="247" spans="2:62">
      <c r="B247" s="83" t="s">
        <v>142</v>
      </c>
      <c r="J247" s="4"/>
      <c r="L247" s="165"/>
      <c r="M247" s="165"/>
      <c r="N247" s="165"/>
      <c r="O247" s="165"/>
      <c r="P247" s="165"/>
      <c r="Q247" s="165"/>
      <c r="R247" s="165"/>
      <c r="S247" s="165"/>
      <c r="T247" s="165"/>
      <c r="U247" s="165"/>
      <c r="V247" s="165"/>
      <c r="W247" s="165"/>
      <c r="X247" s="165"/>
      <c r="Y247" s="165"/>
      <c r="Z247" s="165"/>
      <c r="AB247" s="165"/>
      <c r="AC247" s="165"/>
      <c r="AD247" s="165"/>
      <c r="AE247" s="165"/>
      <c r="AF247" s="165"/>
      <c r="AG247" s="165"/>
      <c r="AH247" s="165"/>
      <c r="AI247" s="165"/>
      <c r="AJ247" s="165"/>
      <c r="AK247" s="165"/>
      <c r="AL247" s="165"/>
      <c r="AM247" s="428"/>
      <c r="AN247" s="577"/>
      <c r="AO247" s="165"/>
      <c r="AP247" s="165"/>
      <c r="AQ247" s="165"/>
      <c r="AR247" s="165"/>
      <c r="AS247" s="165"/>
      <c r="AT247" s="165"/>
      <c r="AU247" s="165"/>
      <c r="AV247" s="165"/>
      <c r="AW247" s="165"/>
      <c r="AX247" s="165"/>
      <c r="AY247" s="165"/>
      <c r="AZ247" s="165"/>
      <c r="BA247" s="165"/>
      <c r="BB247" s="165"/>
    </row>
    <row r="248" spans="2:62">
      <c r="B248" s="7" t="s">
        <v>143</v>
      </c>
      <c r="C248" s="73" t="s">
        <v>144</v>
      </c>
      <c r="D248" s="91"/>
      <c r="E248" s="91"/>
      <c r="F248" s="91"/>
      <c r="G248" s="91"/>
      <c r="H248" s="91"/>
      <c r="I248" s="91"/>
      <c r="J248" s="109"/>
      <c r="K248" s="91"/>
      <c r="L248" s="165"/>
      <c r="M248" s="165"/>
      <c r="N248" s="165"/>
      <c r="O248" s="165"/>
      <c r="P248" s="165"/>
      <c r="Q248" s="165"/>
      <c r="R248" s="165"/>
      <c r="S248" s="165"/>
      <c r="T248" s="165"/>
      <c r="U248" s="165"/>
      <c r="V248" s="165"/>
      <c r="W248" s="165">
        <f t="shared" ref="W248:AJ248" si="453">(W219-W196)/W267</f>
        <v>0.45711385149741102</v>
      </c>
      <c r="X248" s="165">
        <f t="shared" si="453"/>
        <v>0.45711385149741102</v>
      </c>
      <c r="Y248" s="165">
        <f t="shared" ref="Y248:AD248" si="454">(Y219-Y196)/Y267</f>
        <v>0.59106974041046845</v>
      </c>
      <c r="Z248" s="165">
        <f t="shared" si="454"/>
        <v>0.64635062453447156</v>
      </c>
      <c r="AA248" s="394">
        <f t="shared" si="454"/>
        <v>0.64635062453447156</v>
      </c>
      <c r="AB248" s="165">
        <f t="shared" si="454"/>
        <v>0.47125575829682798</v>
      </c>
      <c r="AC248" s="165">
        <f t="shared" si="454"/>
        <v>0.47483531003766977</v>
      </c>
      <c r="AD248" s="165">
        <f t="shared" si="454"/>
        <v>0.47483531003766977</v>
      </c>
      <c r="AE248" s="165">
        <f t="shared" ref="AE248:AG248" si="455">(AE219-AE196)/AE267</f>
        <v>0.50637794775427669</v>
      </c>
      <c r="AF248" s="165">
        <f t="shared" si="455"/>
        <v>0.57429383842726756</v>
      </c>
      <c r="AG248" s="165">
        <f t="shared" si="455"/>
        <v>0.57429383842726756</v>
      </c>
      <c r="AH248" s="165">
        <f t="shared" si="453"/>
        <v>0.58880809304811899</v>
      </c>
      <c r="AI248" s="165">
        <f t="shared" si="453"/>
        <v>0.56784376400955505</v>
      </c>
      <c r="AJ248" s="165">
        <f t="shared" si="453"/>
        <v>0.56784376400955505</v>
      </c>
      <c r="AK248" s="165">
        <f t="shared" ref="AK248:AM248" si="456">(AK219-AK196)/AK267</f>
        <v>0.58850786622734474</v>
      </c>
      <c r="AL248" s="165">
        <f t="shared" si="456"/>
        <v>0.67329842296343856</v>
      </c>
      <c r="AM248" s="428">
        <f t="shared" si="456"/>
        <v>0.67329842296343856</v>
      </c>
      <c r="AN248" s="577">
        <f t="shared" ref="AN248" si="457">(AN219-AN196)/AN267</f>
        <v>0.66074953854978502</v>
      </c>
      <c r="AO248" s="165">
        <f t="shared" ref="AO248:BB248" si="458">(AO219-AO196)/AO267</f>
        <v>0.70966246486890916</v>
      </c>
      <c r="AP248" s="165">
        <f t="shared" si="458"/>
        <v>0.70966246486890916</v>
      </c>
      <c r="AQ248" s="165">
        <f t="shared" si="458"/>
        <v>0.75534650538891002</v>
      </c>
      <c r="AR248" s="165">
        <f t="shared" si="458"/>
        <v>0.80516438361013631</v>
      </c>
      <c r="AS248" s="165">
        <f t="shared" si="458"/>
        <v>0.80313160598528843</v>
      </c>
      <c r="AT248" s="165">
        <f t="shared" si="458"/>
        <v>0.85242390618710506</v>
      </c>
      <c r="AU248" s="165">
        <f t="shared" si="458"/>
        <v>0.90845907457623909</v>
      </c>
      <c r="AV248" s="165">
        <f t="shared" si="458"/>
        <v>0.90567266769303378</v>
      </c>
      <c r="AW248" s="165">
        <f t="shared" si="458"/>
        <v>0.9529247902408382</v>
      </c>
      <c r="AX248" s="165">
        <f t="shared" si="458"/>
        <v>1.013560745473379</v>
      </c>
      <c r="AY248" s="165">
        <f t="shared" si="458"/>
        <v>1.0098548069519171</v>
      </c>
      <c r="AZ248" s="165">
        <f t="shared" si="458"/>
        <v>1.066907954180194</v>
      </c>
      <c r="BA248" s="165">
        <f t="shared" si="458"/>
        <v>1.1357930097492566</v>
      </c>
      <c r="BB248" s="165">
        <f t="shared" si="458"/>
        <v>1.1313501811027411</v>
      </c>
    </row>
    <row r="249" spans="2:62">
      <c r="B249" s="7" t="s">
        <v>145</v>
      </c>
      <c r="C249" s="73" t="s">
        <v>269</v>
      </c>
      <c r="D249" s="30"/>
      <c r="E249" s="30"/>
      <c r="F249" s="30"/>
      <c r="G249" s="30"/>
      <c r="H249" s="30"/>
      <c r="I249" s="30"/>
      <c r="J249" s="57"/>
      <c r="K249" s="30"/>
      <c r="L249" s="165"/>
      <c r="M249" s="165"/>
      <c r="N249" s="165"/>
      <c r="O249" s="165"/>
      <c r="P249" s="165"/>
      <c r="Q249" s="165"/>
      <c r="R249" s="165"/>
      <c r="S249" s="165"/>
      <c r="T249" s="165"/>
      <c r="U249" s="165"/>
      <c r="V249" s="165"/>
      <c r="W249" s="165">
        <f t="shared" ref="W249:AH249" si="459">W148+W212+SUM(W221:W223)</f>
        <v>1188.808</v>
      </c>
      <c r="X249" s="165">
        <f t="shared" si="459"/>
        <v>1188.808</v>
      </c>
      <c r="Y249" s="165">
        <f t="shared" ref="Y249:AD249" si="460">Y148+Y212+SUM(Y221:Y223)</f>
        <v>1321.8869999999999</v>
      </c>
      <c r="Z249" s="165">
        <f t="shared" si="460"/>
        <v>1327.8330000000001</v>
      </c>
      <c r="AA249" s="394">
        <f t="shared" si="460"/>
        <v>1327.8330000000001</v>
      </c>
      <c r="AB249" s="165">
        <f t="shared" si="460"/>
        <v>1742.913</v>
      </c>
      <c r="AC249" s="165">
        <f t="shared" si="460"/>
        <v>1686.5060000000001</v>
      </c>
      <c r="AD249" s="165">
        <f t="shared" si="460"/>
        <v>1686.5060000000001</v>
      </c>
      <c r="AE249" s="165">
        <f t="shared" ref="AE249" si="461">AE148+AE212+SUM(AE221:AE223)</f>
        <v>1687.7139999999999</v>
      </c>
      <c r="AF249" s="165">
        <f t="shared" ref="AF249:AG249" si="462">AF148+AF212+SUM(AF221:AF223)</f>
        <v>1669.4089999999999</v>
      </c>
      <c r="AG249" s="165">
        <f t="shared" si="462"/>
        <v>1669.4089999999999</v>
      </c>
      <c r="AH249" s="165">
        <f t="shared" si="459"/>
        <v>1644.3549999999998</v>
      </c>
      <c r="AI249" s="165">
        <f t="shared" ref="AI249:AJ249" si="463">AI148+AI212+SUM(AI221:AI223)</f>
        <v>1687.347</v>
      </c>
      <c r="AJ249" s="165">
        <f t="shared" si="463"/>
        <v>1687.347</v>
      </c>
      <c r="AK249" s="165">
        <f t="shared" ref="AK249:AM249" si="464">AK148+AK212+SUM(AK221:AK223)</f>
        <v>1657.509</v>
      </c>
      <c r="AL249" s="165">
        <f t="shared" si="464"/>
        <v>1724.0080000000003</v>
      </c>
      <c r="AM249" s="428">
        <f t="shared" si="464"/>
        <v>1724.0080000000003</v>
      </c>
      <c r="AN249" s="577">
        <f t="shared" ref="AN249" si="465">AN148+AN212+SUM(AN221:AN223)</f>
        <v>1693.0589999999997</v>
      </c>
      <c r="AO249" s="165">
        <f t="shared" ref="AO249:BB249" si="466">AO148+AO212+SUM(AO221:AO223)</f>
        <v>1689.853949349183</v>
      </c>
      <c r="AP249" s="165">
        <f t="shared" si="466"/>
        <v>1689.8329493491831</v>
      </c>
      <c r="AQ249" s="165">
        <f t="shared" si="466"/>
        <v>1731.7704157089465</v>
      </c>
      <c r="AR249" s="165">
        <f t="shared" si="466"/>
        <v>1698.7147952811472</v>
      </c>
      <c r="AS249" s="165">
        <f t="shared" si="466"/>
        <v>1698.714795281147</v>
      </c>
      <c r="AT249" s="165">
        <f t="shared" si="466"/>
        <v>1747.6895779274255</v>
      </c>
      <c r="AU249" s="165">
        <f t="shared" si="466"/>
        <v>1712.0983185105979</v>
      </c>
      <c r="AV249" s="165">
        <f t="shared" si="466"/>
        <v>1712.0983185105981</v>
      </c>
      <c r="AW249" s="165">
        <f t="shared" si="466"/>
        <v>1767.5085422397515</v>
      </c>
      <c r="AX249" s="165">
        <f t="shared" si="466"/>
        <v>1740.2538199542287</v>
      </c>
      <c r="AY249" s="165">
        <f t="shared" si="466"/>
        <v>1740.2538199542284</v>
      </c>
      <c r="AZ249" s="165">
        <f t="shared" si="466"/>
        <v>1796.5460750707189</v>
      </c>
      <c r="BA249" s="165">
        <f t="shared" si="466"/>
        <v>1768.9619521652389</v>
      </c>
      <c r="BB249" s="165">
        <f t="shared" si="466"/>
        <v>1768.9619521652389</v>
      </c>
    </row>
    <row r="250" spans="2:62">
      <c r="B250" s="7" t="s">
        <v>42</v>
      </c>
      <c r="C250" s="73" t="s">
        <v>82</v>
      </c>
      <c r="D250" s="38"/>
      <c r="E250" s="38"/>
      <c r="F250" s="38"/>
      <c r="G250" s="38"/>
      <c r="H250" s="38"/>
      <c r="I250" s="38"/>
      <c r="J250" s="108"/>
      <c r="K250" s="38"/>
      <c r="L250" s="32"/>
      <c r="M250" s="32"/>
      <c r="N250" s="32"/>
      <c r="O250" s="32"/>
      <c r="P250" s="32"/>
      <c r="Q250" s="32"/>
      <c r="R250" s="32"/>
      <c r="S250" s="32"/>
      <c r="T250" s="32"/>
      <c r="U250" s="32"/>
      <c r="V250" s="32"/>
      <c r="W250" s="32">
        <f t="shared" ref="W250:AJ250" si="467">W148/(W148+W225)</f>
        <v>0.17610190889169436</v>
      </c>
      <c r="X250" s="32">
        <f t="shared" si="467"/>
        <v>0.17610190889169436</v>
      </c>
      <c r="Y250" s="32">
        <f t="shared" ref="Y250:AD250" si="468">Y148/(Y148+Y225)</f>
        <v>0.13232036247618134</v>
      </c>
      <c r="Z250" s="32">
        <f t="shared" si="468"/>
        <v>9.8606232791480758E-2</v>
      </c>
      <c r="AA250" s="474">
        <f t="shared" si="468"/>
        <v>9.8606232791480758E-2</v>
      </c>
      <c r="AB250" s="32">
        <f t="shared" si="468"/>
        <v>0.31384602989163274</v>
      </c>
      <c r="AC250" s="32">
        <f t="shared" si="468"/>
        <v>0.32769063075888372</v>
      </c>
      <c r="AD250" s="32">
        <f t="shared" si="468"/>
        <v>0.32769063075888372</v>
      </c>
      <c r="AE250" s="32">
        <f t="shared" ref="AE250:AG250" si="469">AE148/(AE148+AE225)</f>
        <v>0.31593967637340464</v>
      </c>
      <c r="AF250" s="32">
        <f t="shared" si="469"/>
        <v>0.26040389067010389</v>
      </c>
      <c r="AG250" s="32">
        <f t="shared" si="469"/>
        <v>0.26040389067010389</v>
      </c>
      <c r="AH250" s="32">
        <f t="shared" si="467"/>
        <v>0.23872694084638937</v>
      </c>
      <c r="AI250" s="32">
        <f t="shared" si="467"/>
        <v>0.24864331641688159</v>
      </c>
      <c r="AJ250" s="32">
        <f t="shared" si="467"/>
        <v>0.24864331641688159</v>
      </c>
      <c r="AK250" s="32">
        <f t="shared" ref="AK250:AM250" si="470">AK148/(AK148+AK225)</f>
        <v>0.22902163360482453</v>
      </c>
      <c r="AL250" s="32">
        <f t="shared" si="470"/>
        <v>0.19158347751493915</v>
      </c>
      <c r="AM250" s="33">
        <f t="shared" si="470"/>
        <v>0.19158347751493915</v>
      </c>
      <c r="AN250" s="581">
        <f t="shared" ref="AN250" si="471">AN148/(AN148+AN225)</f>
        <v>0.18261676311324096</v>
      </c>
      <c r="AO250" s="32">
        <f t="shared" ref="AO250:BB250" si="472">AO148/(AO148+AO225)</f>
        <v>0.15871928307322658</v>
      </c>
      <c r="AP250" s="32">
        <f t="shared" si="472"/>
        <v>0.15871928307322658</v>
      </c>
      <c r="AQ250" s="32">
        <f t="shared" si="472"/>
        <v>0.15977155949979388</v>
      </c>
      <c r="AR250" s="32">
        <f t="shared" si="472"/>
        <v>0.12229003841538874</v>
      </c>
      <c r="AS250" s="32">
        <f t="shared" si="472"/>
        <v>0.12229003841538875</v>
      </c>
      <c r="AT250" s="32">
        <f t="shared" si="472"/>
        <v>0.12802888079690347</v>
      </c>
      <c r="AU250" s="32">
        <f t="shared" si="472"/>
        <v>8.6967582998231513E-2</v>
      </c>
      <c r="AV250" s="32">
        <f t="shared" si="472"/>
        <v>8.6967582998231513E-2</v>
      </c>
      <c r="AW250" s="32">
        <f t="shared" si="472"/>
        <v>9.9070883076534777E-2</v>
      </c>
      <c r="AX250" s="32">
        <f t="shared" si="472"/>
        <v>6.1343373741618773E-2</v>
      </c>
      <c r="AY250" s="32">
        <f t="shared" si="472"/>
        <v>6.134337374161878E-2</v>
      </c>
      <c r="AZ250" s="32">
        <f t="shared" si="472"/>
        <v>7.152181556790696E-2</v>
      </c>
      <c r="BA250" s="32">
        <f t="shared" si="472"/>
        <v>3.1315679559473474E-2</v>
      </c>
      <c r="BB250" s="32">
        <f t="shared" si="472"/>
        <v>3.1315679559473474E-2</v>
      </c>
    </row>
    <row r="251" spans="2:62">
      <c r="B251" s="7" t="s">
        <v>57</v>
      </c>
      <c r="C251" s="73" t="s">
        <v>82</v>
      </c>
      <c r="D251" s="38"/>
      <c r="E251" s="38"/>
      <c r="F251" s="38"/>
      <c r="G251" s="38"/>
      <c r="H251" s="38"/>
      <c r="I251" s="38"/>
      <c r="J251" s="108"/>
      <c r="K251" s="38"/>
      <c r="L251" s="32"/>
      <c r="M251" s="32"/>
      <c r="N251" s="32"/>
      <c r="O251" s="32"/>
      <c r="P251" s="32"/>
      <c r="Q251" s="32"/>
      <c r="R251" s="32"/>
      <c r="S251" s="32"/>
      <c r="T251" s="32"/>
      <c r="U251" s="32"/>
      <c r="V251" s="32"/>
      <c r="W251" s="32">
        <f t="shared" ref="W251:AJ251" si="473">W148/W225</f>
        <v>0.21374234361291275</v>
      </c>
      <c r="X251" s="32">
        <f t="shared" si="473"/>
        <v>0.21374234361291275</v>
      </c>
      <c r="Y251" s="32">
        <f t="shared" ref="Y251:AD251" si="474">Y148/Y225</f>
        <v>0.15249909846195858</v>
      </c>
      <c r="Z251" s="32">
        <f t="shared" si="474"/>
        <v>0.10939307146182008</v>
      </c>
      <c r="AA251" s="474">
        <f t="shared" si="474"/>
        <v>0.10939307146182008</v>
      </c>
      <c r="AB251" s="32">
        <f t="shared" si="474"/>
        <v>0.45739883985815266</v>
      </c>
      <c r="AC251" s="32">
        <f t="shared" si="474"/>
        <v>0.48741047760314804</v>
      </c>
      <c r="AD251" s="32">
        <f t="shared" si="474"/>
        <v>0.48741047760314804</v>
      </c>
      <c r="AE251" s="32">
        <f t="shared" ref="AE251:AG251" si="475">AE148/AE225</f>
        <v>0.46185937915303665</v>
      </c>
      <c r="AF251" s="32">
        <f t="shared" si="475"/>
        <v>0.3520893192718933</v>
      </c>
      <c r="AG251" s="32">
        <f t="shared" si="475"/>
        <v>0.3520893192718933</v>
      </c>
      <c r="AH251" s="32">
        <f t="shared" si="473"/>
        <v>0.31358910968399151</v>
      </c>
      <c r="AI251" s="32">
        <f t="shared" si="473"/>
        <v>0.33092580641079178</v>
      </c>
      <c r="AJ251" s="32">
        <f t="shared" si="473"/>
        <v>0.33092580641079178</v>
      </c>
      <c r="AK251" s="32">
        <f t="shared" ref="AK251:AM251" si="476">AK148/AK225</f>
        <v>0.29705325543134159</v>
      </c>
      <c r="AL251" s="32">
        <f t="shared" si="476"/>
        <v>0.23698609836178788</v>
      </c>
      <c r="AM251" s="33">
        <f t="shared" si="476"/>
        <v>0.23698609836178788</v>
      </c>
      <c r="AN251" s="581">
        <f t="shared" ref="AN251" si="477">AN148/AN225</f>
        <v>0.22341633015229165</v>
      </c>
      <c r="AO251" s="32">
        <f t="shared" ref="AO251:BB251" si="478">AO148/AO225</f>
        <v>0.18866387863141978</v>
      </c>
      <c r="AP251" s="32">
        <f t="shared" si="478"/>
        <v>0.18866387863141978</v>
      </c>
      <c r="AQ251" s="32">
        <f t="shared" si="478"/>
        <v>0.19015252495461643</v>
      </c>
      <c r="AR251" s="32">
        <f t="shared" si="478"/>
        <v>0.13932852965985162</v>
      </c>
      <c r="AS251" s="32">
        <f t="shared" si="478"/>
        <v>0.13932852965985165</v>
      </c>
      <c r="AT251" s="32">
        <f t="shared" si="478"/>
        <v>0.14682697394141953</v>
      </c>
      <c r="AU251" s="32">
        <f t="shared" si="478"/>
        <v>9.5251363893318453E-2</v>
      </c>
      <c r="AV251" s="32">
        <f t="shared" si="478"/>
        <v>9.5251363893318439E-2</v>
      </c>
      <c r="AW251" s="32">
        <f t="shared" si="478"/>
        <v>0.10996523612739553</v>
      </c>
      <c r="AX251" s="32">
        <f t="shared" si="478"/>
        <v>6.5352304586760543E-2</v>
      </c>
      <c r="AY251" s="32">
        <f t="shared" si="478"/>
        <v>6.5352304586760543E-2</v>
      </c>
      <c r="AZ251" s="32">
        <f t="shared" si="478"/>
        <v>7.70312289153606E-2</v>
      </c>
      <c r="BA251" s="32">
        <f t="shared" si="478"/>
        <v>3.2328054556753957E-2</v>
      </c>
      <c r="BB251" s="32">
        <f t="shared" si="478"/>
        <v>3.2328054556753957E-2</v>
      </c>
    </row>
    <row r="252" spans="2:62">
      <c r="C252" s="73"/>
      <c r="J252" s="4"/>
    </row>
    <row r="253" spans="2:62">
      <c r="C253" s="73"/>
      <c r="J253" s="4"/>
    </row>
    <row r="254" spans="2:62">
      <c r="B254" s="83" t="s">
        <v>186</v>
      </c>
      <c r="C254" s="73"/>
      <c r="J254" s="4"/>
    </row>
    <row r="255" spans="2:62">
      <c r="B255" s="7" t="s">
        <v>187</v>
      </c>
      <c r="C255" s="73" t="s">
        <v>82</v>
      </c>
      <c r="D255" s="38"/>
      <c r="E255" s="38"/>
      <c r="F255" s="38"/>
      <c r="G255" s="38"/>
      <c r="H255" s="38"/>
      <c r="I255" s="38"/>
      <c r="J255" s="108"/>
      <c r="K255" s="38"/>
      <c r="L255" s="32"/>
      <c r="M255" s="32"/>
      <c r="N255" s="32"/>
      <c r="O255" s="32"/>
      <c r="P255" s="32"/>
      <c r="Q255" s="32"/>
      <c r="R255" s="32"/>
      <c r="S255" s="32"/>
      <c r="T255" s="32"/>
      <c r="U255" s="32"/>
      <c r="V255" s="32"/>
      <c r="W255" s="32">
        <f>W53/AVERAGE(W200,V200)*2</f>
        <v>0.12120844415222476</v>
      </c>
      <c r="X255" s="32">
        <f>X53/AVERAGE(X200,U200)</f>
        <v>0.10412414441660736</v>
      </c>
      <c r="Y255" s="32">
        <f>Y53/AVERAGE(Y200,X200)*2</f>
        <v>0.12579945515673369</v>
      </c>
      <c r="Z255" s="32">
        <f>Z53/AVERAGE(Z200,Y200)*2</f>
        <v>0.14453023955208183</v>
      </c>
      <c r="AA255" s="474">
        <f>AA53/AVERAGE(AA200,X200)</f>
        <v>0.1370797455099251</v>
      </c>
      <c r="AB255" s="32">
        <f>AB53/AVERAGE(AB200,AA200)*2</f>
        <v>0.10862351965035125</v>
      </c>
      <c r="AC255" s="32">
        <f>AC53/AVERAGE(AC200,AB200)*2</f>
        <v>0.11099664210251974</v>
      </c>
      <c r="AD255" s="32">
        <f>AD53/AVERAGE(AD200,AA200)</f>
        <v>0.11775803684479692</v>
      </c>
      <c r="AE255" s="32">
        <f>AE53/AVERAGE(AE200,AD200)*2</f>
        <v>9.815932129982903E-2</v>
      </c>
      <c r="AF255" s="32">
        <f>AF53/AVERAGE(AF200,AE200)*2</f>
        <v>0.11502938262053759</v>
      </c>
      <c r="AG255" s="32">
        <f>AG53/AVERAGE(AG200,AD200)</f>
        <v>0.10710417479478536</v>
      </c>
      <c r="AH255" s="32">
        <f>AH53/AVERAGE(AH200,AG200)*2</f>
        <v>9.4250259891077048E-2</v>
      </c>
      <c r="AI255" s="32">
        <f>AI53/AVERAGE(AI200,AH200)*2</f>
        <v>0.1123641109619085</v>
      </c>
      <c r="AJ255" s="32">
        <f>AJ53/AVERAGE(AJ200,AG200)</f>
        <v>0.10210595312728626</v>
      </c>
      <c r="AK255" s="32">
        <f>AK53/AVERAGE(AK200,AJ200)*2</f>
        <v>0.10260347801952803</v>
      </c>
      <c r="AL255" s="32">
        <f>AL53/AVERAGE(AL200,AK200)*2</f>
        <v>9.2438061880392761E-2</v>
      </c>
      <c r="AM255" s="33">
        <f>AM53/AVERAGE(AM200,AJ200)</f>
        <v>9.6197796626909429E-2</v>
      </c>
      <c r="AN255" s="581">
        <f>AN53/AVERAGE(AN200,AM200)*2</f>
        <v>6.912875882455749E-2</v>
      </c>
      <c r="AO255" s="32">
        <f>AO53/AVERAGE(AO200,AN200)*2</f>
        <v>9.0621936432449382E-2</v>
      </c>
      <c r="AP255" s="32">
        <f>AP53/AVERAGE(AP200,AM200)</f>
        <v>7.9982196794949098E-2</v>
      </c>
      <c r="AQ255" s="32">
        <f>AQ53/AVERAGE(AQ200,AP200)*2</f>
        <v>9.5219991218520136E-2</v>
      </c>
      <c r="AR255" s="32">
        <f>AR53/AVERAGE(AR200,AQ200)*2</f>
        <v>0.10585213769658157</v>
      </c>
      <c r="AS255" s="32">
        <f>AS53/AVERAGE(AS200,AP200)</f>
        <v>0.10118991315144774</v>
      </c>
      <c r="AT255" s="32">
        <f>AT53/AVERAGE(AT200,AS200)*2</f>
        <v>0.10469539880545292</v>
      </c>
      <c r="AU255" s="32">
        <f>AU53/AVERAGE(AU200,AT200)*2</f>
        <v>0.11503093075356473</v>
      </c>
      <c r="AV255" s="32">
        <f>AV53/AVERAGE(AV200,AS200)</f>
        <v>0.11070876418297422</v>
      </c>
      <c r="AW255" s="32">
        <f>AW53/AVERAGE(AW200,AV200)*2</f>
        <v>0.10960055508651113</v>
      </c>
      <c r="AX255" s="32">
        <f>AX53/AVERAGE(AX200,AW200)*2</f>
        <v>0.12002616673368352</v>
      </c>
      <c r="AY255" s="32">
        <f>AY53/AVERAGE(AY200,AV200)</f>
        <v>0.11562360644442717</v>
      </c>
      <c r="AZ255" s="32">
        <f>AZ53/AVERAGE(AZ200,AY200)*2</f>
        <v>0.11379764420525949</v>
      </c>
      <c r="BA255" s="32">
        <f>BA53/AVERAGE(BA200,AZ200)*2</f>
        <v>0.12464206203322556</v>
      </c>
      <c r="BB255" s="32">
        <f>BB53/AVERAGE(BB200,AY200)</f>
        <v>0.12004106710940021</v>
      </c>
    </row>
    <row r="256" spans="2:62">
      <c r="B256" s="7" t="s">
        <v>75</v>
      </c>
      <c r="C256" s="73" t="s">
        <v>82</v>
      </c>
      <c r="D256" s="38"/>
      <c r="E256" s="38"/>
      <c r="F256" s="38"/>
      <c r="G256" s="38"/>
      <c r="H256" s="38"/>
      <c r="I256" s="38"/>
      <c r="J256" s="108"/>
      <c r="K256" s="38"/>
      <c r="L256" s="32"/>
      <c r="M256" s="32"/>
      <c r="N256" s="32"/>
      <c r="O256" s="32"/>
      <c r="P256" s="32"/>
      <c r="Q256" s="32"/>
      <c r="R256" s="32"/>
      <c r="S256" s="32"/>
      <c r="T256" s="32"/>
      <c r="U256" s="32"/>
      <c r="V256" s="32"/>
      <c r="W256" s="32">
        <f>W53/AVERAGE(W249,V249)*2</f>
        <v>0.15460528529417703</v>
      </c>
      <c r="X256" s="32">
        <f>X53/AVERAGE(X249,U249)</f>
        <v>0.13281370919441995</v>
      </c>
      <c r="Y256" s="32">
        <f>Y53/AVERAGE(Y249,X249)*2</f>
        <v>0.15790050165392452</v>
      </c>
      <c r="Z256" s="32">
        <f>Z53/AVERAGE(Z249,Y249)*2</f>
        <v>0.18050058119348453</v>
      </c>
      <c r="AA256" s="474">
        <f>AA53/AVERAGE(AA249,X249)</f>
        <v>0.17378640815277185</v>
      </c>
      <c r="AB256" s="32">
        <f>AB53/AVERAGE(AB249,AA249)*2</f>
        <v>0.13527527187204669</v>
      </c>
      <c r="AC256" s="32">
        <f>AC53/AVERAGE(AC249,AB249)*2</f>
        <v>0.13710194059110306</v>
      </c>
      <c r="AD256" s="32">
        <f>AD53/AVERAGE(AD249,AA249)</f>
        <v>0.14689389614107767</v>
      </c>
      <c r="AE256" s="32">
        <f>AE53/AVERAGE(AE249,AD249)*2</f>
        <v>0.12157594940460313</v>
      </c>
      <c r="AF256" s="32">
        <f>AF53/AVERAGE(AF249,AE249)*2</f>
        <v>0.14225752228917438</v>
      </c>
      <c r="AG256" s="32">
        <f>AG53/AVERAGE(AG249,AD249)</f>
        <v>0.1322739103940356</v>
      </c>
      <c r="AH256" s="32">
        <f>AH53/AVERAGE(AH249,AG249)*2</f>
        <v>0.11682545890413443</v>
      </c>
      <c r="AI256" s="32">
        <f>AI53/AVERAGE(AI249,AH249)*2</f>
        <v>0.14142561369534251</v>
      </c>
      <c r="AJ256" s="32">
        <f>AJ53/AVERAGE(AJ249,AG249)</f>
        <v>0.12784962624629259</v>
      </c>
      <c r="AK256" s="32">
        <f>AK53/AVERAGE(AK249,AJ249)*2</f>
        <v>0.13063880776930309</v>
      </c>
      <c r="AL256" s="32">
        <f>AL53/AVERAGE(AL249,AK249)*2</f>
        <v>0.11791275927342666</v>
      </c>
      <c r="AM256" s="33">
        <f>AM53/AVERAGE(AM249,AJ249)</f>
        <v>0.12248681242497481</v>
      </c>
      <c r="AN256" s="581">
        <f>AN53/AVERAGE(AN249,AM249)*2</f>
        <v>8.9015521205759229E-2</v>
      </c>
      <c r="AO256" s="32">
        <f>AO53/AVERAGE(AO249,AN249)*2</f>
        <v>0.11762105686449528</v>
      </c>
      <c r="AP256" s="32">
        <f>AP53/AVERAGE(AP249,AM249)</f>
        <v>0.10282754920332206</v>
      </c>
      <c r="AQ256" s="32">
        <f>AQ53/AVERAGE(AQ249,AP249)*2</f>
        <v>0.12293714997836054</v>
      </c>
      <c r="AR256" s="32">
        <f>AR53/AVERAGE(AR249,AQ249)*2</f>
        <v>0.13691779143240562</v>
      </c>
      <c r="AS256" s="32">
        <f>AS53/AVERAGE(AS249,AP249)</f>
        <v>0.13137436621599649</v>
      </c>
      <c r="AT256" s="32">
        <f>AT53/AVERAGE(AT249,AS249)*2</f>
        <v>0.13563532906239315</v>
      </c>
      <c r="AU256" s="32">
        <f>AU53/AVERAGE(AU249,AT249)*2</f>
        <v>0.1492633844728897</v>
      </c>
      <c r="AV256" s="32">
        <f>AV53/AVERAGE(AV249,AS249)</f>
        <v>0.14422863543073722</v>
      </c>
      <c r="AW256" s="32">
        <f>AW53/AVERAGE(AW249,AV249)*2</f>
        <v>0.14229188668144474</v>
      </c>
      <c r="AX256" s="32">
        <f>AX53/AVERAGE(AX249,AW249)*2</f>
        <v>0.15584373850277383</v>
      </c>
      <c r="AY256" s="32">
        <f>AY53/AVERAGE(AY249,AV249)</f>
        <v>0.15088012225380226</v>
      </c>
      <c r="AZ256" s="32">
        <f>AZ53/AVERAGE(AZ249,AY249)*2</f>
        <v>0.14773363961649832</v>
      </c>
      <c r="BA256" s="32">
        <f>BA53/AVERAGE(BA249,AZ249)*2</f>
        <v>0.16181878926855622</v>
      </c>
      <c r="BB256" s="32">
        <f>BB53/AVERAGE(BB249,AY249)</f>
        <v>0.1566547320796231</v>
      </c>
    </row>
    <row r="257" spans="1:54">
      <c r="B257" s="7" t="s">
        <v>76</v>
      </c>
      <c r="C257" s="73" t="s">
        <v>82</v>
      </c>
      <c r="D257" s="38"/>
      <c r="E257" s="38"/>
      <c r="F257" s="38"/>
      <c r="G257" s="38"/>
      <c r="H257" s="38"/>
      <c r="I257" s="38"/>
      <c r="J257" s="108"/>
      <c r="K257" s="38"/>
      <c r="L257" s="32"/>
      <c r="M257" s="32"/>
      <c r="N257" s="32"/>
      <c r="O257" s="32"/>
      <c r="P257" s="32"/>
      <c r="Q257" s="32"/>
      <c r="R257" s="32"/>
      <c r="S257" s="32"/>
      <c r="T257" s="32"/>
      <c r="U257" s="32"/>
      <c r="V257" s="32"/>
      <c r="W257" s="32">
        <f>W65*2/AVERAGE(SUM(V221:V223),SUM(W221:W223))</f>
        <v>0.12600547734037409</v>
      </c>
      <c r="X257" s="32">
        <f>X65/AVERAGE(SUM(U221:U223),SUM(X221:X223))</f>
        <v>0.13330415638298745</v>
      </c>
      <c r="Y257" s="32">
        <f>Y65*2/AVERAGE(SUM(X221:X223),SUM(Y221:Y223))</f>
        <v>0.13524418501445601</v>
      </c>
      <c r="Z257" s="32">
        <f>Z65*2/AVERAGE(SUM(Y221:Y223),SUM(Z221:Z223))</f>
        <v>0.1491422631506587</v>
      </c>
      <c r="AA257" s="474">
        <f>AA65/AVERAGE(SUM(X221:X223),SUM(AA221:AA223))</f>
        <v>0.1463777882637729</v>
      </c>
      <c r="AB257" s="32">
        <f>AB65*2/AVERAGE(SUM(AA221:AA223),SUM(AB221:AB223))</f>
        <v>0.12647913702311894</v>
      </c>
      <c r="AC257" s="32">
        <f>AC65*2/AVERAGE(SUM(AB221:AB223),SUM(AC221:AC223))</f>
        <v>0.14809387257297174</v>
      </c>
      <c r="AD257" s="32">
        <f>AD65/AVERAGE(SUM(AA221:AA223),SUM(AD221:AD223))</f>
        <v>0.13896434539958277</v>
      </c>
      <c r="AE257" s="32">
        <f>AE65*2/AVERAGE(SUM(AD221:AD223),SUM(AE221:AE223))</f>
        <v>0.11828127102187741</v>
      </c>
      <c r="AF257" s="32">
        <f>AF65*2/AVERAGE(SUM(AE221:AE223),SUM(AF221:AF223))</f>
        <v>0.14807204158104678</v>
      </c>
      <c r="AG257" s="32">
        <f>AG65/AVERAGE(SUM(AD221:AD223),SUM(AG221:AG223))</f>
        <v>0.13184071913735357</v>
      </c>
      <c r="AH257" s="32">
        <f>AH65*2/AVERAGE(SUM(AG221:AG223),SUM(AH221:AH223))</f>
        <v>0.10917461785698304</v>
      </c>
      <c r="AI257" s="32">
        <f>AI65*2/AVERAGE(SUM(AH221:AH223),SUM(AI221:AI223))</f>
        <v>0.12602599961719629</v>
      </c>
      <c r="AJ257" s="32">
        <f>AJ65/AVERAGE(SUM(AG221:AG223),SUM(AJ221:AJ223))</f>
        <v>0.1177212562597016</v>
      </c>
      <c r="AK257" s="32">
        <f>AK65*2/AVERAGE(SUM(AJ221:AJ223),SUM(AK221:AK223))</f>
        <v>0.11973401718261918</v>
      </c>
      <c r="AL257" s="32">
        <f>AL65*2/AVERAGE(SUM(AK221:AK223),SUM(AL221:AL223))</f>
        <v>0.10762859592928885</v>
      </c>
      <c r="AM257" s="33">
        <f>AM65/AVERAGE(SUM(AJ221:AJ223),SUM(AM221:AM223))</f>
        <v>0.11128608132850112</v>
      </c>
      <c r="AN257" s="581">
        <f>AN65*2/AVERAGE(SUM(AM221:AM223),SUM(AN221:AN223))</f>
        <v>7.5362002896817229E-2</v>
      </c>
      <c r="AO257" s="32">
        <f>AO65*2/AVERAGE(SUM(AN221:AN223),SUM(AO221:AO223))</f>
        <v>9.9171498603731603E-2</v>
      </c>
      <c r="AP257" s="32">
        <f>AP65/AVERAGE(SUM(AM221:AM223),SUM(AP221:AP223))</f>
        <v>8.6594658289644813E-2</v>
      </c>
      <c r="AQ257" s="32">
        <f>AQ65*2/AVERAGE(SUM(AP221:AP223),SUM(AQ221:AQ223))</f>
        <v>0.10192539429003196</v>
      </c>
      <c r="AR257" s="32">
        <f>AR65*2/AVERAGE(SUM(AQ221:AQ223),SUM(AR221:AR223))</f>
        <v>0.11325414551683437</v>
      </c>
      <c r="AS257" s="32">
        <f>AS65/AVERAGE(SUM(AP221:AP223),SUM(AS221:AS223))</f>
        <v>0.10761497342828182</v>
      </c>
      <c r="AT257" s="32">
        <f>AT65*2/AVERAGE(SUM(AS221:AS223),SUM(AT221:AT223))</f>
        <v>0.10717939121144891</v>
      </c>
      <c r="AU257" s="32">
        <f>AU65*2/AVERAGE(SUM(AT221:AT223),SUM(AU221:AU223))</f>
        <v>0.11876140562054549</v>
      </c>
      <c r="AV257" s="32">
        <f>AV65/AVERAGE(SUM(AS221:AS223),SUM(AV221:AV223))</f>
        <v>0.11292539807128617</v>
      </c>
      <c r="AW257" s="32">
        <f>AW65*2/AVERAGE(SUM(AV221:AV223),SUM(AW221:AW223))</f>
        <v>0.10829658417358852</v>
      </c>
      <c r="AX257" s="32">
        <f>AX65*2/AVERAGE(SUM(AW221:AW223),SUM(AX221:AX223))</f>
        <v>0.11972799012112527</v>
      </c>
      <c r="AY257" s="32">
        <f>AY65/AVERAGE(SUM(AV221:AV223),SUM(AY221:AY223))</f>
        <v>0.11386602258854235</v>
      </c>
      <c r="AZ257" s="32">
        <f>AZ65*2/AVERAGE(SUM(AY221:AY223),SUM(AZ221:AZ223))</f>
        <v>0.11364678384130336</v>
      </c>
      <c r="BA257" s="32">
        <f>BA65*2/AVERAGE(SUM(AZ221:AZ223),SUM(BA221:BA223))</f>
        <v>0.12587441489435927</v>
      </c>
      <c r="BB257" s="32">
        <f>BB65/AVERAGE(SUM(AY221:AY223),SUM(BB221:BB223))</f>
        <v>0.11964090380467712</v>
      </c>
    </row>
    <row r="258" spans="1:54">
      <c r="J258" s="4"/>
    </row>
    <row r="259" spans="1:54">
      <c r="A259" s="397" t="s">
        <v>263</v>
      </c>
      <c r="B259" s="25"/>
      <c r="C259" s="70"/>
      <c r="D259" s="70"/>
      <c r="E259" s="70"/>
      <c r="F259" s="70"/>
      <c r="G259" s="70"/>
      <c r="H259" s="70"/>
      <c r="I259" s="70"/>
      <c r="J259" s="110"/>
      <c r="K259" s="70"/>
      <c r="L259" s="70"/>
      <c r="M259" s="70"/>
      <c r="N259" s="70"/>
      <c r="O259" s="70"/>
      <c r="P259" s="70"/>
      <c r="Q259" s="70"/>
      <c r="R259" s="70"/>
      <c r="S259" s="70"/>
      <c r="T259" s="70"/>
      <c r="U259" s="70"/>
      <c r="V259" s="70"/>
      <c r="W259" s="70"/>
      <c r="X259" s="70"/>
      <c r="Y259" s="70"/>
      <c r="Z259" s="70"/>
      <c r="AA259" s="484"/>
      <c r="AB259" s="70"/>
      <c r="AC259" s="70"/>
      <c r="AD259" s="70"/>
      <c r="AE259" s="70"/>
      <c r="AF259" s="70"/>
      <c r="AG259" s="70"/>
      <c r="AI259" s="70"/>
      <c r="AJ259" s="70"/>
      <c r="AL259" s="70"/>
      <c r="AM259" s="560"/>
    </row>
    <row r="260" spans="1:54">
      <c r="A260" s="25"/>
      <c r="B260" s="25"/>
      <c r="C260" s="70"/>
      <c r="D260" s="70"/>
      <c r="E260" s="70"/>
      <c r="F260" s="70"/>
      <c r="G260" s="70"/>
      <c r="H260" s="70"/>
      <c r="I260" s="70"/>
      <c r="J260" s="110"/>
      <c r="K260" s="70"/>
      <c r="L260" s="70"/>
      <c r="M260" s="70"/>
      <c r="N260" s="70"/>
      <c r="O260" s="70"/>
      <c r="P260" s="70"/>
      <c r="Q260" s="70"/>
      <c r="R260" s="70"/>
      <c r="S260" s="70"/>
      <c r="T260" s="70"/>
      <c r="U260" s="70"/>
      <c r="V260" s="70"/>
      <c r="W260" s="70"/>
      <c r="X260" s="70"/>
      <c r="Y260" s="70"/>
      <c r="Z260" s="70"/>
      <c r="AA260" s="484"/>
      <c r="AB260" s="70"/>
      <c r="AC260" s="70"/>
      <c r="AD260" s="70"/>
      <c r="AE260" s="70"/>
      <c r="AF260" s="70"/>
      <c r="AG260" s="70"/>
      <c r="AI260" s="70"/>
      <c r="AJ260" s="70"/>
      <c r="AL260" s="70"/>
      <c r="AM260" s="560"/>
    </row>
    <row r="261" spans="1:54">
      <c r="B261" s="14" t="s">
        <v>23</v>
      </c>
      <c r="J261" s="4"/>
    </row>
    <row r="262" spans="1:54">
      <c r="B262" s="7" t="s">
        <v>24</v>
      </c>
      <c r="C262" s="56" t="s">
        <v>394</v>
      </c>
      <c r="D262" s="30"/>
      <c r="E262" s="30"/>
      <c r="F262" s="30"/>
      <c r="G262" s="30"/>
      <c r="H262" s="30"/>
      <c r="I262" s="30"/>
      <c r="J262" s="57"/>
      <c r="K262" s="30"/>
      <c r="L262" s="165"/>
      <c r="M262" s="165"/>
      <c r="N262" s="165"/>
      <c r="O262" s="165"/>
      <c r="P262" s="165"/>
      <c r="Q262" s="165"/>
      <c r="R262" s="165"/>
      <c r="S262" s="165"/>
      <c r="T262" s="165"/>
      <c r="U262" s="165"/>
      <c r="V262" s="165">
        <v>790.09476500000005</v>
      </c>
      <c r="W262" s="165">
        <f>V265</f>
        <v>790.09476500000005</v>
      </c>
      <c r="X262" s="165">
        <f>U265</f>
        <v>790.09476500000005</v>
      </c>
      <c r="Y262" s="165">
        <f>X265</f>
        <v>790.09476500000005</v>
      </c>
      <c r="Z262" s="165">
        <f>Y265</f>
        <v>790.09476500000005</v>
      </c>
      <c r="AA262" s="394">
        <f>X265</f>
        <v>790.09476500000005</v>
      </c>
      <c r="AB262" s="165">
        <f>AA265</f>
        <v>790.09476500000005</v>
      </c>
      <c r="AC262" s="165">
        <f>AB265</f>
        <v>790.09476500000005</v>
      </c>
      <c r="AD262" s="165">
        <f>AA265</f>
        <v>790.09476500000005</v>
      </c>
      <c r="AE262" s="165">
        <f>AD265</f>
        <v>790.09476500000005</v>
      </c>
      <c r="AF262" s="165">
        <f>AE265</f>
        <v>790.09476500000005</v>
      </c>
      <c r="AG262" s="165">
        <f>AD265</f>
        <v>790.09476500000005</v>
      </c>
      <c r="AH262" s="165">
        <f>AG265</f>
        <v>791.09476500000005</v>
      </c>
      <c r="AI262" s="165">
        <f>AH265</f>
        <v>791.09476500000005</v>
      </c>
      <c r="AJ262" s="165">
        <f>AG265</f>
        <v>791.09476500000005</v>
      </c>
      <c r="AK262" s="165">
        <f>AJ265</f>
        <v>792.09476500000005</v>
      </c>
      <c r="AL262" s="165">
        <f>AK265</f>
        <v>792.09476500000005</v>
      </c>
      <c r="AM262" s="428">
        <f>AJ265</f>
        <v>792.09476500000005</v>
      </c>
      <c r="AN262" s="577">
        <f>AM265</f>
        <v>793.09476500000005</v>
      </c>
      <c r="AO262" s="165">
        <f>AN265</f>
        <v>793.09476500000005</v>
      </c>
      <c r="AP262" s="165">
        <f>AM265</f>
        <v>793.09476500000005</v>
      </c>
      <c r="AQ262" s="165">
        <f>AP265</f>
        <v>789.92238594000003</v>
      </c>
      <c r="AR262" s="165">
        <f>AQ265</f>
        <v>785.95579213741973</v>
      </c>
      <c r="AS262" s="165">
        <f>AP265</f>
        <v>789.92238594000003</v>
      </c>
      <c r="AT262" s="165">
        <f>AS265</f>
        <v>781.20866895068059</v>
      </c>
      <c r="AU262" s="165">
        <f>AT265</f>
        <v>776.44711373462098</v>
      </c>
      <c r="AV262" s="165">
        <f>AS265</f>
        <v>781.20866895068059</v>
      </c>
      <c r="AW262" s="165">
        <f>AV265</f>
        <v>771.21286402710132</v>
      </c>
      <c r="AX262" s="165">
        <f>AW265</f>
        <v>765.61392978449567</v>
      </c>
      <c r="AY262" s="165">
        <f>AV265</f>
        <v>771.21286402710132</v>
      </c>
      <c r="AZ262" s="165">
        <f>AY265</f>
        <v>760.07534594376591</v>
      </c>
      <c r="BA262" s="165">
        <f>AZ265</f>
        <v>754.17591174704933</v>
      </c>
      <c r="BB262" s="165">
        <f>AY265</f>
        <v>760.07534594376591</v>
      </c>
    </row>
    <row r="263" spans="1:54">
      <c r="B263" s="7" t="s">
        <v>25</v>
      </c>
      <c r="C263" s="56" t="s">
        <v>394</v>
      </c>
      <c r="D263" s="31"/>
      <c r="E263" s="30"/>
      <c r="F263" s="30"/>
      <c r="G263" s="31"/>
      <c r="H263" s="30"/>
      <c r="I263" s="31"/>
      <c r="J263" s="111"/>
      <c r="L263" s="165"/>
      <c r="M263" s="171"/>
      <c r="N263" s="165"/>
      <c r="O263" s="165"/>
      <c r="P263" s="165"/>
      <c r="Q263" s="171"/>
      <c r="R263" s="165"/>
      <c r="S263" s="165"/>
      <c r="T263" s="165"/>
      <c r="U263" s="165"/>
      <c r="V263" s="165"/>
      <c r="W263" s="165"/>
      <c r="X263" s="165">
        <f>SUM(V263:W263)</f>
        <v>0</v>
      </c>
      <c r="Y263" s="165"/>
      <c r="Z263" s="165"/>
      <c r="AA263" s="394">
        <f>SUM(Y263:Z263)</f>
        <v>0</v>
      </c>
      <c r="AB263" s="165"/>
      <c r="AC263" s="165"/>
      <c r="AD263" s="165">
        <f>SUM(AB263:AC263)</f>
        <v>0</v>
      </c>
      <c r="AE263" s="165"/>
      <c r="AF263" s="165"/>
      <c r="AG263" s="165">
        <f>SUM(AE263:AF263)</f>
        <v>0</v>
      </c>
      <c r="AH263" s="165"/>
      <c r="AI263" s="165"/>
      <c r="AJ263" s="165">
        <f>SUM(AH263:AI263)</f>
        <v>0</v>
      </c>
      <c r="AK263" s="165"/>
      <c r="AL263" s="165"/>
      <c r="AM263" s="428">
        <f>SUM(AK263:AL263)</f>
        <v>0</v>
      </c>
      <c r="AN263" s="577"/>
      <c r="AO263" s="165">
        <f t="shared" ref="AO263" si="479">-AO308/5</f>
        <v>-3.1723790599999999</v>
      </c>
      <c r="AP263" s="165">
        <f t="shared" ref="AP263" si="480">SUM(AN263:AO263)</f>
        <v>-3.1723790599999999</v>
      </c>
      <c r="AQ263" s="165">
        <f t="shared" ref="AQ263:AR263" si="481">-AQ308/5</f>
        <v>-3.966593802580296</v>
      </c>
      <c r="AR263" s="165">
        <f t="shared" si="481"/>
        <v>-4.747123186739155</v>
      </c>
      <c r="AS263" s="165">
        <f t="shared" ref="AS263" si="482">SUM(AQ263:AR263)</f>
        <v>-8.713716989319451</v>
      </c>
      <c r="AT263" s="165">
        <f t="shared" ref="AT263:AU263" si="483">-AT308/5</f>
        <v>-4.7615552160595565</v>
      </c>
      <c r="AU263" s="165">
        <f t="shared" si="483"/>
        <v>-5.2342497075197461</v>
      </c>
      <c r="AV263" s="165">
        <f t="shared" ref="AV263" si="484">SUM(AT263:AU263)</f>
        <v>-9.9958049235793034</v>
      </c>
      <c r="AW263" s="165">
        <f t="shared" ref="AW263:AX263" si="485">-AW308/5</f>
        <v>-5.5989342426056892</v>
      </c>
      <c r="AX263" s="165">
        <f t="shared" si="485"/>
        <v>-5.5385838407297108</v>
      </c>
      <c r="AY263" s="165">
        <f t="shared" ref="AY263" si="486">SUM(AW263:AX263)</f>
        <v>-11.137518083335401</v>
      </c>
      <c r="AZ263" s="165">
        <f t="shared" ref="AZ263:BA263" si="487">-AZ308/5</f>
        <v>-5.8994341967166104</v>
      </c>
      <c r="BA263" s="165">
        <f t="shared" si="487"/>
        <v>-6.0823285647314211</v>
      </c>
      <c r="BB263" s="165">
        <f t="shared" ref="BB263" si="488">SUM(AZ263:BA263)</f>
        <v>-11.981762761448032</v>
      </c>
    </row>
    <row r="264" spans="1:54">
      <c r="B264" s="7" t="s">
        <v>220</v>
      </c>
      <c r="C264" s="56" t="s">
        <v>394</v>
      </c>
      <c r="D264" s="30"/>
      <c r="E264" s="30"/>
      <c r="F264" s="30"/>
      <c r="G264" s="30"/>
      <c r="H264" s="30"/>
      <c r="I264" s="30"/>
      <c r="J264" s="111"/>
      <c r="L264" s="165"/>
      <c r="M264" s="165"/>
      <c r="N264" s="165"/>
      <c r="O264" s="165"/>
      <c r="P264" s="165"/>
      <c r="Q264" s="165"/>
      <c r="R264" s="165"/>
      <c r="S264" s="165"/>
      <c r="T264" s="165"/>
      <c r="U264" s="165"/>
      <c r="V264" s="165"/>
      <c r="W264" s="165"/>
      <c r="X264" s="165"/>
      <c r="Y264" s="165"/>
      <c r="Z264" s="165"/>
      <c r="AB264" s="165"/>
      <c r="AC264" s="165"/>
      <c r="AD264" s="165"/>
      <c r="AE264" s="165"/>
      <c r="AF264" s="165"/>
      <c r="AG264" s="165"/>
      <c r="AH264" s="165"/>
      <c r="AI264" s="165"/>
      <c r="AJ264" s="165"/>
      <c r="AK264" s="165"/>
      <c r="AL264" s="165"/>
      <c r="AM264" s="428"/>
      <c r="AN264" s="577"/>
      <c r="AO264" s="165"/>
      <c r="AP264" s="165"/>
      <c r="AQ264" s="165"/>
      <c r="AR264" s="165"/>
      <c r="AS264" s="165"/>
      <c r="AT264" s="165"/>
      <c r="AU264" s="165"/>
      <c r="AV264" s="165"/>
      <c r="AW264" s="165"/>
      <c r="AX264" s="165"/>
      <c r="AY264" s="165"/>
      <c r="AZ264" s="165"/>
      <c r="BA264" s="165"/>
      <c r="BB264" s="165"/>
    </row>
    <row r="265" spans="1:54">
      <c r="B265" s="7" t="s">
        <v>221</v>
      </c>
      <c r="C265" s="56" t="s">
        <v>394</v>
      </c>
      <c r="D265" s="30"/>
      <c r="E265" s="30"/>
      <c r="F265" s="30"/>
      <c r="G265" s="31"/>
      <c r="H265" s="30"/>
      <c r="I265" s="30"/>
      <c r="J265" s="57"/>
      <c r="K265" s="30"/>
      <c r="L265" s="165"/>
      <c r="M265" s="165"/>
      <c r="N265" s="165"/>
      <c r="O265" s="165"/>
      <c r="P265" s="165"/>
      <c r="Q265" s="165"/>
      <c r="R265" s="165"/>
      <c r="S265" s="165"/>
      <c r="T265" s="165"/>
      <c r="U265" s="165">
        <v>790.09476500000005</v>
      </c>
      <c r="V265" s="165">
        <f>SUM(V262:V264)</f>
        <v>790.09476500000005</v>
      </c>
      <c r="W265" s="165">
        <f>X265</f>
        <v>790.09476500000005</v>
      </c>
      <c r="X265" s="165">
        <f>SUM(X262:X264)</f>
        <v>790.09476500000005</v>
      </c>
      <c r="Y265" s="165">
        <f>SUM(Y262:Y264)</f>
        <v>790.09476500000005</v>
      </c>
      <c r="Z265" s="165">
        <f>AA265</f>
        <v>790.09476500000005</v>
      </c>
      <c r="AA265" s="394">
        <v>790.09476500000005</v>
      </c>
      <c r="AB265" s="165">
        <f>SUM(AB262:AB264)</f>
        <v>790.09476500000005</v>
      </c>
      <c r="AC265" s="165">
        <f>AD265</f>
        <v>790.09476500000005</v>
      </c>
      <c r="AD265" s="165">
        <v>790.09476500000005</v>
      </c>
      <c r="AE265" s="165">
        <f>SUM(AE262:AE264)</f>
        <v>790.09476500000005</v>
      </c>
      <c r="AF265" s="165">
        <f>AG265</f>
        <v>791.09476500000005</v>
      </c>
      <c r="AG265" s="165">
        <v>791.09476500000005</v>
      </c>
      <c r="AH265" s="165">
        <f t="shared" ref="AH265:BB265" si="489">SUM(AH262:AH264)</f>
        <v>791.09476500000005</v>
      </c>
      <c r="AI265" s="165">
        <f>AJ265</f>
        <v>792.09476500000005</v>
      </c>
      <c r="AJ265" s="165">
        <v>792.09476500000005</v>
      </c>
      <c r="AK265" s="165">
        <f t="shared" ref="AK265" si="490">SUM(AK262:AK264)</f>
        <v>792.09476500000005</v>
      </c>
      <c r="AL265" s="165">
        <f>AM265</f>
        <v>793.09476500000005</v>
      </c>
      <c r="AM265" s="428">
        <v>793.09476500000005</v>
      </c>
      <c r="AN265" s="577">
        <f t="shared" ref="AN265" si="491">SUM(AN262:AN264)</f>
        <v>793.09476500000005</v>
      </c>
      <c r="AO265" s="165">
        <f t="shared" si="489"/>
        <v>789.92238594000003</v>
      </c>
      <c r="AP265" s="165">
        <f t="shared" si="489"/>
        <v>789.92238594000003</v>
      </c>
      <c r="AQ265" s="165">
        <f t="shared" si="489"/>
        <v>785.95579213741973</v>
      </c>
      <c r="AR265" s="165">
        <f t="shared" si="489"/>
        <v>781.20866895068059</v>
      </c>
      <c r="AS265" s="165">
        <f t="shared" si="489"/>
        <v>781.20866895068059</v>
      </c>
      <c r="AT265" s="165">
        <f t="shared" si="489"/>
        <v>776.44711373462098</v>
      </c>
      <c r="AU265" s="165">
        <f t="shared" si="489"/>
        <v>771.2128640271012</v>
      </c>
      <c r="AV265" s="165">
        <f t="shared" si="489"/>
        <v>771.21286402710132</v>
      </c>
      <c r="AW265" s="165">
        <f t="shared" si="489"/>
        <v>765.61392978449567</v>
      </c>
      <c r="AX265" s="165">
        <f t="shared" si="489"/>
        <v>760.07534594376591</v>
      </c>
      <c r="AY265" s="165">
        <f t="shared" si="489"/>
        <v>760.07534594376591</v>
      </c>
      <c r="AZ265" s="165">
        <f t="shared" si="489"/>
        <v>754.17591174704933</v>
      </c>
      <c r="BA265" s="165">
        <f t="shared" si="489"/>
        <v>748.09358318231796</v>
      </c>
      <c r="BB265" s="165">
        <f t="shared" si="489"/>
        <v>748.09358318231784</v>
      </c>
    </row>
    <row r="266" spans="1:54">
      <c r="D266" s="30"/>
      <c r="E266" s="30"/>
      <c r="F266" s="30"/>
      <c r="G266" s="31"/>
      <c r="H266" s="30"/>
      <c r="I266" s="30"/>
      <c r="J266" s="57"/>
      <c r="K266" s="30"/>
      <c r="L266" s="165"/>
      <c r="M266" s="165"/>
      <c r="N266" s="165"/>
      <c r="O266" s="165"/>
      <c r="P266" s="165"/>
      <c r="Q266" s="165"/>
      <c r="R266" s="165"/>
      <c r="S266" s="165"/>
      <c r="T266" s="165"/>
      <c r="U266" s="165"/>
      <c r="V266" s="165"/>
      <c r="W266" s="165"/>
      <c r="X266" s="165"/>
      <c r="Y266" s="165"/>
      <c r="Z266" s="165"/>
      <c r="AB266" s="165"/>
      <c r="AC266" s="165"/>
      <c r="AD266" s="165"/>
      <c r="AE266" s="165"/>
      <c r="AF266" s="165"/>
      <c r="AG266" s="165"/>
      <c r="AH266" s="165"/>
      <c r="AI266" s="165"/>
      <c r="AJ266" s="165"/>
      <c r="AK266" s="165"/>
      <c r="AL266" s="165"/>
      <c r="AM266" s="428"/>
      <c r="AN266" s="577"/>
      <c r="AO266" s="165"/>
      <c r="AP266" s="165"/>
      <c r="AQ266" s="165"/>
      <c r="AR266" s="165"/>
      <c r="AS266" s="165"/>
      <c r="AT266" s="165"/>
      <c r="AU266" s="165"/>
      <c r="AV266" s="165"/>
      <c r="AW266" s="165"/>
      <c r="AX266" s="165"/>
      <c r="AY266" s="165"/>
      <c r="AZ266" s="165"/>
      <c r="BA266" s="165"/>
      <c r="BB266" s="165"/>
    </row>
    <row r="267" spans="1:54">
      <c r="B267" s="7" t="s">
        <v>222</v>
      </c>
      <c r="C267" s="56" t="s">
        <v>394</v>
      </c>
      <c r="D267" s="30"/>
      <c r="E267" s="30"/>
      <c r="F267" s="31"/>
      <c r="G267" s="31"/>
      <c r="H267" s="30"/>
      <c r="I267" s="31"/>
      <c r="J267" s="111"/>
      <c r="K267" s="30"/>
      <c r="L267" s="171"/>
      <c r="M267" s="165"/>
      <c r="N267" s="165"/>
      <c r="O267" s="171"/>
      <c r="P267" s="171"/>
      <c r="Q267" s="165"/>
      <c r="R267" s="171"/>
      <c r="S267" s="171"/>
      <c r="T267" s="165"/>
      <c r="U267" s="171"/>
      <c r="V267" s="171">
        <v>790.09476500000005</v>
      </c>
      <c r="W267" s="165">
        <f>X267</f>
        <v>782.72841400000004</v>
      </c>
      <c r="X267" s="171">
        <v>782.72841400000004</v>
      </c>
      <c r="Y267" s="171">
        <v>783.13770499999998</v>
      </c>
      <c r="Z267" s="165">
        <f>AA267</f>
        <v>783.19720099999995</v>
      </c>
      <c r="AA267" s="473">
        <v>783.19720099999995</v>
      </c>
      <c r="AB267" s="171">
        <v>783.41111699999999</v>
      </c>
      <c r="AC267" s="165">
        <f>AD267</f>
        <v>783.44847600000003</v>
      </c>
      <c r="AD267" s="171">
        <v>783.44847600000003</v>
      </c>
      <c r="AE267" s="171">
        <v>784.87817600000005</v>
      </c>
      <c r="AF267" s="165">
        <f>AG267</f>
        <v>784.69934699999999</v>
      </c>
      <c r="AG267" s="171">
        <v>784.69934699999999</v>
      </c>
      <c r="AH267" s="165">
        <f t="shared" ref="AH267:BB267" si="492">+(AH262+AH265)/2</f>
        <v>791.09476500000005</v>
      </c>
      <c r="AI267" s="165">
        <f>AJ267</f>
        <v>784.62075000000004</v>
      </c>
      <c r="AJ267" s="171">
        <v>784.62075000000004</v>
      </c>
      <c r="AK267" s="165">
        <f t="shared" ref="AK267" si="493">+(AK262+AK265)/2</f>
        <v>792.09476500000005</v>
      </c>
      <c r="AL267" s="165">
        <f>AM267</f>
        <v>776.61699799999997</v>
      </c>
      <c r="AM267" s="425">
        <v>776.61699799999997</v>
      </c>
      <c r="AN267" s="577">
        <f t="shared" ref="AN267" si="494">+(AN262+AN265)/2</f>
        <v>793.09476500000005</v>
      </c>
      <c r="AO267" s="165">
        <f t="shared" si="492"/>
        <v>791.5085754700001</v>
      </c>
      <c r="AP267" s="165">
        <f t="shared" si="492"/>
        <v>791.5085754700001</v>
      </c>
      <c r="AQ267" s="165">
        <f t="shared" si="492"/>
        <v>787.93908903870988</v>
      </c>
      <c r="AR267" s="165">
        <f t="shared" si="492"/>
        <v>783.58223054405016</v>
      </c>
      <c r="AS267" s="165">
        <f t="shared" si="492"/>
        <v>785.56552744534031</v>
      </c>
      <c r="AT267" s="165">
        <f t="shared" si="492"/>
        <v>778.82789134265079</v>
      </c>
      <c r="AU267" s="165">
        <f t="shared" si="492"/>
        <v>773.82998888086104</v>
      </c>
      <c r="AV267" s="165">
        <f t="shared" si="492"/>
        <v>776.21076648889095</v>
      </c>
      <c r="AW267" s="165">
        <f t="shared" si="492"/>
        <v>768.41339690579844</v>
      </c>
      <c r="AX267" s="165">
        <f t="shared" si="492"/>
        <v>762.84463786413085</v>
      </c>
      <c r="AY267" s="165">
        <f t="shared" si="492"/>
        <v>765.64410498543361</v>
      </c>
      <c r="AZ267" s="165">
        <f t="shared" si="492"/>
        <v>757.12562884540762</v>
      </c>
      <c r="BA267" s="165">
        <f t="shared" si="492"/>
        <v>751.13474746468364</v>
      </c>
      <c r="BB267" s="165">
        <f t="shared" si="492"/>
        <v>754.08446456304182</v>
      </c>
    </row>
    <row r="268" spans="1:54">
      <c r="B268" s="7" t="s">
        <v>242</v>
      </c>
      <c r="C268" s="56" t="s">
        <v>394</v>
      </c>
      <c r="D268" s="30"/>
      <c r="E268" s="30"/>
      <c r="F268" s="30"/>
      <c r="G268" s="30"/>
      <c r="H268" s="30"/>
      <c r="I268" s="30"/>
      <c r="J268" s="57"/>
      <c r="K268" s="30"/>
      <c r="L268" s="171"/>
      <c r="M268" s="171"/>
      <c r="N268" s="165"/>
      <c r="O268" s="171"/>
      <c r="P268" s="171"/>
      <c r="Q268" s="165"/>
      <c r="R268" s="171"/>
      <c r="S268" s="171"/>
      <c r="T268" s="165"/>
      <c r="U268" s="171"/>
      <c r="V268" s="171">
        <v>788.01212099999998</v>
      </c>
      <c r="W268" s="165">
        <f>W277/W281*100</f>
        <v>785.30092170175442</v>
      </c>
      <c r="X268" s="171">
        <v>786.72841400000004</v>
      </c>
      <c r="Y268" s="171">
        <v>787.13770499999998</v>
      </c>
      <c r="Z268" s="165">
        <f>Z277/Z281*100</f>
        <v>788.15807561417773</v>
      </c>
      <c r="AA268" s="473">
        <v>787.69720099999995</v>
      </c>
      <c r="AB268" s="171">
        <v>787.81111699999997</v>
      </c>
      <c r="AC268" s="165">
        <f>AC277/AC281*100</f>
        <v>787.69356406232885</v>
      </c>
      <c r="AD268" s="171">
        <v>787.74847599999998</v>
      </c>
      <c r="AE268" s="171">
        <v>789.17817600000001</v>
      </c>
      <c r="AF268" s="165">
        <f>AF277/AF281*100</f>
        <v>788.86254280839614</v>
      </c>
      <c r="AG268" s="171">
        <v>788.99934699999994</v>
      </c>
      <c r="AH268" s="165">
        <f t="shared" ref="AH268:AK268" si="495">+AH267+(AG268-AG267)</f>
        <v>795.39476500000001</v>
      </c>
      <c r="AI268" s="165">
        <f>AI277/AI281*100</f>
        <v>782.91757609691217</v>
      </c>
      <c r="AJ268" s="171">
        <v>788.62075000000004</v>
      </c>
      <c r="AK268" s="165">
        <f t="shared" si="495"/>
        <v>796.09476500000005</v>
      </c>
      <c r="AL268" s="165">
        <f>AL277/AL281*100</f>
        <v>764.83345834748934</v>
      </c>
      <c r="AM268" s="425">
        <v>780.61699799999997</v>
      </c>
      <c r="AN268" s="577">
        <f t="shared" ref="AN268" si="496">+AN267+(AM268-AM267)</f>
        <v>797.09476500000005</v>
      </c>
      <c r="AO268" s="165">
        <f t="shared" ref="AO268:BB268" si="497">+AO267+(AN268-AN267)</f>
        <v>795.5085754700001</v>
      </c>
      <c r="AP268" s="165">
        <f t="shared" si="497"/>
        <v>795.5085754700001</v>
      </c>
      <c r="AQ268" s="165">
        <f t="shared" si="497"/>
        <v>791.93908903870988</v>
      </c>
      <c r="AR268" s="165">
        <f t="shared" si="497"/>
        <v>787.58223054405016</v>
      </c>
      <c r="AS268" s="165">
        <f t="shared" si="497"/>
        <v>789.56552744534031</v>
      </c>
      <c r="AT268" s="165">
        <f t="shared" si="497"/>
        <v>782.82789134265079</v>
      </c>
      <c r="AU268" s="165">
        <f t="shared" si="497"/>
        <v>777.82998888086104</v>
      </c>
      <c r="AV268" s="165">
        <f t="shared" si="497"/>
        <v>780.21076648889095</v>
      </c>
      <c r="AW268" s="165">
        <f t="shared" si="497"/>
        <v>772.41339690579844</v>
      </c>
      <c r="AX268" s="165">
        <f t="shared" si="497"/>
        <v>766.84463786413085</v>
      </c>
      <c r="AY268" s="165">
        <f t="shared" si="497"/>
        <v>769.64410498543361</v>
      </c>
      <c r="AZ268" s="165">
        <f t="shared" si="497"/>
        <v>761.12562884540762</v>
      </c>
      <c r="BA268" s="165">
        <f t="shared" si="497"/>
        <v>755.13474746468364</v>
      </c>
      <c r="BB268" s="165">
        <f t="shared" si="497"/>
        <v>758.08446456304182</v>
      </c>
    </row>
    <row r="269" spans="1:54">
      <c r="D269" s="30"/>
      <c r="E269" s="30"/>
      <c r="F269" s="30"/>
      <c r="G269" s="30"/>
      <c r="H269" s="30"/>
      <c r="I269" s="30"/>
      <c r="J269" s="57"/>
      <c r="K269" s="30"/>
      <c r="L269" s="165"/>
      <c r="M269" s="165"/>
      <c r="N269" s="165"/>
      <c r="O269" s="165"/>
      <c r="P269" s="165"/>
      <c r="Q269" s="165"/>
      <c r="R269" s="165"/>
      <c r="S269" s="165"/>
      <c r="T269" s="165"/>
      <c r="U269" s="165"/>
      <c r="V269" s="165"/>
      <c r="W269" s="165"/>
      <c r="X269" s="165"/>
      <c r="Y269" s="165"/>
      <c r="Z269" s="165"/>
      <c r="AA269" s="394" t="s">
        <v>490</v>
      </c>
      <c r="AB269" s="165"/>
      <c r="AC269" s="165"/>
      <c r="AD269" s="165" t="s">
        <v>490</v>
      </c>
      <c r="AE269" s="165"/>
      <c r="AF269" s="165"/>
      <c r="AG269" s="165" t="s">
        <v>490</v>
      </c>
      <c r="AH269" s="165"/>
      <c r="AI269" s="165"/>
      <c r="AJ269" s="165" t="s">
        <v>490</v>
      </c>
      <c r="AK269" s="165"/>
      <c r="AL269" s="165"/>
      <c r="AM269" s="428" t="s">
        <v>490</v>
      </c>
      <c r="AN269" s="577"/>
      <c r="AO269" s="165"/>
      <c r="AP269" s="165"/>
      <c r="AQ269" s="165"/>
      <c r="AR269" s="165"/>
      <c r="AS269" s="165"/>
      <c r="AT269" s="165"/>
      <c r="AU269" s="165"/>
      <c r="AV269" s="165"/>
      <c r="AW269" s="165"/>
      <c r="AX269" s="165"/>
      <c r="AY269" s="165"/>
      <c r="AZ269" s="165"/>
      <c r="BA269" s="165"/>
      <c r="BB269" s="165"/>
    </row>
    <row r="270" spans="1:54">
      <c r="B270" s="14" t="s">
        <v>35</v>
      </c>
      <c r="D270" s="30"/>
      <c r="E270" s="30"/>
      <c r="F270" s="30"/>
      <c r="G270" s="30"/>
      <c r="H270" s="30"/>
      <c r="I270" s="30"/>
      <c r="J270" s="30"/>
      <c r="K270" s="30"/>
      <c r="L270" s="165"/>
      <c r="M270" s="165"/>
      <c r="N270" s="165"/>
      <c r="O270" s="165"/>
      <c r="P270" s="165"/>
      <c r="Q270" s="165"/>
      <c r="R270" s="165"/>
      <c r="S270" s="165"/>
      <c r="T270" s="165"/>
      <c r="U270" s="165"/>
      <c r="V270" s="165"/>
      <c r="W270" s="165"/>
      <c r="X270" s="165"/>
      <c r="Y270" s="165"/>
      <c r="Z270" s="165"/>
      <c r="AB270" s="165"/>
      <c r="AC270" s="165"/>
      <c r="AD270" s="165"/>
      <c r="AE270" s="165"/>
      <c r="AF270" s="165"/>
      <c r="AG270" s="165"/>
      <c r="AH270" s="165"/>
      <c r="AI270" s="165"/>
      <c r="AJ270" s="165"/>
      <c r="AK270" s="165"/>
      <c r="AL270" s="165"/>
      <c r="AM270" s="428"/>
      <c r="AN270" s="577"/>
      <c r="AO270" s="165"/>
      <c r="AP270" s="165"/>
      <c r="AQ270" s="165"/>
      <c r="AR270" s="165"/>
      <c r="AS270" s="165"/>
      <c r="AT270" s="165"/>
      <c r="AU270" s="165"/>
      <c r="AV270" s="165"/>
      <c r="AW270" s="165"/>
      <c r="AX270" s="165"/>
      <c r="AY270" s="165"/>
      <c r="AZ270" s="165"/>
      <c r="BA270" s="165"/>
      <c r="BB270" s="165"/>
    </row>
    <row r="271" spans="1:54">
      <c r="B271" s="7" t="s">
        <v>214</v>
      </c>
      <c r="C271" s="56" t="s">
        <v>394</v>
      </c>
      <c r="D271" s="92"/>
      <c r="E271" s="92"/>
      <c r="F271" s="92"/>
      <c r="G271" s="92"/>
      <c r="H271" s="92"/>
      <c r="I271" s="92"/>
      <c r="J271" s="92"/>
      <c r="K271" s="92"/>
      <c r="L271" s="186"/>
      <c r="M271" s="186"/>
      <c r="N271" s="186"/>
      <c r="O271" s="186"/>
      <c r="P271" s="186"/>
      <c r="Q271" s="186"/>
      <c r="R271" s="186"/>
      <c r="S271" s="186"/>
      <c r="T271" s="186"/>
      <c r="U271" s="186"/>
      <c r="V271" s="186"/>
      <c r="W271" s="186"/>
      <c r="X271" s="186"/>
      <c r="Y271" s="186"/>
      <c r="Z271" s="186"/>
      <c r="AA271" s="482"/>
      <c r="AB271" s="186"/>
      <c r="AC271" s="186"/>
      <c r="AD271" s="186"/>
      <c r="AE271" s="186"/>
      <c r="AF271" s="186"/>
      <c r="AG271" s="186"/>
      <c r="AH271" s="186"/>
      <c r="AI271" s="186"/>
      <c r="AJ271" s="186"/>
      <c r="AK271" s="186"/>
      <c r="AL271" s="186"/>
      <c r="AM271" s="429"/>
      <c r="AN271" s="620"/>
      <c r="AO271" s="186"/>
      <c r="AP271" s="186"/>
      <c r="AQ271" s="186"/>
      <c r="AR271" s="186"/>
      <c r="AS271" s="186"/>
      <c r="AT271" s="186"/>
      <c r="AU271" s="186"/>
      <c r="AV271" s="186"/>
      <c r="AW271" s="186"/>
      <c r="AX271" s="186"/>
      <c r="AY271" s="186"/>
      <c r="AZ271" s="186"/>
      <c r="BA271" s="186"/>
      <c r="BB271" s="186"/>
    </row>
    <row r="272" spans="1:54">
      <c r="B272" s="7" t="s">
        <v>213</v>
      </c>
      <c r="C272" s="73" t="s">
        <v>492</v>
      </c>
      <c r="D272" s="92"/>
      <c r="E272" s="92"/>
      <c r="F272" s="92"/>
      <c r="G272" s="92"/>
      <c r="H272" s="92"/>
      <c r="I272" s="92"/>
      <c r="J272" s="92"/>
      <c r="K272" s="92"/>
      <c r="L272" s="186"/>
      <c r="M272" s="186"/>
      <c r="N272" s="186"/>
      <c r="O272" s="186"/>
      <c r="P272" s="186"/>
      <c r="Q272" s="186"/>
      <c r="R272" s="186"/>
      <c r="S272" s="186"/>
      <c r="T272" s="186"/>
      <c r="U272" s="186"/>
      <c r="V272" s="186"/>
      <c r="W272" s="186"/>
      <c r="X272" s="186"/>
      <c r="Y272" s="186"/>
      <c r="Z272" s="186"/>
      <c r="AA272" s="482"/>
      <c r="AB272" s="186"/>
      <c r="AC272" s="186"/>
      <c r="AD272" s="186"/>
      <c r="AE272" s="186"/>
      <c r="AF272" s="186"/>
      <c r="AG272" s="186"/>
      <c r="AH272" s="186"/>
      <c r="AI272" s="186"/>
      <c r="AJ272" s="186"/>
      <c r="AK272" s="186"/>
      <c r="AL272" s="186"/>
      <c r="AM272" s="429"/>
      <c r="AN272" s="620"/>
      <c r="AO272" s="186"/>
      <c r="AP272" s="186"/>
      <c r="AQ272" s="186"/>
      <c r="AR272" s="186"/>
      <c r="AS272" s="186"/>
      <c r="AT272" s="186"/>
      <c r="AU272" s="186"/>
      <c r="AV272" s="186"/>
      <c r="AW272" s="186"/>
      <c r="AX272" s="186"/>
      <c r="AY272" s="186"/>
      <c r="AZ272" s="186"/>
      <c r="BA272" s="186"/>
      <c r="BB272" s="186"/>
    </row>
    <row r="273" spans="2:54">
      <c r="B273" s="14" t="s">
        <v>117</v>
      </c>
      <c r="C273" s="76" t="s">
        <v>269</v>
      </c>
      <c r="D273" s="30"/>
      <c r="E273" s="30"/>
      <c r="F273" s="30"/>
      <c r="G273" s="30"/>
      <c r="H273" s="30"/>
      <c r="I273" s="30"/>
      <c r="J273" s="30"/>
      <c r="K273" s="30"/>
      <c r="L273" s="165"/>
      <c r="M273" s="165"/>
      <c r="N273" s="165"/>
      <c r="O273" s="165"/>
      <c r="P273" s="165"/>
      <c r="Q273" s="165"/>
      <c r="R273" s="165"/>
      <c r="S273" s="165"/>
      <c r="T273" s="165"/>
      <c r="U273" s="165"/>
      <c r="V273" s="165">
        <f t="shared" ref="V273:AA273" si="498">V272*V271</f>
        <v>0</v>
      </c>
      <c r="W273" s="165">
        <f t="shared" si="498"/>
        <v>0</v>
      </c>
      <c r="X273" s="165">
        <f t="shared" si="498"/>
        <v>0</v>
      </c>
      <c r="Y273" s="165">
        <f t="shared" si="498"/>
        <v>0</v>
      </c>
      <c r="Z273" s="165">
        <f t="shared" si="498"/>
        <v>0</v>
      </c>
      <c r="AA273" s="394">
        <f t="shared" si="498"/>
        <v>0</v>
      </c>
      <c r="AB273" s="165">
        <f t="shared" ref="AB273:AD273" si="499">AB272*AB271</f>
        <v>0</v>
      </c>
      <c r="AC273" s="165">
        <f t="shared" si="499"/>
        <v>0</v>
      </c>
      <c r="AD273" s="165">
        <f t="shared" si="499"/>
        <v>0</v>
      </c>
      <c r="AE273" s="165">
        <f t="shared" ref="AE273:AG273" si="500">AE272*AE271</f>
        <v>0</v>
      </c>
      <c r="AF273" s="165">
        <f t="shared" si="500"/>
        <v>0</v>
      </c>
      <c r="AG273" s="165">
        <f t="shared" si="500"/>
        <v>0</v>
      </c>
      <c r="AH273" s="165">
        <f t="shared" ref="AH273:AJ273" si="501">AH272*AH271</f>
        <v>0</v>
      </c>
      <c r="AI273" s="165">
        <f t="shared" si="501"/>
        <v>0</v>
      </c>
      <c r="AJ273" s="165">
        <f t="shared" si="501"/>
        <v>0</v>
      </c>
      <c r="AK273" s="165">
        <f t="shared" ref="AK273:AM273" si="502">AK272*AK271</f>
        <v>0</v>
      </c>
      <c r="AL273" s="165">
        <f t="shared" si="502"/>
        <v>0</v>
      </c>
      <c r="AM273" s="428">
        <f t="shared" si="502"/>
        <v>0</v>
      </c>
      <c r="AN273" s="577">
        <f t="shared" ref="AN273" si="503">AN272*AN271</f>
        <v>0</v>
      </c>
      <c r="AO273" s="165">
        <f t="shared" ref="AO273:BB273" si="504">AO272*AO271</f>
        <v>0</v>
      </c>
      <c r="AP273" s="165">
        <f t="shared" si="504"/>
        <v>0</v>
      </c>
      <c r="AQ273" s="165">
        <f t="shared" si="504"/>
        <v>0</v>
      </c>
      <c r="AR273" s="165">
        <f t="shared" si="504"/>
        <v>0</v>
      </c>
      <c r="AS273" s="165">
        <f t="shared" si="504"/>
        <v>0</v>
      </c>
      <c r="AT273" s="165">
        <f t="shared" si="504"/>
        <v>0</v>
      </c>
      <c r="AU273" s="165">
        <f t="shared" si="504"/>
        <v>0</v>
      </c>
      <c r="AV273" s="165">
        <f t="shared" si="504"/>
        <v>0</v>
      </c>
      <c r="AW273" s="165">
        <f t="shared" si="504"/>
        <v>0</v>
      </c>
      <c r="AX273" s="165">
        <f t="shared" si="504"/>
        <v>0</v>
      </c>
      <c r="AY273" s="165">
        <f t="shared" si="504"/>
        <v>0</v>
      </c>
      <c r="AZ273" s="165">
        <f t="shared" si="504"/>
        <v>0</v>
      </c>
      <c r="BA273" s="165">
        <f t="shared" si="504"/>
        <v>0</v>
      </c>
      <c r="BB273" s="165">
        <f t="shared" si="504"/>
        <v>0</v>
      </c>
    </row>
    <row r="274" spans="2:54">
      <c r="L274" s="165"/>
      <c r="M274" s="165"/>
      <c r="N274" s="165"/>
      <c r="O274" s="165"/>
      <c r="P274" s="165"/>
      <c r="Q274" s="165"/>
      <c r="R274" s="165"/>
      <c r="S274" s="165"/>
      <c r="T274" s="165"/>
      <c r="U274" s="165"/>
      <c r="V274" s="165"/>
      <c r="W274" s="165"/>
      <c r="X274" s="165"/>
      <c r="Y274" s="165"/>
      <c r="Z274" s="165"/>
      <c r="AB274" s="165"/>
      <c r="AC274" s="165"/>
      <c r="AD274" s="165"/>
      <c r="AE274" s="165"/>
      <c r="AF274" s="165"/>
      <c r="AG274" s="165"/>
      <c r="AH274" s="165"/>
      <c r="AI274" s="165"/>
      <c r="AJ274" s="165"/>
      <c r="AK274" s="165"/>
      <c r="AL274" s="165"/>
      <c r="AM274" s="428"/>
      <c r="AN274" s="577"/>
      <c r="AO274" s="165"/>
      <c r="AP274" s="165"/>
      <c r="AQ274" s="165"/>
      <c r="AR274" s="165"/>
      <c r="AS274" s="165"/>
      <c r="AT274" s="165"/>
      <c r="AU274" s="165"/>
      <c r="AV274" s="165"/>
      <c r="AW274" s="165"/>
      <c r="AX274" s="165"/>
      <c r="AY274" s="165"/>
      <c r="AZ274" s="165"/>
      <c r="BA274" s="165"/>
      <c r="BB274" s="165"/>
    </row>
    <row r="275" spans="2:54">
      <c r="B275" s="14" t="s">
        <v>3</v>
      </c>
      <c r="L275" s="165"/>
      <c r="M275" s="165"/>
      <c r="N275" s="165"/>
      <c r="O275" s="165"/>
      <c r="P275" s="165"/>
      <c r="Q275" s="165"/>
      <c r="R275" s="165"/>
      <c r="S275" s="165"/>
      <c r="T275" s="165"/>
      <c r="U275" s="165"/>
      <c r="V275" s="165"/>
      <c r="W275" s="165"/>
      <c r="X275" s="165"/>
      <c r="Y275" s="165"/>
      <c r="Z275" s="165"/>
      <c r="AB275" s="165"/>
      <c r="AC275" s="165"/>
      <c r="AD275" s="165"/>
      <c r="AE275" s="165"/>
      <c r="AF275" s="165"/>
      <c r="AG275" s="165"/>
      <c r="AH275" s="165"/>
      <c r="AI275" s="165"/>
      <c r="AJ275" s="165"/>
      <c r="AK275" s="165"/>
      <c r="AL275" s="165"/>
      <c r="AM275" s="428"/>
      <c r="AN275" s="577"/>
      <c r="AO275" s="165"/>
      <c r="AP275" s="165"/>
      <c r="AQ275" s="165"/>
      <c r="AR275" s="165"/>
      <c r="AS275" s="165"/>
      <c r="AT275" s="165"/>
      <c r="AU275" s="165"/>
      <c r="AV275" s="165"/>
      <c r="AW275" s="165"/>
      <c r="AX275" s="165"/>
      <c r="AY275" s="165"/>
      <c r="AZ275" s="165"/>
      <c r="BA275" s="165"/>
      <c r="BB275" s="165"/>
    </row>
    <row r="276" spans="2:54">
      <c r="B276" s="7" t="s">
        <v>4</v>
      </c>
      <c r="C276" s="73" t="s">
        <v>269</v>
      </c>
      <c r="D276" s="30"/>
      <c r="E276" s="30"/>
      <c r="F276" s="30"/>
      <c r="G276" s="30"/>
      <c r="H276" s="30"/>
      <c r="I276" s="30"/>
      <c r="J276" s="30"/>
      <c r="K276" s="30"/>
      <c r="L276" s="165"/>
      <c r="M276" s="165"/>
      <c r="N276" s="165"/>
      <c r="O276" s="165"/>
      <c r="P276" s="165"/>
      <c r="Q276" s="165"/>
      <c r="R276" s="165"/>
      <c r="S276" s="165"/>
      <c r="T276" s="165"/>
      <c r="U276" s="165"/>
      <c r="V276" s="165">
        <f t="shared" ref="V276:AJ276" si="505">V74</f>
        <v>34.295000000000002</v>
      </c>
      <c r="W276" s="165">
        <f t="shared" si="505"/>
        <v>25.701999999999998</v>
      </c>
      <c r="X276" s="165">
        <f t="shared" si="505"/>
        <v>59.997</v>
      </c>
      <c r="Y276" s="165">
        <f t="shared" ref="Y276:AD276" si="506">Y74</f>
        <v>65.912999999999997</v>
      </c>
      <c r="Z276" s="165">
        <f t="shared" si="506"/>
        <v>74.970000000000013</v>
      </c>
      <c r="AA276" s="394">
        <f t="shared" si="506"/>
        <v>140.88300000000001</v>
      </c>
      <c r="AB276" s="165">
        <f t="shared" si="506"/>
        <v>63.7</v>
      </c>
      <c r="AC276" s="165">
        <f t="shared" si="506"/>
        <v>73.743000000000009</v>
      </c>
      <c r="AD276" s="165">
        <f t="shared" si="506"/>
        <v>137.44300000000001</v>
      </c>
      <c r="AE276" s="165">
        <f t="shared" ref="AE276:AG276" si="507">AE74</f>
        <v>66.622</v>
      </c>
      <c r="AF276" s="165">
        <f t="shared" si="507"/>
        <v>73.028000000000006</v>
      </c>
      <c r="AG276" s="165">
        <f t="shared" si="507"/>
        <v>139.65</v>
      </c>
      <c r="AH276" s="165">
        <f t="shared" si="505"/>
        <v>51.027000000000001</v>
      </c>
      <c r="AI276" s="165">
        <f t="shared" si="505"/>
        <v>59.117999999999995</v>
      </c>
      <c r="AJ276" s="165">
        <f t="shared" si="505"/>
        <v>110.145</v>
      </c>
      <c r="AK276" s="165">
        <f t="shared" ref="AK276:AM276" si="508">AK74</f>
        <v>67.191999999999993</v>
      </c>
      <c r="AL276" s="165">
        <f t="shared" si="508"/>
        <v>57.802000000000007</v>
      </c>
      <c r="AM276" s="428">
        <f t="shared" si="508"/>
        <v>124.994</v>
      </c>
      <c r="AN276" s="577">
        <f t="shared" ref="AN276" si="509">AN74</f>
        <v>43.7</v>
      </c>
      <c r="AO276" s="165">
        <f t="shared" ref="AO276:BB276" si="510">AO74</f>
        <v>69.390717232919215</v>
      </c>
      <c r="AP276" s="165">
        <f t="shared" si="510"/>
        <v>113.09071723291922</v>
      </c>
      <c r="AQ276" s="165">
        <f t="shared" si="510"/>
        <v>73.129048757594603</v>
      </c>
      <c r="AR276" s="165">
        <f t="shared" si="510"/>
        <v>83.216698166536929</v>
      </c>
      <c r="AS276" s="165">
        <f t="shared" si="510"/>
        <v>156.34574692413153</v>
      </c>
      <c r="AT276" s="165">
        <f t="shared" si="510"/>
        <v>80.594561882507605</v>
      </c>
      <c r="AU276" s="165">
        <f t="shared" si="510"/>
        <v>91.443859267477194</v>
      </c>
      <c r="AV276" s="165">
        <f t="shared" si="510"/>
        <v>172.0384211499848</v>
      </c>
      <c r="AW276" s="165">
        <f t="shared" si="510"/>
        <v>85.236641912717133</v>
      </c>
      <c r="AX276" s="165">
        <f t="shared" si="510"/>
        <v>96.33504317652671</v>
      </c>
      <c r="AY276" s="165">
        <f t="shared" si="510"/>
        <v>181.57168508924383</v>
      </c>
      <c r="AZ276" s="165">
        <f t="shared" si="510"/>
        <v>93.588317862075272</v>
      </c>
      <c r="BA276" s="165">
        <f t="shared" si="510"/>
        <v>106.17352546862797</v>
      </c>
      <c r="BB276" s="165">
        <f t="shared" si="510"/>
        <v>199.76184333070324</v>
      </c>
    </row>
    <row r="277" spans="2:54">
      <c r="B277" s="7" t="s">
        <v>62</v>
      </c>
      <c r="C277" s="73" t="s">
        <v>269</v>
      </c>
      <c r="D277" s="30"/>
      <c r="E277" s="30"/>
      <c r="F277" s="30"/>
      <c r="G277" s="30"/>
      <c r="H277" s="30"/>
      <c r="I277" s="30"/>
      <c r="J277" s="30"/>
      <c r="K277" s="30"/>
      <c r="L277" s="165"/>
      <c r="M277" s="165"/>
      <c r="N277" s="165"/>
      <c r="O277" s="165"/>
      <c r="P277" s="165"/>
      <c r="Q277" s="165"/>
      <c r="R277" s="165"/>
      <c r="S277" s="165"/>
      <c r="T277" s="165"/>
      <c r="U277" s="165"/>
      <c r="V277" s="165">
        <f t="shared" ref="V277:AJ277" si="511">V70</f>
        <v>34.295000000000002</v>
      </c>
      <c r="W277" s="165">
        <f t="shared" si="511"/>
        <v>30.734500000000004</v>
      </c>
      <c r="X277" s="165">
        <f t="shared" si="511"/>
        <v>65.029499999999999</v>
      </c>
      <c r="Y277" s="165">
        <f t="shared" ref="Y277:AD277" si="512">Y70</f>
        <v>71.616799999999998</v>
      </c>
      <c r="Z277" s="165">
        <f t="shared" si="512"/>
        <v>87.054599999999994</v>
      </c>
      <c r="AA277" s="394">
        <f t="shared" si="512"/>
        <v>158.67140000000001</v>
      </c>
      <c r="AB277" s="165">
        <f t="shared" si="512"/>
        <v>75.400000000000006</v>
      </c>
      <c r="AC277" s="165">
        <f t="shared" si="512"/>
        <v>86</v>
      </c>
      <c r="AD277" s="165">
        <f t="shared" si="512"/>
        <v>161.4</v>
      </c>
      <c r="AE277" s="165">
        <f t="shared" ref="AE277:AG277" si="513">AE70</f>
        <v>67.5</v>
      </c>
      <c r="AF277" s="165">
        <f t="shared" si="513"/>
        <v>88.199999999999989</v>
      </c>
      <c r="AG277" s="165">
        <f t="shared" si="513"/>
        <v>155.69999999999999</v>
      </c>
      <c r="AH277" s="165">
        <f t="shared" si="511"/>
        <v>67.722999999999999</v>
      </c>
      <c r="AI277" s="165">
        <f t="shared" si="511"/>
        <v>79.177000000000021</v>
      </c>
      <c r="AJ277" s="165">
        <f t="shared" si="511"/>
        <v>146.9</v>
      </c>
      <c r="AK277" s="165">
        <f t="shared" ref="AK277:AM277" si="514">AK70</f>
        <v>76</v>
      </c>
      <c r="AL277" s="165">
        <f t="shared" si="514"/>
        <v>71.697999999999979</v>
      </c>
      <c r="AM277" s="428">
        <f t="shared" si="514"/>
        <v>147.69999999999999</v>
      </c>
      <c r="AN277" s="577">
        <f t="shared" ref="AN277" si="515">AN70</f>
        <v>52.2</v>
      </c>
      <c r="AO277" s="165">
        <f t="shared" ref="AO277:BB277" si="516">AO70</f>
        <v>69.390717232919215</v>
      </c>
      <c r="AP277" s="165">
        <f t="shared" si="516"/>
        <v>121.59071723291922</v>
      </c>
      <c r="AQ277" s="165">
        <f t="shared" si="516"/>
        <v>73.129048757594603</v>
      </c>
      <c r="AR277" s="165">
        <f t="shared" si="516"/>
        <v>83.216698166536929</v>
      </c>
      <c r="AS277" s="165">
        <f t="shared" si="516"/>
        <v>156.34574692413153</v>
      </c>
      <c r="AT277" s="165">
        <f t="shared" si="516"/>
        <v>80.594561882507605</v>
      </c>
      <c r="AU277" s="165">
        <f t="shared" si="516"/>
        <v>91.443859267477194</v>
      </c>
      <c r="AV277" s="165">
        <f t="shared" si="516"/>
        <v>172.0384211499848</v>
      </c>
      <c r="AW277" s="165">
        <f t="shared" si="516"/>
        <v>85.236641912717133</v>
      </c>
      <c r="AX277" s="165">
        <f t="shared" si="516"/>
        <v>96.33504317652671</v>
      </c>
      <c r="AY277" s="165">
        <f t="shared" si="516"/>
        <v>181.57168508924383</v>
      </c>
      <c r="AZ277" s="165">
        <f t="shared" si="516"/>
        <v>93.588317862075272</v>
      </c>
      <c r="BA277" s="165">
        <f t="shared" si="516"/>
        <v>106.17352546862797</v>
      </c>
      <c r="BB277" s="165">
        <f t="shared" si="516"/>
        <v>199.76184333070324</v>
      </c>
    </row>
    <row r="278" spans="2:54">
      <c r="L278" s="165"/>
      <c r="M278" s="165"/>
      <c r="N278" s="165"/>
      <c r="O278" s="165"/>
      <c r="P278" s="165"/>
      <c r="Q278" s="165"/>
      <c r="R278" s="165"/>
      <c r="S278" s="165"/>
      <c r="T278" s="165"/>
      <c r="U278" s="165"/>
      <c r="V278" s="165"/>
      <c r="W278" s="165"/>
      <c r="X278" s="165"/>
      <c r="Y278" s="165"/>
      <c r="Z278" s="165"/>
      <c r="AB278" s="165"/>
      <c r="AC278" s="165"/>
      <c r="AD278" s="165"/>
      <c r="AE278" s="165"/>
      <c r="AF278" s="165"/>
      <c r="AG278" s="165"/>
      <c r="AH278" s="165"/>
      <c r="AI278" s="165"/>
      <c r="AJ278" s="165"/>
      <c r="AK278" s="165"/>
      <c r="AL278" s="165"/>
      <c r="AM278" s="428"/>
      <c r="AN278" s="577"/>
      <c r="AO278" s="165"/>
      <c r="AP278" s="165"/>
      <c r="AQ278" s="165"/>
      <c r="AR278" s="165"/>
      <c r="AS278" s="165"/>
      <c r="AT278" s="165"/>
      <c r="AU278" s="165"/>
      <c r="AV278" s="165"/>
      <c r="AW278" s="165"/>
      <c r="AX278" s="165"/>
      <c r="AY278" s="165"/>
      <c r="AZ278" s="165"/>
      <c r="BA278" s="165"/>
      <c r="BB278" s="165"/>
    </row>
    <row r="279" spans="2:54">
      <c r="B279" s="14" t="s">
        <v>5</v>
      </c>
      <c r="L279" s="165"/>
      <c r="M279" s="165"/>
      <c r="N279" s="165"/>
      <c r="O279" s="165"/>
      <c r="P279" s="165"/>
      <c r="Q279" s="165"/>
      <c r="R279" s="165"/>
      <c r="S279" s="165"/>
      <c r="T279" s="165"/>
      <c r="U279" s="165"/>
      <c r="V279" s="165"/>
      <c r="W279" s="165"/>
      <c r="X279" s="165"/>
      <c r="Y279" s="165"/>
      <c r="Z279" s="165"/>
      <c r="AB279" s="165"/>
      <c r="AC279" s="165"/>
      <c r="AD279" s="165"/>
      <c r="AE279" s="165"/>
      <c r="AF279" s="165"/>
      <c r="AG279" s="165"/>
      <c r="AH279" s="165"/>
      <c r="AI279" s="165"/>
      <c r="AJ279" s="165"/>
      <c r="AK279" s="165"/>
      <c r="AL279" s="165"/>
      <c r="AM279" s="428"/>
      <c r="AN279" s="577"/>
      <c r="AO279" s="165"/>
      <c r="AP279" s="165"/>
      <c r="AQ279" s="165"/>
      <c r="AR279" s="165"/>
      <c r="AS279" s="165"/>
      <c r="AT279" s="165"/>
      <c r="AU279" s="165"/>
      <c r="AV279" s="165"/>
      <c r="AW279" s="165"/>
      <c r="AX279" s="165"/>
      <c r="AY279" s="165"/>
      <c r="AZ279" s="165"/>
      <c r="BA279" s="165"/>
      <c r="BB279" s="165"/>
    </row>
    <row r="280" spans="2:54">
      <c r="B280" s="7" t="s">
        <v>4</v>
      </c>
      <c r="C280" s="56" t="s">
        <v>395</v>
      </c>
      <c r="D280" s="30"/>
      <c r="E280" s="30"/>
      <c r="F280" s="30"/>
      <c r="G280" s="30"/>
      <c r="H280" s="30"/>
      <c r="I280" s="30"/>
      <c r="J280" s="30"/>
      <c r="K280" s="30"/>
      <c r="L280" s="165"/>
      <c r="M280" s="165"/>
      <c r="N280" s="165"/>
      <c r="O280" s="165"/>
      <c r="P280" s="165"/>
      <c r="Q280" s="165"/>
      <c r="R280" s="165"/>
      <c r="S280" s="165"/>
      <c r="T280" s="165"/>
      <c r="U280" s="165"/>
      <c r="V280" s="394">
        <f>+V276/V268*100</f>
        <v>4.3520904166396699</v>
      </c>
      <c r="W280" s="394">
        <f>X280-V280</f>
        <v>3.2740482777738764</v>
      </c>
      <c r="X280" s="394">
        <f>+X276/X268*100</f>
        <v>7.6261386944135463</v>
      </c>
      <c r="Y280" s="394">
        <f>+Y276/Y268*100</f>
        <v>8.3737571687027756</v>
      </c>
      <c r="Z280" s="394">
        <f>AA280-Y280</f>
        <v>9.5116688327030641</v>
      </c>
      <c r="AA280" s="394">
        <f t="shared" ref="AA280" si="517">+AA276/AA268*100</f>
        <v>17.88542600140584</v>
      </c>
      <c r="AB280" s="394">
        <f>+AB276/AB268*100</f>
        <v>8.0856944799878985</v>
      </c>
      <c r="AC280" s="394">
        <f>AD280-AB280</f>
        <v>9.3618797378516536</v>
      </c>
      <c r="AD280" s="394">
        <f t="shared" ref="AD280" si="518">+AD276/AD268*100</f>
        <v>17.447574217839552</v>
      </c>
      <c r="AE280" s="394">
        <f>+AE276/AE268*100</f>
        <v>8.4419465750659572</v>
      </c>
      <c r="AF280" s="394">
        <f>AG280-AE280</f>
        <v>9.2576878455440283</v>
      </c>
      <c r="AG280" s="394">
        <f t="shared" ref="AG280" si="519">+AG276/AG268*100</f>
        <v>17.699634420609986</v>
      </c>
      <c r="AH280" s="306">
        <f>+AH276/AH268*100</f>
        <v>6.4153049838088894</v>
      </c>
      <c r="AI280" s="394">
        <f>AJ280-AH280</f>
        <v>7.5514845027725865</v>
      </c>
      <c r="AJ280" s="394">
        <f t="shared" ref="AJ280" si="520">+AJ276/AJ268*100</f>
        <v>13.966789486581476</v>
      </c>
      <c r="AK280" s="306">
        <f>+AK276/AK268*100</f>
        <v>8.4402012114726048</v>
      </c>
      <c r="AL280" s="394">
        <f>AM280-AK280</f>
        <v>7.5720045591222096</v>
      </c>
      <c r="AM280" s="432">
        <f t="shared" ref="AM280" si="521">+AM276/AM268*100</f>
        <v>16.012205770594814</v>
      </c>
      <c r="AN280" s="583">
        <f>+AN276/AN268*100</f>
        <v>5.4824096103554263</v>
      </c>
      <c r="AO280" s="165">
        <f t="shared" ref="AO280:BB280" si="522">+AO276/AO268*100</f>
        <v>8.7228119686732466</v>
      </c>
      <c r="AP280" s="165">
        <f t="shared" si="522"/>
        <v>14.21615312771497</v>
      </c>
      <c r="AQ280" s="165">
        <f t="shared" si="522"/>
        <v>9.2341759321871351</v>
      </c>
      <c r="AR280" s="165">
        <f t="shared" si="522"/>
        <v>10.566096458150415</v>
      </c>
      <c r="AS280" s="165">
        <f t="shared" si="522"/>
        <v>19.801491008604724</v>
      </c>
      <c r="AT280" s="165">
        <f t="shared" si="522"/>
        <v>10.295310472941573</v>
      </c>
      <c r="AU280" s="165">
        <f t="shared" si="522"/>
        <v>11.756278438048691</v>
      </c>
      <c r="AV280" s="165">
        <f t="shared" si="522"/>
        <v>22.050249565792729</v>
      </c>
      <c r="AW280" s="165">
        <f t="shared" si="522"/>
        <v>11.035106622200699</v>
      </c>
      <c r="AX280" s="165">
        <f t="shared" si="522"/>
        <v>12.562524195884814</v>
      </c>
      <c r="AY280" s="165">
        <f t="shared" si="522"/>
        <v>23.591642411485797</v>
      </c>
      <c r="AZ280" s="165">
        <f t="shared" si="522"/>
        <v>12.296040799998343</v>
      </c>
      <c r="BA280" s="165">
        <f t="shared" si="522"/>
        <v>14.060209230882137</v>
      </c>
      <c r="BB280" s="165">
        <f t="shared" si="522"/>
        <v>26.350868889767515</v>
      </c>
    </row>
    <row r="281" spans="2:54">
      <c r="B281" s="7" t="s">
        <v>69</v>
      </c>
      <c r="C281" s="56" t="s">
        <v>395</v>
      </c>
      <c r="D281" s="30"/>
      <c r="E281" s="30"/>
      <c r="F281" s="30"/>
      <c r="G281" s="30"/>
      <c r="H281" s="30"/>
      <c r="I281" s="30"/>
      <c r="J281" s="30"/>
      <c r="K281" s="30"/>
      <c r="L281" s="165"/>
      <c r="M281" s="165"/>
      <c r="N281" s="165"/>
      <c r="O281" s="165"/>
      <c r="P281" s="165"/>
      <c r="Q281" s="165"/>
      <c r="R281" s="165"/>
      <c r="S281" s="165"/>
      <c r="T281" s="165"/>
      <c r="U281" s="165"/>
      <c r="V281" s="394">
        <f>+V277/V268*100</f>
        <v>4.3520904166396699</v>
      </c>
      <c r="W281" s="394">
        <f>X281-V281</f>
        <v>3.9137226444861488</v>
      </c>
      <c r="X281" s="394">
        <f>+X277/X268*100</f>
        <v>8.2658130611258187</v>
      </c>
      <c r="Y281" s="394">
        <f>+Y277/Y268*100</f>
        <v>9.098382601301001</v>
      </c>
      <c r="Z281" s="394">
        <f>AA281-Y281</f>
        <v>11.045322339958528</v>
      </c>
      <c r="AA281" s="394">
        <f t="shared" ref="AA281:AH281" si="523">+AA277/AA268*100</f>
        <v>20.143704941259529</v>
      </c>
      <c r="AB281" s="394">
        <f>+AB277/AB268*100</f>
        <v>9.570822037536697</v>
      </c>
      <c r="AC281" s="394">
        <f>AD281-AB281</f>
        <v>10.917951335856664</v>
      </c>
      <c r="AD281" s="394">
        <f t="shared" ref="AD281" si="524">+AD277/AD268*100</f>
        <v>20.488773373393361</v>
      </c>
      <c r="AE281" s="394">
        <f>+AE277/AE268*100</f>
        <v>8.5532015522943183</v>
      </c>
      <c r="AF281" s="394">
        <f>AG281-AE281</f>
        <v>11.180655084218209</v>
      </c>
      <c r="AG281" s="394">
        <f t="shared" ref="AG281" si="525">+AG277/AG268*100</f>
        <v>19.733856636512527</v>
      </c>
      <c r="AH281" s="165">
        <f t="shared" si="523"/>
        <v>8.5143884496147013</v>
      </c>
      <c r="AI281" s="394">
        <f>AJ281-AH281</f>
        <v>10.113069679023175</v>
      </c>
      <c r="AJ281" s="394">
        <f t="shared" ref="AJ281:AK281" si="526">+AJ277/AJ268*100</f>
        <v>18.627458128637876</v>
      </c>
      <c r="AK281" s="165">
        <f t="shared" si="526"/>
        <v>9.5466021560887917</v>
      </c>
      <c r="AL281" s="394">
        <f>AM281-AK281</f>
        <v>9.3743283871121115</v>
      </c>
      <c r="AM281" s="432">
        <f t="shared" ref="AM281:AN281" si="527">+AM277/AM268*100</f>
        <v>18.920930543200903</v>
      </c>
      <c r="AN281" s="577">
        <f t="shared" si="527"/>
        <v>6.548782189028679</v>
      </c>
      <c r="AO281" s="165">
        <f t="shared" ref="AO281:BB281" si="528">+AO277/AO268*100</f>
        <v>8.7228119686732466</v>
      </c>
      <c r="AP281" s="165">
        <f t="shared" si="528"/>
        <v>15.284651980160154</v>
      </c>
      <c r="AQ281" s="165">
        <f t="shared" si="528"/>
        <v>9.2341759321871351</v>
      </c>
      <c r="AR281" s="165">
        <f t="shared" si="528"/>
        <v>10.566096458150415</v>
      </c>
      <c r="AS281" s="165">
        <f t="shared" si="528"/>
        <v>19.801491008604724</v>
      </c>
      <c r="AT281" s="165">
        <f t="shared" si="528"/>
        <v>10.295310472941573</v>
      </c>
      <c r="AU281" s="165">
        <f t="shared" si="528"/>
        <v>11.756278438048691</v>
      </c>
      <c r="AV281" s="165">
        <f t="shared" si="528"/>
        <v>22.050249565792729</v>
      </c>
      <c r="AW281" s="165">
        <f t="shared" si="528"/>
        <v>11.035106622200699</v>
      </c>
      <c r="AX281" s="165">
        <f t="shared" si="528"/>
        <v>12.562524195884814</v>
      </c>
      <c r="AY281" s="165">
        <f t="shared" si="528"/>
        <v>23.591642411485797</v>
      </c>
      <c r="AZ281" s="165">
        <f t="shared" si="528"/>
        <v>12.296040799998343</v>
      </c>
      <c r="BA281" s="165">
        <f t="shared" si="528"/>
        <v>14.060209230882137</v>
      </c>
      <c r="BB281" s="165">
        <f t="shared" si="528"/>
        <v>26.350868889767515</v>
      </c>
    </row>
    <row r="282" spans="2:54">
      <c r="B282" s="7" t="s">
        <v>6</v>
      </c>
      <c r="C282" s="73" t="s">
        <v>82</v>
      </c>
      <c r="D282" s="38"/>
      <c r="E282" s="38"/>
      <c r="F282" s="38"/>
      <c r="G282" s="38"/>
      <c r="H282" s="38"/>
      <c r="I282" s="38"/>
      <c r="J282" s="38"/>
      <c r="K282" s="38"/>
      <c r="L282" s="38"/>
      <c r="M282" s="38"/>
      <c r="N282" s="38"/>
      <c r="O282" s="32"/>
      <c r="P282" s="32"/>
      <c r="Q282" s="32"/>
      <c r="R282" s="32"/>
      <c r="S282" s="32"/>
      <c r="T282" s="32"/>
      <c r="U282" s="32"/>
      <c r="V282" s="32"/>
      <c r="W282" s="32"/>
      <c r="X282" s="32"/>
      <c r="Y282" s="32">
        <f t="shared" ref="Y282:AB283" si="529">+Y280/V280-1</f>
        <v>0.9240770220873098</v>
      </c>
      <c r="Z282" s="32">
        <f t="shared" si="529"/>
        <v>1.9051706101201211</v>
      </c>
      <c r="AA282" s="474">
        <f t="shared" si="529"/>
        <v>1.3452794026035266</v>
      </c>
      <c r="AB282" s="32">
        <f t="shared" si="529"/>
        <v>-3.4400649900802271E-2</v>
      </c>
      <c r="AC282" s="32">
        <f t="shared" ref="AC282:AC283" si="530">+AC280/Z280-1</f>
        <v>-1.5747929988521592E-2</v>
      </c>
      <c r="AD282" s="32">
        <f t="shared" ref="AD282:AE283" si="531">+AD280/AA280-1</f>
        <v>-2.4480925616860993E-2</v>
      </c>
      <c r="AE282" s="32">
        <f t="shared" si="531"/>
        <v>4.4059554310366567E-2</v>
      </c>
      <c r="AF282" s="32">
        <f t="shared" ref="AF282:AF283" si="532">+AF280/AC280-1</f>
        <v>-1.1129377349973879E-2</v>
      </c>
      <c r="AG282" s="32">
        <f t="shared" ref="AG282:AG283" si="533">+AG280/AD280-1</f>
        <v>1.4446719046634637E-2</v>
      </c>
      <c r="AH282" s="32">
        <f t="shared" ref="AH282:AK283" si="534">+AH280/AE280-1</f>
        <v>-0.24006804274773952</v>
      </c>
      <c r="AI282" s="32">
        <f t="shared" ref="AI282:AI283" si="535">+AI280/AF280-1</f>
        <v>-0.1843012392767901</v>
      </c>
      <c r="AJ282" s="32">
        <f t="shared" ref="AJ282:AJ283" si="536">+AJ280/AG280-1</f>
        <v>-0.21089954997499116</v>
      </c>
      <c r="AK282" s="32">
        <f t="shared" si="534"/>
        <v>0.31563522432280311</v>
      </c>
      <c r="AL282" s="32">
        <f t="shared" ref="AL282:AL283" si="537">+AL280/AI280-1</f>
        <v>2.7173539642555422E-3</v>
      </c>
      <c r="AM282" s="33">
        <f t="shared" ref="AM282:AN283" si="538">+AM280/AJ280-1</f>
        <v>0.14644856543291218</v>
      </c>
      <c r="AN282" s="581">
        <f t="shared" si="538"/>
        <v>-0.35044088725002298</v>
      </c>
      <c r="AO282" s="32">
        <f t="shared" ref="AO282:BB283" si="539">+AO280/AL280-1</f>
        <v>0.15198186960474369</v>
      </c>
      <c r="AP282" s="32">
        <f t="shared" si="539"/>
        <v>-0.11216772183743462</v>
      </c>
      <c r="AQ282" s="32">
        <f t="shared" si="539"/>
        <v>0.68432798504241643</v>
      </c>
      <c r="AR282" s="32">
        <f t="shared" si="539"/>
        <v>0.21131769159957425</v>
      </c>
      <c r="AS282" s="32">
        <f t="shared" si="539"/>
        <v>0.39288672756351439</v>
      </c>
      <c r="AT282" s="32">
        <f t="shared" si="539"/>
        <v>0.11491383189437521</v>
      </c>
      <c r="AU282" s="32">
        <f t="shared" si="539"/>
        <v>0.11264159707535137</v>
      </c>
      <c r="AV282" s="32">
        <f t="shared" si="539"/>
        <v>0.11356511265797153</v>
      </c>
      <c r="AW282" s="32">
        <f t="shared" si="539"/>
        <v>7.1857585179532002E-2</v>
      </c>
      <c r="AX282" s="32">
        <f t="shared" si="539"/>
        <v>6.858001552827675E-2</v>
      </c>
      <c r="AY282" s="32">
        <f t="shared" si="539"/>
        <v>6.9903646264588337E-2</v>
      </c>
      <c r="AZ282" s="32">
        <f t="shared" si="539"/>
        <v>0.11426569955027577</v>
      </c>
      <c r="BA282" s="32">
        <f t="shared" si="539"/>
        <v>0.11921847963388843</v>
      </c>
      <c r="BB282" s="32">
        <f t="shared" si="539"/>
        <v>0.11695779505959125</v>
      </c>
    </row>
    <row r="283" spans="2:54">
      <c r="B283" s="7" t="s">
        <v>89</v>
      </c>
      <c r="C283" s="73" t="s">
        <v>82</v>
      </c>
      <c r="D283" s="38"/>
      <c r="E283" s="38"/>
      <c r="F283" s="38"/>
      <c r="G283" s="38"/>
      <c r="H283" s="38"/>
      <c r="I283" s="38"/>
      <c r="J283" s="38"/>
      <c r="K283" s="38"/>
      <c r="L283" s="38"/>
      <c r="M283" s="38"/>
      <c r="N283" s="38"/>
      <c r="O283" s="32"/>
      <c r="P283" s="32"/>
      <c r="Q283" s="32"/>
      <c r="R283" s="32"/>
      <c r="S283" s="32"/>
      <c r="T283" s="32"/>
      <c r="U283" s="32"/>
      <c r="V283" s="32"/>
      <c r="W283" s="32"/>
      <c r="X283" s="32"/>
      <c r="Y283" s="32">
        <f t="shared" si="529"/>
        <v>1.0905775685437233</v>
      </c>
      <c r="Z283" s="32">
        <f t="shared" si="529"/>
        <v>1.822203651942413</v>
      </c>
      <c r="AA283" s="474">
        <f t="shared" si="529"/>
        <v>1.4369901414774944</v>
      </c>
      <c r="AB283" s="32">
        <f t="shared" si="529"/>
        <v>5.1925650628073194E-2</v>
      </c>
      <c r="AC283" s="32">
        <f t="shared" si="530"/>
        <v>-1.153166926066751E-2</v>
      </c>
      <c r="AD283" s="32">
        <f t="shared" si="531"/>
        <v>1.7130335910900074E-2</v>
      </c>
      <c r="AE283" s="32">
        <f t="shared" si="531"/>
        <v>-0.10632529590993112</v>
      </c>
      <c r="AF283" s="32">
        <f t="shared" si="532"/>
        <v>2.4061633934818527E-2</v>
      </c>
      <c r="AG283" s="32">
        <f t="shared" si="533"/>
        <v>-3.6845384695462835E-2</v>
      </c>
      <c r="AH283" s="32">
        <f t="shared" si="534"/>
        <v>-4.5378449744594151E-3</v>
      </c>
      <c r="AI283" s="32">
        <f t="shared" si="535"/>
        <v>-9.5485049592662907E-2</v>
      </c>
      <c r="AJ283" s="32">
        <f t="shared" si="536"/>
        <v>-5.6066005153171061E-2</v>
      </c>
      <c r="AK283" s="32">
        <f t="shared" si="534"/>
        <v>0.12123169063549133</v>
      </c>
      <c r="AL283" s="32">
        <f t="shared" si="537"/>
        <v>-7.3048175811878613E-2</v>
      </c>
      <c r="AM283" s="33">
        <f t="shared" si="538"/>
        <v>1.5754828841184843E-2</v>
      </c>
      <c r="AN283" s="581">
        <f t="shared" si="538"/>
        <v>-0.31401957660381952</v>
      </c>
      <c r="AO283" s="32">
        <f t="shared" si="539"/>
        <v>-6.9500063528238898E-2</v>
      </c>
      <c r="AP283" s="32">
        <f t="shared" si="539"/>
        <v>-0.19218286091893189</v>
      </c>
      <c r="AQ283" s="32">
        <f t="shared" si="539"/>
        <v>0.4100600181293792</v>
      </c>
      <c r="AR283" s="32">
        <f t="shared" si="539"/>
        <v>0.21131769159957425</v>
      </c>
      <c r="AS283" s="32">
        <f t="shared" si="539"/>
        <v>0.29551467932063713</v>
      </c>
      <c r="AT283" s="32">
        <f t="shared" si="539"/>
        <v>0.11491383189437521</v>
      </c>
      <c r="AU283" s="32">
        <f t="shared" si="539"/>
        <v>0.11264159707535137</v>
      </c>
      <c r="AV283" s="32">
        <f t="shared" si="539"/>
        <v>0.11356511265797153</v>
      </c>
      <c r="AW283" s="32">
        <f t="shared" si="539"/>
        <v>7.1857585179532002E-2</v>
      </c>
      <c r="AX283" s="32">
        <f t="shared" si="539"/>
        <v>6.858001552827675E-2</v>
      </c>
      <c r="AY283" s="32">
        <f t="shared" si="539"/>
        <v>6.9903646264588337E-2</v>
      </c>
      <c r="AZ283" s="32">
        <f t="shared" si="539"/>
        <v>0.11426569955027577</v>
      </c>
      <c r="BA283" s="32">
        <f t="shared" si="539"/>
        <v>0.11921847963388843</v>
      </c>
      <c r="BB283" s="32">
        <f t="shared" si="539"/>
        <v>0.11695779505959125</v>
      </c>
    </row>
    <row r="285" spans="2:54">
      <c r="B285" s="14" t="s">
        <v>114</v>
      </c>
      <c r="D285" s="30"/>
      <c r="E285" s="30"/>
      <c r="F285" s="38"/>
    </row>
    <row r="286" spans="2:54">
      <c r="B286" s="7" t="s">
        <v>115</v>
      </c>
      <c r="C286" s="56" t="s">
        <v>395</v>
      </c>
      <c r="D286" s="31"/>
      <c r="E286" s="31"/>
      <c r="F286" s="31"/>
      <c r="G286" s="31"/>
      <c r="H286" s="31"/>
      <c r="I286" s="31"/>
      <c r="J286" s="31"/>
      <c r="K286" s="31"/>
      <c r="L286" s="30"/>
      <c r="M286" s="31"/>
      <c r="N286" s="31"/>
      <c r="O286" s="49"/>
      <c r="P286" s="164"/>
      <c r="Q286" s="164"/>
      <c r="R286" s="49"/>
      <c r="S286" s="164"/>
      <c r="T286" s="164"/>
      <c r="U286" s="49"/>
      <c r="V286" s="31">
        <f>4.5*0.685</f>
        <v>3.0825000000000005</v>
      </c>
      <c r="W286" s="31">
        <f>2.5*0.657</f>
        <v>1.6425000000000001</v>
      </c>
      <c r="X286" s="30">
        <f>W286+V286</f>
        <v>4.7250000000000005</v>
      </c>
      <c r="Y286" s="31">
        <f>6*0.722</f>
        <v>4.3319999999999999</v>
      </c>
      <c r="Z286" s="30">
        <f>+AA286-Y286</f>
        <v>5.3790000000000004</v>
      </c>
      <c r="AA286" s="394">
        <f>13*0.747</f>
        <v>9.7110000000000003</v>
      </c>
      <c r="AB286" s="31">
        <v>4.5</v>
      </c>
      <c r="AC286" s="30">
        <f>+AD286-AB286</f>
        <v>5</v>
      </c>
      <c r="AD286" s="30">
        <v>9.5</v>
      </c>
      <c r="AE286" s="31">
        <v>4.5</v>
      </c>
      <c r="AF286" s="30">
        <f>+AG286-AE286</f>
        <v>5</v>
      </c>
      <c r="AG286" s="31">
        <v>9.5</v>
      </c>
      <c r="AH286" s="152">
        <v>2.25</v>
      </c>
      <c r="AI286" s="31">
        <v>2.5</v>
      </c>
      <c r="AJ286" s="30">
        <f>AH286+AI286</f>
        <v>4.75</v>
      </c>
      <c r="AK286" s="152">
        <v>2.5</v>
      </c>
      <c r="AL286" s="31">
        <v>2.5</v>
      </c>
      <c r="AM286" s="405">
        <f>AK286+AL286</f>
        <v>5</v>
      </c>
      <c r="AN286" s="621">
        <v>2</v>
      </c>
      <c r="AO286" s="91">
        <f>AO294*AO281</f>
        <v>2.500706080552868</v>
      </c>
      <c r="AP286" s="30">
        <f>AO286+AN286</f>
        <v>4.5007060805528685</v>
      </c>
      <c r="AQ286" s="91">
        <f t="shared" ref="AQ286:AR286" si="540">AQ294*AQ281</f>
        <v>3.0048035549025012</v>
      </c>
      <c r="AR286" s="91">
        <f t="shared" si="540"/>
        <v>3.0291495168643192</v>
      </c>
      <c r="AS286" s="30">
        <f t="shared" ref="AS286" si="541">AR286+AQ286</f>
        <v>6.0339530717668204</v>
      </c>
      <c r="AT286" s="91">
        <f t="shared" ref="AT286:AU286" si="542">AT294*AT281</f>
        <v>3.3500970454861885</v>
      </c>
      <c r="AU286" s="91">
        <f t="shared" si="542"/>
        <v>3.605483324984919</v>
      </c>
      <c r="AV286" s="30">
        <f t="shared" ref="AV286" si="543">AU286+AT286</f>
        <v>6.9555803704711074</v>
      </c>
      <c r="AW286" s="91">
        <f t="shared" ref="AW286:AX286" si="544">AW294*AW281</f>
        <v>3.5908269292919104</v>
      </c>
      <c r="AX286" s="91">
        <f t="shared" si="544"/>
        <v>3.8527474273993274</v>
      </c>
      <c r="AY286" s="30">
        <f t="shared" ref="AY286" si="545">AX286+AW286</f>
        <v>7.4435743566912382</v>
      </c>
      <c r="AZ286" s="91">
        <f t="shared" ref="AZ286:BA286" si="546">AZ294*AZ281</f>
        <v>4.0011352803314191</v>
      </c>
      <c r="BA286" s="91">
        <f t="shared" si="546"/>
        <v>4.3120661181072499</v>
      </c>
      <c r="BB286" s="30">
        <f t="shared" ref="BB286" si="547">BA286+AZ286</f>
        <v>8.3132013984386681</v>
      </c>
    </row>
    <row r="287" spans="2:54">
      <c r="B287" s="7" t="s">
        <v>116</v>
      </c>
      <c r="C287" s="56" t="s">
        <v>395</v>
      </c>
      <c r="G287" s="89"/>
      <c r="H287" s="89"/>
      <c r="J287" s="89"/>
      <c r="K287" s="89"/>
      <c r="M287" s="89"/>
      <c r="N287" s="89"/>
      <c r="O287" s="49"/>
      <c r="P287" s="164"/>
      <c r="Q287" s="164"/>
      <c r="R287" s="49"/>
      <c r="S287" s="164"/>
      <c r="T287" s="164"/>
      <c r="U287" s="49"/>
      <c r="V287" s="164">
        <v>0</v>
      </c>
      <c r="W287" s="164">
        <v>0</v>
      </c>
      <c r="X287" s="49">
        <f>W287+V287</f>
        <v>0</v>
      </c>
      <c r="Y287" s="164">
        <v>0</v>
      </c>
      <c r="Z287" s="30">
        <f>+AA287-Y287</f>
        <v>0</v>
      </c>
      <c r="AA287" s="394">
        <v>0</v>
      </c>
      <c r="AB287" s="164">
        <v>0</v>
      </c>
      <c r="AC287" s="30">
        <f>+AD287-AB287</f>
        <v>0</v>
      </c>
      <c r="AD287" s="30">
        <v>0</v>
      </c>
      <c r="AE287" s="164">
        <v>0</v>
      </c>
      <c r="AF287" s="30">
        <f>+AG287-AE287</f>
        <v>0</v>
      </c>
      <c r="AG287" s="30">
        <v>0</v>
      </c>
      <c r="AH287" s="164">
        <v>0</v>
      </c>
      <c r="AI287" s="30">
        <f>+AJ287-AH287</f>
        <v>0</v>
      </c>
      <c r="AJ287" s="30">
        <v>0</v>
      </c>
      <c r="AK287" s="164">
        <v>0</v>
      </c>
      <c r="AL287" s="30">
        <f>+AM287-AK287</f>
        <v>0</v>
      </c>
      <c r="AM287" s="405">
        <v>0</v>
      </c>
      <c r="AN287" s="592">
        <v>0</v>
      </c>
      <c r="AO287" s="30"/>
      <c r="AP287" s="30"/>
      <c r="AQ287" s="30"/>
      <c r="AR287" s="30"/>
      <c r="AS287" s="30"/>
      <c r="AT287" s="30"/>
      <c r="AU287" s="30"/>
      <c r="AV287" s="30"/>
      <c r="AW287" s="30"/>
      <c r="AX287" s="30"/>
      <c r="AY287" s="30"/>
      <c r="AZ287" s="30"/>
      <c r="BA287" s="30"/>
      <c r="BB287" s="30"/>
    </row>
    <row r="288" spans="2:54">
      <c r="B288" s="7" t="s">
        <v>117</v>
      </c>
      <c r="C288" s="56" t="s">
        <v>395</v>
      </c>
      <c r="D288" s="30"/>
      <c r="E288" s="30"/>
      <c r="F288" s="30"/>
      <c r="G288" s="30"/>
      <c r="H288" s="30"/>
      <c r="I288" s="30"/>
      <c r="J288" s="30"/>
      <c r="K288" s="30"/>
      <c r="L288" s="30"/>
      <c r="M288" s="30"/>
      <c r="N288" s="30"/>
      <c r="O288" s="49"/>
      <c r="P288" s="49"/>
      <c r="Q288" s="49"/>
      <c r="R288" s="49"/>
      <c r="S288" s="49"/>
      <c r="T288" s="49"/>
      <c r="U288" s="49"/>
      <c r="V288" s="30">
        <f t="shared" ref="V288:AA288" si="548">+V286+V287</f>
        <v>3.0825000000000005</v>
      </c>
      <c r="W288" s="30">
        <f t="shared" si="548"/>
        <v>1.6425000000000001</v>
      </c>
      <c r="X288" s="30">
        <f t="shared" si="548"/>
        <v>4.7250000000000005</v>
      </c>
      <c r="Y288" s="30">
        <f t="shared" si="548"/>
        <v>4.3319999999999999</v>
      </c>
      <c r="Z288" s="30">
        <f t="shared" si="548"/>
        <v>5.3790000000000004</v>
      </c>
      <c r="AA288" s="394">
        <f t="shared" si="548"/>
        <v>9.7110000000000003</v>
      </c>
      <c r="AB288" s="30">
        <f t="shared" ref="AB288:AD288" si="549">+AB286+AB287</f>
        <v>4.5</v>
      </c>
      <c r="AC288" s="30">
        <f t="shared" si="549"/>
        <v>5</v>
      </c>
      <c r="AD288" s="30">
        <f t="shared" si="549"/>
        <v>9.5</v>
      </c>
      <c r="AE288" s="30">
        <f t="shared" ref="AE288:AG288" si="550">+AE286+AE287</f>
        <v>4.5</v>
      </c>
      <c r="AF288" s="30">
        <f t="shared" si="550"/>
        <v>5</v>
      </c>
      <c r="AG288" s="30">
        <f t="shared" si="550"/>
        <v>9.5</v>
      </c>
      <c r="AH288" s="30">
        <f t="shared" ref="AH288:AJ288" si="551">+AH286+AH287</f>
        <v>2.25</v>
      </c>
      <c r="AI288" s="30">
        <f t="shared" si="551"/>
        <v>2.5</v>
      </c>
      <c r="AJ288" s="30">
        <f t="shared" si="551"/>
        <v>4.75</v>
      </c>
      <c r="AK288" s="30">
        <f t="shared" ref="AK288:AM288" si="552">+AK286+AK287</f>
        <v>2.5</v>
      </c>
      <c r="AL288" s="30">
        <f t="shared" si="552"/>
        <v>2.5</v>
      </c>
      <c r="AM288" s="405">
        <f t="shared" si="552"/>
        <v>5</v>
      </c>
      <c r="AN288" s="600">
        <f t="shared" ref="AN288" si="553">+AN286+AN287</f>
        <v>2</v>
      </c>
      <c r="AO288" s="30">
        <f t="shared" ref="AO288:BB288" si="554">+AO286+AO287</f>
        <v>2.500706080552868</v>
      </c>
      <c r="AP288" s="30">
        <f t="shared" si="554"/>
        <v>4.5007060805528685</v>
      </c>
      <c r="AQ288" s="30">
        <f t="shared" si="554"/>
        <v>3.0048035549025012</v>
      </c>
      <c r="AR288" s="30">
        <f t="shared" si="554"/>
        <v>3.0291495168643192</v>
      </c>
      <c r="AS288" s="30">
        <f t="shared" si="554"/>
        <v>6.0339530717668204</v>
      </c>
      <c r="AT288" s="30">
        <f t="shared" si="554"/>
        <v>3.3500970454861885</v>
      </c>
      <c r="AU288" s="30">
        <f t="shared" si="554"/>
        <v>3.605483324984919</v>
      </c>
      <c r="AV288" s="30">
        <f t="shared" si="554"/>
        <v>6.9555803704711074</v>
      </c>
      <c r="AW288" s="30">
        <f t="shared" si="554"/>
        <v>3.5908269292919104</v>
      </c>
      <c r="AX288" s="30">
        <f t="shared" si="554"/>
        <v>3.8527474273993274</v>
      </c>
      <c r="AY288" s="30">
        <f t="shared" si="554"/>
        <v>7.4435743566912382</v>
      </c>
      <c r="AZ288" s="30">
        <f t="shared" si="554"/>
        <v>4.0011352803314191</v>
      </c>
      <c r="BA288" s="30">
        <f t="shared" si="554"/>
        <v>4.3120661181072499</v>
      </c>
      <c r="BB288" s="30">
        <f t="shared" si="554"/>
        <v>8.3132013984386681</v>
      </c>
    </row>
    <row r="290" spans="2:54">
      <c r="B290" s="7" t="s">
        <v>174</v>
      </c>
      <c r="D290" s="38"/>
      <c r="E290" s="38"/>
      <c r="F290" s="38"/>
      <c r="G290" s="38"/>
      <c r="H290" s="38"/>
      <c r="I290" s="38"/>
      <c r="J290" s="38"/>
      <c r="K290" s="38"/>
      <c r="L290" s="38"/>
      <c r="M290" s="38"/>
      <c r="N290" s="38"/>
      <c r="O290" s="32"/>
      <c r="P290" s="32"/>
      <c r="Q290" s="32"/>
      <c r="R290" s="32"/>
      <c r="S290" s="32"/>
      <c r="T290" s="32"/>
      <c r="U290" s="32"/>
      <c r="V290" s="32"/>
      <c r="W290" s="32"/>
      <c r="X290" s="32"/>
      <c r="Y290" s="32">
        <f t="shared" ref="Y290:AB290" si="555">+Y288/V288-1</f>
        <v>0.40535279805352764</v>
      </c>
      <c r="Z290" s="32">
        <f t="shared" si="555"/>
        <v>2.2748858447488587</v>
      </c>
      <c r="AA290" s="474">
        <f t="shared" si="555"/>
        <v>1.0552380952380949</v>
      </c>
      <c r="AB290" s="32">
        <f t="shared" si="555"/>
        <v>3.8781163434903121E-2</v>
      </c>
      <c r="AC290" s="32">
        <f t="shared" ref="AC290" si="556">+AC288/Z288-1</f>
        <v>-7.0459193158579736E-2</v>
      </c>
      <c r="AD290" s="32">
        <f t="shared" ref="AD290:AE290" si="557">+AD288/AA288-1</f>
        <v>-2.1727937390587981E-2</v>
      </c>
      <c r="AE290" s="32">
        <f t="shared" si="557"/>
        <v>0</v>
      </c>
      <c r="AF290" s="32">
        <f t="shared" ref="AF290" si="558">+AF288/AC288-1</f>
        <v>0</v>
      </c>
      <c r="AG290" s="32">
        <f t="shared" ref="AG290" si="559">+AG288/AD288-1</f>
        <v>0</v>
      </c>
      <c r="AH290" s="32">
        <f t="shared" ref="AH290:AK290" si="560">+AH288/AE288-1</f>
        <v>-0.5</v>
      </c>
      <c r="AI290" s="32">
        <f t="shared" ref="AI290" si="561">+AI288/AF288-1</f>
        <v>-0.5</v>
      </c>
      <c r="AJ290" s="32">
        <f t="shared" ref="AJ290" si="562">+AJ288/AG288-1</f>
        <v>-0.5</v>
      </c>
      <c r="AK290" s="32">
        <f t="shared" si="560"/>
        <v>0.11111111111111116</v>
      </c>
      <c r="AL290" s="32">
        <f t="shared" ref="AL290" si="563">+AL288/AI288-1</f>
        <v>0</v>
      </c>
      <c r="AM290" s="33">
        <f t="shared" ref="AM290:AN290" si="564">+AM288/AJ288-1</f>
        <v>5.2631578947368363E-2</v>
      </c>
      <c r="AN290" s="581">
        <f t="shared" si="564"/>
        <v>-0.19999999999999996</v>
      </c>
      <c r="AO290" s="32">
        <f t="shared" ref="AO290:BB290" si="565">+AO288/AL288-1</f>
        <v>2.8243222114721078E-4</v>
      </c>
      <c r="AP290" s="32">
        <f t="shared" si="565"/>
        <v>-9.9858783889426261E-2</v>
      </c>
      <c r="AQ290" s="32">
        <f t="shared" si="565"/>
        <v>0.50240177745125059</v>
      </c>
      <c r="AR290" s="32">
        <f t="shared" si="565"/>
        <v>0.21131769159957425</v>
      </c>
      <c r="AS290" s="32">
        <f t="shared" si="565"/>
        <v>0.34066810046516238</v>
      </c>
      <c r="AT290" s="32">
        <f t="shared" si="565"/>
        <v>0.11491383189437521</v>
      </c>
      <c r="AU290" s="32">
        <f t="shared" si="565"/>
        <v>0.19026258192669299</v>
      </c>
      <c r="AV290" s="32">
        <f t="shared" si="565"/>
        <v>0.15274021652846947</v>
      </c>
      <c r="AW290" s="32">
        <f t="shared" si="565"/>
        <v>7.185758517953178E-2</v>
      </c>
      <c r="AX290" s="32">
        <f t="shared" si="565"/>
        <v>6.858001552827675E-2</v>
      </c>
      <c r="AY290" s="32">
        <f t="shared" si="565"/>
        <v>7.0158629507300008E-2</v>
      </c>
      <c r="AZ290" s="32">
        <f t="shared" si="565"/>
        <v>0.11426569955027577</v>
      </c>
      <c r="BA290" s="32">
        <f t="shared" si="565"/>
        <v>0.11921847963388843</v>
      </c>
      <c r="BB290" s="32">
        <f t="shared" si="565"/>
        <v>0.1168292274753322</v>
      </c>
    </row>
    <row r="291" spans="2:54">
      <c r="B291" s="7" t="s">
        <v>198</v>
      </c>
      <c r="C291" s="112">
        <f>'Fin Sum'!AC7</f>
        <v>3.66</v>
      </c>
      <c r="D291" s="38"/>
      <c r="E291" s="38"/>
      <c r="F291" s="38"/>
      <c r="G291" s="38"/>
      <c r="H291" s="38"/>
      <c r="I291" s="38"/>
      <c r="J291" s="38"/>
      <c r="K291" s="38"/>
      <c r="L291" s="38"/>
      <c r="M291" s="38"/>
      <c r="N291" s="38"/>
      <c r="O291" s="32"/>
      <c r="P291" s="32"/>
      <c r="Q291" s="32"/>
      <c r="R291" s="32"/>
      <c r="S291" s="32"/>
      <c r="T291" s="32"/>
      <c r="U291" s="32"/>
      <c r="V291" s="38">
        <f>+(V288/100)/$C$291/'Fin Sum'!$AC$10</f>
        <v>1.2205987170349254E-2</v>
      </c>
      <c r="W291" s="38">
        <f>+(W288/100)/$C$291/'Fin Sum'!$AC$10</f>
        <v>6.5039201710620108E-3</v>
      </c>
      <c r="X291" s="38">
        <f>+(X288/100)/$C$291/'Fin Sum'!$AC$10</f>
        <v>1.8709907341411265E-2</v>
      </c>
      <c r="Y291" s="38">
        <f>+(Y288/100)/$C$291/'Fin Sum'!$AC$10</f>
        <v>1.7153718222855784E-2</v>
      </c>
      <c r="Z291" s="38">
        <f>+(Z288/100)/$C$291/'Fin Sum'!$AC$10</f>
        <v>2.1299596103587552E-2</v>
      </c>
      <c r="AA291" s="474">
        <f>+(AA288/100)/$C$291/'Fin Sum'!$AC$10</f>
        <v>3.8453314326443333E-2</v>
      </c>
      <c r="AB291" s="38">
        <f>+(AB288/100)/$C$291/'Fin Sum'!$AC$10</f>
        <v>1.7818959372772631E-2</v>
      </c>
      <c r="AC291" s="38">
        <f>+(AC288/100)/$C$291/'Fin Sum'!$AC$10</f>
        <v>1.9798843747525146E-2</v>
      </c>
      <c r="AD291" s="38">
        <f>+(AD288/100)/$C$291/'Fin Sum'!$AC$10</f>
        <v>3.7617803120297777E-2</v>
      </c>
      <c r="AE291" s="38">
        <f>+(AE288/100)/$C$291/'Fin Sum'!$AC$10</f>
        <v>1.7818959372772631E-2</v>
      </c>
      <c r="AF291" s="38">
        <f>+(AF288/100)/$C$291/'Fin Sum'!$AC$10</f>
        <v>1.9798843747525146E-2</v>
      </c>
      <c r="AG291" s="38">
        <f>+(AG288/100)/$C$291/'Fin Sum'!$AC$10</f>
        <v>3.7617803120297777E-2</v>
      </c>
      <c r="AH291" s="38">
        <f>+(AH288/100)/$C$291/'Fin Sum'!$AC$10</f>
        <v>8.9094796863863155E-3</v>
      </c>
      <c r="AI291" s="38">
        <f>+(AI288/100)/$C$291/'Fin Sum'!$AC$10</f>
        <v>9.899421873762573E-3</v>
      </c>
      <c r="AJ291" s="38">
        <f>+(AJ288/100)/$C$291/'Fin Sum'!$AC$10</f>
        <v>1.8808901560148888E-2</v>
      </c>
      <c r="AK291" s="38">
        <f>+(AK288/100)/$C$291/'Fin Sum'!$AC$10</f>
        <v>9.899421873762573E-3</v>
      </c>
      <c r="AL291" s="38">
        <f>+(AL288/100)/$C$291/'Fin Sum'!$AC$10</f>
        <v>9.899421873762573E-3</v>
      </c>
      <c r="AM291" s="408">
        <f>+(AM288/100)/$C$291/'Fin Sum'!$AC$10</f>
        <v>1.9798843747525146E-2</v>
      </c>
      <c r="AN291" s="586">
        <f>+(AN288/100)/$C$291/'Fin Sum'!$AC$10</f>
        <v>7.919537499010058E-3</v>
      </c>
      <c r="AO291" s="38">
        <f>+(AO288/100)/$C$291/'Fin Sum'!$AC$10</f>
        <v>9.9022177894704522E-3</v>
      </c>
      <c r="AP291" s="38">
        <f>+(AP288/100)/$C$291/'Fin Sum'!$AC$10</f>
        <v>1.7821755288480515E-2</v>
      </c>
      <c r="AQ291" s="38">
        <f>+(AQ288/100)/$C$291/'Fin Sum'!$AC$10</f>
        <v>1.1898327215104544E-2</v>
      </c>
      <c r="AR291" s="38">
        <f>+(AR288/100)/$C$291/'Fin Sum'!$AC$10</f>
        <v>1.1994731594457587E-2</v>
      </c>
      <c r="AS291" s="38">
        <f>+(AS288/100)/$C$291/'Fin Sum'!$AC$10</f>
        <v>2.3893058809562131E-2</v>
      </c>
      <c r="AT291" s="38">
        <f>+(AT288/100)/$C$291/'Fin Sum'!$AC$10</f>
        <v>1.3265609588525337E-2</v>
      </c>
      <c r="AU291" s="38">
        <f>+(AU288/100)/$C$291/'Fin Sum'!$AC$10</f>
        <v>1.4276880197136766E-2</v>
      </c>
      <c r="AV291" s="38">
        <f>+(AV288/100)/$C$291/'Fin Sum'!$AC$10</f>
        <v>2.7542489785662105E-2</v>
      </c>
      <c r="AW291" s="38">
        <f>+(AW288/100)/$C$291/'Fin Sum'!$AC$10</f>
        <v>1.4218844259491211E-2</v>
      </c>
      <c r="AX291" s="38">
        <f>+(AX288/100)/$C$291/'Fin Sum'!$AC$10</f>
        <v>1.5255988862751752E-2</v>
      </c>
      <c r="AY291" s="38">
        <f>+(AY288/100)/$C$291/'Fin Sum'!$AC$10</f>
        <v>2.9474833122242961E-2</v>
      </c>
      <c r="AZ291" s="38">
        <f>+(AZ288/100)/$C$291/'Fin Sum'!$AC$10</f>
        <v>1.5843570445598396E-2</v>
      </c>
      <c r="BA291" s="38">
        <f>+(BA288/100)/$C$291/'Fin Sum'!$AC$10</f>
        <v>1.7074784660280552E-2</v>
      </c>
      <c r="BB291" s="38">
        <f>+(BB288/100)/$C$291/'Fin Sum'!$AC$10</f>
        <v>3.2918355105878948E-2</v>
      </c>
    </row>
    <row r="292" spans="2:54">
      <c r="B292" s="7" t="s">
        <v>199</v>
      </c>
      <c r="D292" s="38"/>
      <c r="E292" s="38"/>
      <c r="F292" s="38"/>
      <c r="G292" s="38"/>
      <c r="H292" s="38"/>
      <c r="I292" s="38"/>
      <c r="J292" s="38"/>
      <c r="K292" s="38"/>
      <c r="L292" s="38"/>
      <c r="M292" s="38"/>
      <c r="N292" s="38"/>
      <c r="O292" s="32"/>
      <c r="P292" s="32"/>
      <c r="Q292" s="32"/>
      <c r="R292" s="32"/>
      <c r="S292" s="32"/>
      <c r="T292" s="32"/>
      <c r="U292" s="32"/>
      <c r="V292" s="38">
        <f>(V286/100)/$C$291/'Fin Sum'!$AC$10</f>
        <v>1.2205987170349254E-2</v>
      </c>
      <c r="W292" s="38">
        <f>(W286/100)/$C$291/'Fin Sum'!$AC$10</f>
        <v>6.5039201710620108E-3</v>
      </c>
      <c r="X292" s="38">
        <f>(X286/100)/$C$291/'Fin Sum'!$AC$10</f>
        <v>1.8709907341411265E-2</v>
      </c>
      <c r="Y292" s="38">
        <f>(Y286/100)/$C$291/'Fin Sum'!$AC$10</f>
        <v>1.7153718222855784E-2</v>
      </c>
      <c r="Z292" s="38">
        <f>(Z286/100)/$C$291/'Fin Sum'!$AC$10</f>
        <v>2.1299596103587552E-2</v>
      </c>
      <c r="AA292" s="474">
        <f>(AA286/100)/$C$291/'Fin Sum'!$AC$10</f>
        <v>3.8453314326443333E-2</v>
      </c>
      <c r="AB292" s="38">
        <f>(AB286/100)/$C$291/'Fin Sum'!$AC$10</f>
        <v>1.7818959372772631E-2</v>
      </c>
      <c r="AC292" s="38">
        <f>(AC286/100)/$C$291/'Fin Sum'!$AC$10</f>
        <v>1.9798843747525146E-2</v>
      </c>
      <c r="AD292" s="38">
        <f>(AD286/100)/$C$291/'Fin Sum'!$AC$10</f>
        <v>3.7617803120297777E-2</v>
      </c>
      <c r="AE292" s="38">
        <f>(AE286/100)/$C$291/'Fin Sum'!$AC$10</f>
        <v>1.7818959372772631E-2</v>
      </c>
      <c r="AF292" s="38">
        <f>(AF286/100)/$C$291/'Fin Sum'!$AC$10</f>
        <v>1.9798843747525146E-2</v>
      </c>
      <c r="AG292" s="38">
        <f>(AG286/100)/$C$291/'Fin Sum'!$AC$10</f>
        <v>3.7617803120297777E-2</v>
      </c>
      <c r="AH292" s="38">
        <f>(AH286/100)/$C$291/'Fin Sum'!$AC$10</f>
        <v>8.9094796863863155E-3</v>
      </c>
      <c r="AI292" s="38">
        <f>(AI286/100)/$C$291/'Fin Sum'!$AC$10</f>
        <v>9.899421873762573E-3</v>
      </c>
      <c r="AJ292" s="38">
        <f>(AJ286/100)/$C$291/'Fin Sum'!$AC$10</f>
        <v>1.8808901560148888E-2</v>
      </c>
      <c r="AK292" s="38">
        <f>(AK286/100)/$C$291/'Fin Sum'!$AC$10</f>
        <v>9.899421873762573E-3</v>
      </c>
      <c r="AL292" s="38">
        <f>(AL286/100)/$C$291/'Fin Sum'!$AC$10</f>
        <v>9.899421873762573E-3</v>
      </c>
      <c r="AM292" s="408">
        <f>(AM286/100)/$C$291/'Fin Sum'!$AC$10</f>
        <v>1.9798843747525146E-2</v>
      </c>
      <c r="AN292" s="586">
        <f>(AN286/100)/$C$291/'Fin Sum'!$AC$10</f>
        <v>7.919537499010058E-3</v>
      </c>
      <c r="AO292" s="38">
        <f>(AO286/100)/$C$291/'Fin Sum'!$AC$10</f>
        <v>9.9022177894704522E-3</v>
      </c>
      <c r="AP292" s="38">
        <f>(AP286/100)/$C$291/'Fin Sum'!$AC$10</f>
        <v>1.7821755288480515E-2</v>
      </c>
      <c r="AQ292" s="38">
        <f>(AQ286/100)/$C$291/'Fin Sum'!$AC$10</f>
        <v>1.1898327215104544E-2</v>
      </c>
      <c r="AR292" s="38">
        <f>(AR286/100)/$C$291/'Fin Sum'!$AC$10</f>
        <v>1.1994731594457587E-2</v>
      </c>
      <c r="AS292" s="38">
        <f>(AS286/100)/$C$291/'Fin Sum'!$AC$10</f>
        <v>2.3893058809562131E-2</v>
      </c>
      <c r="AT292" s="38">
        <f>(AT286/100)/$C$291/'Fin Sum'!$AC$10</f>
        <v>1.3265609588525337E-2</v>
      </c>
      <c r="AU292" s="38">
        <f>(AU286/100)/$C$291/'Fin Sum'!$AC$10</f>
        <v>1.4276880197136766E-2</v>
      </c>
      <c r="AV292" s="38">
        <f>(AV286/100)/$C$291/'Fin Sum'!$AC$10</f>
        <v>2.7542489785662105E-2</v>
      </c>
      <c r="AW292" s="38">
        <f>(AW286/100)/$C$291/'Fin Sum'!$AC$10</f>
        <v>1.4218844259491211E-2</v>
      </c>
      <c r="AX292" s="38">
        <f>(AX286/100)/$C$291/'Fin Sum'!$AC$10</f>
        <v>1.5255988862751752E-2</v>
      </c>
      <c r="AY292" s="38">
        <f>(AY286/100)/$C$291/'Fin Sum'!$AC$10</f>
        <v>2.9474833122242961E-2</v>
      </c>
      <c r="AZ292" s="38">
        <f>(AZ286/100)/$C$291/'Fin Sum'!$AC$10</f>
        <v>1.5843570445598396E-2</v>
      </c>
      <c r="BA292" s="38">
        <f>(BA286/100)/$C$291/'Fin Sum'!$AC$10</f>
        <v>1.7074784660280552E-2</v>
      </c>
      <c r="BB292" s="38">
        <f>(BB286/100)/$C$291/'Fin Sum'!$AC$10</f>
        <v>3.2918355105878948E-2</v>
      </c>
    </row>
    <row r="293" spans="2:54">
      <c r="B293" s="14" t="s">
        <v>118</v>
      </c>
      <c r="O293" s="113"/>
      <c r="P293" s="113"/>
      <c r="Q293" s="113"/>
      <c r="R293" s="113"/>
      <c r="S293" s="113"/>
      <c r="T293" s="113"/>
      <c r="U293" s="113"/>
      <c r="V293" s="113"/>
      <c r="W293" s="113"/>
      <c r="X293" s="113"/>
      <c r="Y293" s="113"/>
      <c r="Z293" s="113"/>
      <c r="AB293" s="113"/>
      <c r="AC293" s="113"/>
      <c r="AD293" s="113"/>
      <c r="AE293" s="113"/>
      <c r="AF293" s="113"/>
      <c r="AG293" s="113"/>
      <c r="AH293" s="113"/>
      <c r="AI293" s="113"/>
      <c r="AJ293" s="113"/>
      <c r="AK293" s="113"/>
      <c r="AL293" s="113"/>
      <c r="AM293" s="414"/>
      <c r="AN293" s="599"/>
      <c r="AO293" s="113"/>
      <c r="AP293" s="113"/>
      <c r="AQ293" s="113"/>
      <c r="AR293" s="113"/>
      <c r="AS293" s="113"/>
      <c r="AT293" s="113"/>
      <c r="AU293" s="113"/>
      <c r="AV293" s="113"/>
      <c r="AW293" s="113"/>
      <c r="AX293" s="113"/>
      <c r="AY293" s="113"/>
      <c r="AZ293" s="113"/>
      <c r="BA293" s="113"/>
      <c r="BB293" s="113"/>
    </row>
    <row r="294" spans="2:54">
      <c r="B294" s="7" t="s">
        <v>115</v>
      </c>
      <c r="D294" s="113"/>
      <c r="E294" s="113"/>
      <c r="F294" s="113"/>
      <c r="G294" s="113"/>
      <c r="H294" s="113"/>
      <c r="I294" s="113"/>
      <c r="J294" s="113"/>
      <c r="K294" s="113"/>
      <c r="L294" s="113"/>
      <c r="M294" s="113"/>
      <c r="N294" s="113"/>
      <c r="O294" s="113"/>
      <c r="P294" s="113"/>
      <c r="Q294" s="113"/>
      <c r="R294" s="113"/>
      <c r="S294" s="113"/>
      <c r="T294" s="113"/>
      <c r="U294" s="113"/>
      <c r="V294" s="113">
        <f t="shared" ref="V294:AA294" si="566">V286/V281</f>
        <v>0.70828032161612486</v>
      </c>
      <c r="W294" s="113">
        <f t="shared" si="566"/>
        <v>0.41967715885897983</v>
      </c>
      <c r="X294" s="113">
        <f t="shared" si="566"/>
        <v>0.57163160660161927</v>
      </c>
      <c r="Y294" s="113">
        <f t="shared" si="566"/>
        <v>0.47612858129098201</v>
      </c>
      <c r="Z294" s="113">
        <f t="shared" si="566"/>
        <v>0.48699348325403397</v>
      </c>
      <c r="AA294" s="394">
        <f t="shared" si="566"/>
        <v>0.48208609232104843</v>
      </c>
      <c r="AB294" s="113">
        <f t="shared" ref="AB294:AD294" si="567">AB286/AB281</f>
        <v>0.47017904860742699</v>
      </c>
      <c r="AC294" s="113">
        <f t="shared" si="567"/>
        <v>0.45796137445484236</v>
      </c>
      <c r="AD294" s="113">
        <f t="shared" si="567"/>
        <v>0.46366855774473359</v>
      </c>
      <c r="AE294" s="113">
        <f>AE286/AE281</f>
        <v>0.52611878400000012</v>
      </c>
      <c r="AF294" s="113">
        <f t="shared" ref="AF294:AG294" si="568">AF286/AF281</f>
        <v>0.44720098798661917</v>
      </c>
      <c r="AG294" s="113">
        <f t="shared" si="568"/>
        <v>0.48140615263326908</v>
      </c>
      <c r="AH294" s="113">
        <f>AH286/AH281</f>
        <v>0.26425855636194501</v>
      </c>
      <c r="AI294" s="113">
        <f t="shared" ref="AI294:AJ294" si="569">AI286/AI281</f>
        <v>0.2472048625538073</v>
      </c>
      <c r="AJ294" s="113">
        <f t="shared" si="569"/>
        <v>0.25499990214431589</v>
      </c>
      <c r="AK294" s="113">
        <f>AK286/AK281</f>
        <v>0.26187327796052634</v>
      </c>
      <c r="AL294" s="113">
        <f t="shared" ref="AL294:AM294" si="570">AL286/AL281</f>
        <v>0.26668577169080365</v>
      </c>
      <c r="AM294" s="414">
        <f t="shared" si="570"/>
        <v>0.2642576161137441</v>
      </c>
      <c r="AN294" s="599">
        <f>AN286/AN281</f>
        <v>0.30540029310344824</v>
      </c>
      <c r="AO294" s="114">
        <f>AL294+2%</f>
        <v>0.28668577169080367</v>
      </c>
      <c r="AP294" s="113">
        <f>AP286/AP281</f>
        <v>0.29445917946937183</v>
      </c>
      <c r="AQ294" s="114">
        <f>AN294+2%</f>
        <v>0.32540029310344826</v>
      </c>
      <c r="AR294" s="114">
        <f t="shared" ref="AR294" si="571">AO294</f>
        <v>0.28668577169080367</v>
      </c>
      <c r="AS294" s="113">
        <f t="shared" ref="AS294" si="572">AS286/AS281</f>
        <v>0.30472215800036323</v>
      </c>
      <c r="AT294" s="114">
        <f t="shared" ref="AT294" si="573">AQ294</f>
        <v>0.32540029310344826</v>
      </c>
      <c r="AU294" s="114">
        <f>AR294+2%</f>
        <v>0.30668577169080369</v>
      </c>
      <c r="AV294" s="113">
        <f t="shared" ref="AV294" si="574">AV286/AV281</f>
        <v>0.31544225155898126</v>
      </c>
      <c r="AW294" s="114">
        <f t="shared" ref="AW294:AX294" si="575">AT294</f>
        <v>0.32540029310344826</v>
      </c>
      <c r="AX294" s="114">
        <f t="shared" si="575"/>
        <v>0.30668577169080369</v>
      </c>
      <c r="AY294" s="113">
        <f t="shared" ref="AY294" si="576">AY286/AY281</f>
        <v>0.31551742887842643</v>
      </c>
      <c r="AZ294" s="114">
        <f t="shared" ref="AZ294:BA294" si="577">AW294</f>
        <v>0.32540029310344826</v>
      </c>
      <c r="BA294" s="114">
        <f t="shared" si="577"/>
        <v>0.30668577169080369</v>
      </c>
      <c r="BB294" s="113">
        <f t="shared" ref="BB294" si="578">BB286/BB281</f>
        <v>0.31548111120035299</v>
      </c>
    </row>
    <row r="295" spans="2:54">
      <c r="B295" s="7" t="s">
        <v>116</v>
      </c>
      <c r="D295" s="32"/>
      <c r="E295" s="32"/>
      <c r="F295" s="32"/>
      <c r="G295" s="32"/>
      <c r="H295" s="32"/>
      <c r="I295" s="32"/>
      <c r="J295" s="32"/>
      <c r="K295" s="32"/>
      <c r="L295" s="32"/>
      <c r="M295" s="32"/>
      <c r="N295" s="32"/>
      <c r="O295" s="32"/>
      <c r="P295" s="32"/>
      <c r="Q295" s="32"/>
      <c r="R295" s="32"/>
      <c r="S295" s="32"/>
      <c r="T295" s="32"/>
      <c r="U295" s="32"/>
      <c r="V295" s="32">
        <f t="shared" ref="V295:AA295" si="579">+V287/V281</f>
        <v>0</v>
      </c>
      <c r="W295" s="32">
        <f t="shared" si="579"/>
        <v>0</v>
      </c>
      <c r="X295" s="32">
        <f t="shared" si="579"/>
        <v>0</v>
      </c>
      <c r="Y295" s="32">
        <f t="shared" si="579"/>
        <v>0</v>
      </c>
      <c r="Z295" s="32">
        <f t="shared" si="579"/>
        <v>0</v>
      </c>
      <c r="AA295" s="474">
        <f t="shared" si="579"/>
        <v>0</v>
      </c>
      <c r="AB295" s="32">
        <f t="shared" ref="AB295:AD295" si="580">+AB287/AB281</f>
        <v>0</v>
      </c>
      <c r="AC295" s="32">
        <f t="shared" si="580"/>
        <v>0</v>
      </c>
      <c r="AD295" s="32">
        <f t="shared" si="580"/>
        <v>0</v>
      </c>
      <c r="AE295" s="32">
        <f t="shared" ref="AE295:AG295" si="581">+AE287/AE281</f>
        <v>0</v>
      </c>
      <c r="AF295" s="32">
        <f t="shared" si="581"/>
        <v>0</v>
      </c>
      <c r="AG295" s="32">
        <f t="shared" si="581"/>
        <v>0</v>
      </c>
      <c r="AH295" s="32">
        <f t="shared" ref="AH295:AJ295" si="582">+AH287/AH281</f>
        <v>0</v>
      </c>
      <c r="AI295" s="32">
        <f t="shared" si="582"/>
        <v>0</v>
      </c>
      <c r="AJ295" s="32">
        <f t="shared" si="582"/>
        <v>0</v>
      </c>
      <c r="AK295" s="32">
        <f t="shared" ref="AK295:AM295" si="583">+AK287/AK281</f>
        <v>0</v>
      </c>
      <c r="AL295" s="32">
        <f t="shared" si="583"/>
        <v>0</v>
      </c>
      <c r="AM295" s="33">
        <f t="shared" si="583"/>
        <v>0</v>
      </c>
      <c r="AN295" s="581">
        <f t="shared" ref="AN295" si="584">+AN287/AN281</f>
        <v>0</v>
      </c>
      <c r="AO295" s="32">
        <f t="shared" ref="AO295:BB295" si="585">+AO287/AO281</f>
        <v>0</v>
      </c>
      <c r="AP295" s="32">
        <f t="shared" si="585"/>
        <v>0</v>
      </c>
      <c r="AQ295" s="32">
        <f t="shared" si="585"/>
        <v>0</v>
      </c>
      <c r="AR295" s="32">
        <f t="shared" si="585"/>
        <v>0</v>
      </c>
      <c r="AS295" s="32">
        <f t="shared" si="585"/>
        <v>0</v>
      </c>
      <c r="AT295" s="32">
        <f t="shared" si="585"/>
        <v>0</v>
      </c>
      <c r="AU295" s="32">
        <f t="shared" si="585"/>
        <v>0</v>
      </c>
      <c r="AV295" s="32">
        <f t="shared" si="585"/>
        <v>0</v>
      </c>
      <c r="AW295" s="32">
        <f t="shared" si="585"/>
        <v>0</v>
      </c>
      <c r="AX295" s="32">
        <f t="shared" si="585"/>
        <v>0</v>
      </c>
      <c r="AY295" s="32">
        <f t="shared" si="585"/>
        <v>0</v>
      </c>
      <c r="AZ295" s="32">
        <f t="shared" si="585"/>
        <v>0</v>
      </c>
      <c r="BA295" s="32">
        <f t="shared" si="585"/>
        <v>0</v>
      </c>
      <c r="BB295" s="32">
        <f t="shared" si="585"/>
        <v>0</v>
      </c>
    </row>
    <row r="296" spans="2:54">
      <c r="B296" s="7" t="s">
        <v>117</v>
      </c>
      <c r="D296" s="32"/>
      <c r="E296" s="32"/>
      <c r="F296" s="32"/>
      <c r="G296" s="32"/>
      <c r="H296" s="32"/>
      <c r="I296" s="32"/>
      <c r="J296" s="32"/>
      <c r="K296" s="32"/>
      <c r="L296" s="32"/>
      <c r="M296" s="32"/>
      <c r="N296" s="32"/>
      <c r="O296" s="32"/>
      <c r="P296" s="32"/>
      <c r="Q296" s="32"/>
      <c r="R296" s="32"/>
      <c r="S296" s="32"/>
      <c r="T296" s="32"/>
      <c r="U296" s="32"/>
      <c r="V296" s="32">
        <f t="shared" ref="V296:AA296" si="586">+V288/V281</f>
        <v>0.70828032161612486</v>
      </c>
      <c r="W296" s="32">
        <f t="shared" si="586"/>
        <v>0.41967715885897983</v>
      </c>
      <c r="X296" s="32">
        <f t="shared" si="586"/>
        <v>0.57163160660161927</v>
      </c>
      <c r="Y296" s="32">
        <f t="shared" si="586"/>
        <v>0.47612858129098201</v>
      </c>
      <c r="Z296" s="32">
        <f t="shared" si="586"/>
        <v>0.48699348325403397</v>
      </c>
      <c r="AA296" s="474">
        <f t="shared" si="586"/>
        <v>0.48208609232104843</v>
      </c>
      <c r="AB296" s="32">
        <f t="shared" ref="AB296:AD296" si="587">+AB288/AB281</f>
        <v>0.47017904860742699</v>
      </c>
      <c r="AC296" s="32">
        <f t="shared" si="587"/>
        <v>0.45796137445484236</v>
      </c>
      <c r="AD296" s="32">
        <f t="shared" si="587"/>
        <v>0.46366855774473359</v>
      </c>
      <c r="AE296" s="32">
        <f t="shared" ref="AE296:AG296" si="588">+AE288/AE281</f>
        <v>0.52611878400000012</v>
      </c>
      <c r="AF296" s="32">
        <f t="shared" si="588"/>
        <v>0.44720098798661917</v>
      </c>
      <c r="AG296" s="32">
        <f t="shared" si="588"/>
        <v>0.48140615263326908</v>
      </c>
      <c r="AH296" s="32">
        <f t="shared" ref="AH296:AJ296" si="589">+AH288/AH281</f>
        <v>0.26425855636194501</v>
      </c>
      <c r="AI296" s="32">
        <f t="shared" si="589"/>
        <v>0.2472048625538073</v>
      </c>
      <c r="AJ296" s="32">
        <f t="shared" si="589"/>
        <v>0.25499990214431589</v>
      </c>
      <c r="AK296" s="32">
        <f t="shared" ref="AK296:AM296" si="590">+AK288/AK281</f>
        <v>0.26187327796052634</v>
      </c>
      <c r="AL296" s="32">
        <f t="shared" si="590"/>
        <v>0.26668577169080365</v>
      </c>
      <c r="AM296" s="33">
        <f t="shared" si="590"/>
        <v>0.2642576161137441</v>
      </c>
      <c r="AN296" s="581">
        <f t="shared" ref="AN296" si="591">+AN288/AN281</f>
        <v>0.30540029310344824</v>
      </c>
      <c r="AO296" s="32">
        <f t="shared" ref="AO296:BB296" si="592">+AO288/AO281</f>
        <v>0.28668577169080367</v>
      </c>
      <c r="AP296" s="32">
        <f t="shared" si="592"/>
        <v>0.29445917946937183</v>
      </c>
      <c r="AQ296" s="32">
        <f t="shared" si="592"/>
        <v>0.32540029310344826</v>
      </c>
      <c r="AR296" s="32">
        <f t="shared" si="592"/>
        <v>0.28668577169080367</v>
      </c>
      <c r="AS296" s="32">
        <f t="shared" si="592"/>
        <v>0.30472215800036323</v>
      </c>
      <c r="AT296" s="32">
        <f t="shared" si="592"/>
        <v>0.32540029310344826</v>
      </c>
      <c r="AU296" s="32">
        <f t="shared" si="592"/>
        <v>0.30668577169080369</v>
      </c>
      <c r="AV296" s="32">
        <f t="shared" si="592"/>
        <v>0.31544225155898126</v>
      </c>
      <c r="AW296" s="32">
        <f t="shared" si="592"/>
        <v>0.32540029310344826</v>
      </c>
      <c r="AX296" s="32">
        <f t="shared" si="592"/>
        <v>0.30668577169080369</v>
      </c>
      <c r="AY296" s="32">
        <f t="shared" si="592"/>
        <v>0.31551742887842643</v>
      </c>
      <c r="AZ296" s="32">
        <f t="shared" si="592"/>
        <v>0.32540029310344826</v>
      </c>
      <c r="BA296" s="32">
        <f t="shared" si="592"/>
        <v>0.30668577169080369</v>
      </c>
      <c r="BB296" s="32">
        <f t="shared" si="592"/>
        <v>0.31548111120035299</v>
      </c>
    </row>
    <row r="298" spans="2:54">
      <c r="B298" s="14" t="s">
        <v>396</v>
      </c>
    </row>
    <row r="299" spans="2:54">
      <c r="B299" s="7" t="s">
        <v>162</v>
      </c>
      <c r="C299" s="73" t="s">
        <v>82</v>
      </c>
      <c r="D299" s="32"/>
      <c r="E299" s="32"/>
      <c r="F299" s="32"/>
      <c r="G299" s="32"/>
      <c r="H299" s="32"/>
      <c r="I299" s="32"/>
      <c r="J299" s="32"/>
      <c r="K299" s="32"/>
      <c r="L299" s="32"/>
      <c r="M299" s="115"/>
      <c r="N299" s="115"/>
      <c r="O299" s="113"/>
      <c r="P299" s="115"/>
      <c r="Q299" s="115"/>
      <c r="R299" s="113"/>
      <c r="S299" s="115"/>
      <c r="T299" s="115"/>
      <c r="U299" s="113"/>
      <c r="V299" s="115">
        <v>0.2</v>
      </c>
      <c r="W299" s="115">
        <v>0.2</v>
      </c>
      <c r="X299" s="113">
        <f>(SUM(V299*V286)+SUM(W299*W286))/SUM(V286:W286)</f>
        <v>0.2</v>
      </c>
      <c r="Y299" s="115">
        <v>0.2</v>
      </c>
      <c r="Z299" s="115">
        <v>0.2</v>
      </c>
      <c r="AA299" s="394">
        <f>(SUM(Y299*Y286)+SUM(Z299*Z286))/SUM(Y286:Z286)</f>
        <v>0.2</v>
      </c>
      <c r="AB299" s="115">
        <v>0.2</v>
      </c>
      <c r="AC299" s="115">
        <v>0.2</v>
      </c>
      <c r="AD299" s="113">
        <f>(SUM(AB299*AB286)+SUM(AC299*AC286))/SUM(AB286:AC286)</f>
        <v>0.19999999999999998</v>
      </c>
      <c r="AE299" s="115">
        <v>0.2</v>
      </c>
      <c r="AF299" s="115">
        <v>0.2</v>
      </c>
      <c r="AG299" s="113">
        <f>(SUM(AE299*AE286)+SUM(AF299*AF286))/SUM(AE286:AF286)</f>
        <v>0.19999999999999998</v>
      </c>
      <c r="AH299" s="115">
        <v>0</v>
      </c>
      <c r="AI299" s="115">
        <v>0</v>
      </c>
      <c r="AJ299" s="113">
        <f>(SUM(AH299*AH286)+SUM(AI299*AI286))/SUM(AH286:AI286)</f>
        <v>0</v>
      </c>
      <c r="AK299" s="115">
        <v>0</v>
      </c>
      <c r="AL299" s="115">
        <v>0</v>
      </c>
      <c r="AM299" s="414">
        <f>(SUM(AK299*AK286)+SUM(AL299*AL286))/SUM(AK286:AL286)</f>
        <v>0</v>
      </c>
      <c r="AN299" s="622">
        <v>0</v>
      </c>
      <c r="AO299" s="114">
        <v>0.5</v>
      </c>
      <c r="AP299" s="113">
        <f>(SUM(AN299*AN286)+SUM(AO299*AO286))/SUM(AN286:AO286)</f>
        <v>0.27781264048303289</v>
      </c>
      <c r="AQ299" s="114">
        <v>0.5</v>
      </c>
      <c r="AR299" s="114">
        <v>0.5</v>
      </c>
      <c r="AS299" s="113">
        <f>(SUM(AQ299*AQ286)+SUM(AR299*AR286))/SUM(AQ286:AR286)</f>
        <v>0.5</v>
      </c>
      <c r="AT299" s="114">
        <v>0.5</v>
      </c>
      <c r="AU299" s="114">
        <v>0.5</v>
      </c>
      <c r="AV299" s="113">
        <f>(SUM(AT299*AT286)+SUM(AU299*AU286))/SUM(AT286:AU286)</f>
        <v>0.5</v>
      </c>
      <c r="AW299" s="114">
        <v>0.5</v>
      </c>
      <c r="AX299" s="114">
        <v>0.5</v>
      </c>
      <c r="AY299" s="113">
        <f>(SUM(AW299*AW286)+SUM(AX299*AX286))/SUM(AW286:AX286)</f>
        <v>0.5</v>
      </c>
      <c r="AZ299" s="114">
        <v>0.5</v>
      </c>
      <c r="BA299" s="114">
        <v>0.5</v>
      </c>
      <c r="BB299" s="113">
        <f>(SUM(AZ299*AZ286)+SUM(BA299*BA286))/SUM(AZ286:BA286)</f>
        <v>0.5</v>
      </c>
    </row>
    <row r="300" spans="2:54">
      <c r="B300" s="7" t="s">
        <v>163</v>
      </c>
      <c r="C300" s="73" t="s">
        <v>82</v>
      </c>
      <c r="D300" s="115"/>
      <c r="E300" s="115"/>
      <c r="F300" s="115"/>
      <c r="G300" s="115"/>
      <c r="H300" s="115"/>
      <c r="I300" s="115"/>
      <c r="J300" s="115"/>
      <c r="K300" s="115"/>
      <c r="L300" s="115"/>
      <c r="M300" s="115"/>
      <c r="N300" s="115"/>
      <c r="O300" s="114"/>
      <c r="P300" s="114"/>
      <c r="Q300" s="114"/>
      <c r="R300" s="114"/>
      <c r="S300" s="114"/>
      <c r="T300" s="114"/>
      <c r="U300" s="114"/>
      <c r="V300" s="114"/>
      <c r="W300" s="114"/>
      <c r="X300" s="114"/>
      <c r="Y300" s="114"/>
      <c r="Z300" s="114"/>
      <c r="AA300" s="478"/>
      <c r="AB300" s="114"/>
      <c r="AC300" s="114"/>
      <c r="AD300" s="114"/>
      <c r="AE300" s="114"/>
      <c r="AF300" s="114"/>
      <c r="AG300" s="114"/>
      <c r="AH300" s="114"/>
      <c r="AI300" s="114"/>
      <c r="AJ300" s="114"/>
      <c r="AK300" s="114"/>
      <c r="AL300" s="114"/>
      <c r="AM300" s="447"/>
      <c r="AN300" s="623"/>
      <c r="AO300" s="114"/>
      <c r="AP300" s="114"/>
      <c r="AQ300" s="114"/>
      <c r="AR300" s="114"/>
      <c r="AS300" s="114"/>
      <c r="AT300" s="114"/>
      <c r="AU300" s="114"/>
      <c r="AV300" s="114"/>
      <c r="AW300" s="114"/>
      <c r="AX300" s="114"/>
      <c r="AY300" s="114"/>
      <c r="AZ300" s="114"/>
      <c r="BA300" s="114"/>
      <c r="BB300" s="114"/>
    </row>
    <row r="301" spans="2:54">
      <c r="B301" s="7" t="s">
        <v>164</v>
      </c>
      <c r="C301" s="73" t="s">
        <v>82</v>
      </c>
      <c r="D301" s="113"/>
      <c r="E301" s="113"/>
      <c r="F301" s="113"/>
      <c r="G301" s="113"/>
      <c r="H301" s="113"/>
      <c r="I301" s="113"/>
      <c r="J301" s="113"/>
      <c r="K301" s="113"/>
      <c r="L301" s="113"/>
      <c r="M301" s="113"/>
      <c r="N301" s="113"/>
      <c r="O301" s="113"/>
      <c r="P301" s="113"/>
      <c r="Q301" s="113"/>
      <c r="R301" s="113"/>
      <c r="S301" s="113"/>
      <c r="T301" s="113"/>
      <c r="U301" s="113"/>
      <c r="V301" s="113">
        <f t="shared" ref="V301:AA301" si="593">+V299</f>
        <v>0.2</v>
      </c>
      <c r="W301" s="113">
        <f t="shared" si="593"/>
        <v>0.2</v>
      </c>
      <c r="X301" s="113">
        <f t="shared" si="593"/>
        <v>0.2</v>
      </c>
      <c r="Y301" s="113">
        <f t="shared" si="593"/>
        <v>0.2</v>
      </c>
      <c r="Z301" s="113">
        <f t="shared" si="593"/>
        <v>0.2</v>
      </c>
      <c r="AA301" s="394">
        <f t="shared" si="593"/>
        <v>0.2</v>
      </c>
      <c r="AB301" s="113">
        <f t="shared" ref="AB301:AD301" si="594">+AB299</f>
        <v>0.2</v>
      </c>
      <c r="AC301" s="113">
        <f t="shared" si="594"/>
        <v>0.2</v>
      </c>
      <c r="AD301" s="113">
        <f t="shared" si="594"/>
        <v>0.19999999999999998</v>
      </c>
      <c r="AE301" s="113">
        <f t="shared" ref="AE301:AG301" si="595">+AE299</f>
        <v>0.2</v>
      </c>
      <c r="AF301" s="113">
        <f t="shared" si="595"/>
        <v>0.2</v>
      </c>
      <c r="AG301" s="113">
        <f t="shared" si="595"/>
        <v>0.19999999999999998</v>
      </c>
      <c r="AH301" s="113">
        <f t="shared" ref="AH301:AJ301" si="596">+AH299</f>
        <v>0</v>
      </c>
      <c r="AI301" s="113">
        <f t="shared" si="596"/>
        <v>0</v>
      </c>
      <c r="AJ301" s="113">
        <f t="shared" si="596"/>
        <v>0</v>
      </c>
      <c r="AK301" s="113">
        <f t="shared" ref="AK301:AM301" si="597">+AK299</f>
        <v>0</v>
      </c>
      <c r="AL301" s="113">
        <f t="shared" si="597"/>
        <v>0</v>
      </c>
      <c r="AM301" s="414">
        <f t="shared" si="597"/>
        <v>0</v>
      </c>
      <c r="AN301" s="599">
        <f t="shared" ref="AN301" si="598">+AN299</f>
        <v>0</v>
      </c>
      <c r="AO301" s="113">
        <f t="shared" ref="AO301:BB301" si="599">+AO299</f>
        <v>0.5</v>
      </c>
      <c r="AP301" s="113">
        <f t="shared" si="599"/>
        <v>0.27781264048303289</v>
      </c>
      <c r="AQ301" s="113">
        <f t="shared" si="599"/>
        <v>0.5</v>
      </c>
      <c r="AR301" s="113">
        <f t="shared" si="599"/>
        <v>0.5</v>
      </c>
      <c r="AS301" s="113">
        <f t="shared" si="599"/>
        <v>0.5</v>
      </c>
      <c r="AT301" s="113">
        <f t="shared" si="599"/>
        <v>0.5</v>
      </c>
      <c r="AU301" s="113">
        <f t="shared" si="599"/>
        <v>0.5</v>
      </c>
      <c r="AV301" s="113">
        <f t="shared" si="599"/>
        <v>0.5</v>
      </c>
      <c r="AW301" s="113">
        <f t="shared" si="599"/>
        <v>0.5</v>
      </c>
      <c r="AX301" s="113">
        <f t="shared" si="599"/>
        <v>0.5</v>
      </c>
      <c r="AY301" s="113">
        <f t="shared" si="599"/>
        <v>0.5</v>
      </c>
      <c r="AZ301" s="113">
        <f t="shared" si="599"/>
        <v>0.5</v>
      </c>
      <c r="BA301" s="113">
        <f t="shared" si="599"/>
        <v>0.5</v>
      </c>
      <c r="BB301" s="113">
        <f t="shared" si="599"/>
        <v>0.5</v>
      </c>
    </row>
    <row r="303" spans="2:54">
      <c r="B303" s="14" t="s">
        <v>60</v>
      </c>
    </row>
    <row r="304" spans="2:54">
      <c r="B304" s="7" t="s">
        <v>162</v>
      </c>
      <c r="C304" s="73" t="s">
        <v>269</v>
      </c>
      <c r="D304" s="30"/>
      <c r="E304" s="30"/>
      <c r="F304" s="30"/>
      <c r="G304" s="30"/>
      <c r="H304" s="30"/>
      <c r="I304" s="30"/>
      <c r="J304" s="30"/>
      <c r="K304" s="30"/>
      <c r="L304" s="49"/>
      <c r="M304" s="49"/>
      <c r="N304" s="49"/>
      <c r="O304" s="49"/>
      <c r="P304" s="49"/>
      <c r="Q304" s="49"/>
      <c r="R304" s="49"/>
      <c r="S304" s="49"/>
      <c r="T304" s="49"/>
      <c r="U304" s="49"/>
      <c r="V304" s="49">
        <f>V286*T265/100</f>
        <v>0</v>
      </c>
      <c r="W304" s="49">
        <f>W286*V265/100</f>
        <v>12.977306515125001</v>
      </c>
      <c r="X304" s="49">
        <f>SUM(V304:W304)</f>
        <v>12.977306515125001</v>
      </c>
      <c r="Y304" s="49">
        <f>Y286*W265/100</f>
        <v>34.226905219800003</v>
      </c>
      <c r="Z304" s="49">
        <f>Z286*Y265/100</f>
        <v>42.49919740935001</v>
      </c>
      <c r="AA304" s="394">
        <f>SUM(Y304:Z304)</f>
        <v>76.726102629150006</v>
      </c>
      <c r="AB304" s="49">
        <f>AB286*Z265/100</f>
        <v>35.554264425</v>
      </c>
      <c r="AC304" s="49">
        <f>AC286*AB265/100</f>
        <v>39.504738250000003</v>
      </c>
      <c r="AD304" s="49">
        <f>SUM(AB304:AC304)</f>
        <v>75.059002675000002</v>
      </c>
      <c r="AE304" s="49">
        <f>AE286*AC265/100</f>
        <v>35.554264425</v>
      </c>
      <c r="AF304" s="49">
        <f>AF286*AE265/100</f>
        <v>39.504738250000003</v>
      </c>
      <c r="AG304" s="49">
        <f>SUM(AE304:AF304)</f>
        <v>75.059002675000002</v>
      </c>
      <c r="AH304" s="49">
        <f>AH286*AF265/100</f>
        <v>17.799632212500001</v>
      </c>
      <c r="AI304" s="49">
        <f>AI286*AH265/100</f>
        <v>19.777369125</v>
      </c>
      <c r="AJ304" s="49">
        <f>SUM(AH304:AI304)</f>
        <v>37.5770013375</v>
      </c>
      <c r="AK304" s="49">
        <f>AK286*AI265/100</f>
        <v>19.802369124999998</v>
      </c>
      <c r="AL304" s="49">
        <f>AL286*AK265/100</f>
        <v>19.802369124999998</v>
      </c>
      <c r="AM304" s="407">
        <f>SUM(AK304:AL304)</f>
        <v>39.604738249999997</v>
      </c>
      <c r="AN304" s="588">
        <f>AN286*AL265/100</f>
        <v>15.8618953</v>
      </c>
      <c r="AO304" s="49">
        <f>AO286*AN265/100</f>
        <v>19.832969012901479</v>
      </c>
      <c r="AP304" s="49">
        <f>SUM(AN304:AO304)</f>
        <v>35.69486431290148</v>
      </c>
      <c r="AQ304" s="49">
        <f>AQ286*AO265/100</f>
        <v>23.735615933695776</v>
      </c>
      <c r="AR304" s="49">
        <f>AR286*AQ265/100</f>
        <v>23.807776080297781</v>
      </c>
      <c r="AS304" s="49">
        <f>SUM(AQ304:AR304)</f>
        <v>47.543392013993554</v>
      </c>
      <c r="AT304" s="49">
        <f>AT286*AR265/100</f>
        <v>26.171248537598732</v>
      </c>
      <c r="AU304" s="49">
        <f>AU286*AT265/100</f>
        <v>27.994671213028447</v>
      </c>
      <c r="AV304" s="49">
        <f>SUM(AT304:AU304)</f>
        <v>54.165919750627182</v>
      </c>
      <c r="AW304" s="49">
        <f>AW286*AU265/100</f>
        <v>27.692919203648554</v>
      </c>
      <c r="AX304" s="49">
        <f>AX286*AW265/100</f>
        <v>29.49717098358305</v>
      </c>
      <c r="AY304" s="49">
        <f>SUM(AW304:AX304)</f>
        <v>57.190090187231604</v>
      </c>
      <c r="AZ304" s="49">
        <f>AZ286*AX265/100</f>
        <v>30.411642823657104</v>
      </c>
      <c r="BA304" s="49">
        <f>BA286*AZ265/100</f>
        <v>32.520563961370947</v>
      </c>
      <c r="BB304" s="49">
        <f>SUM(AZ304:BA304)</f>
        <v>62.93220678502805</v>
      </c>
    </row>
    <row r="305" spans="2:54">
      <c r="B305" s="7" t="s">
        <v>163</v>
      </c>
      <c r="C305" s="73" t="s">
        <v>269</v>
      </c>
      <c r="D305" s="30"/>
      <c r="E305" s="30"/>
      <c r="F305" s="30"/>
      <c r="G305" s="30"/>
      <c r="H305" s="30"/>
      <c r="I305" s="30"/>
      <c r="J305" s="30"/>
      <c r="K305" s="30"/>
      <c r="L305" s="49"/>
      <c r="M305" s="49"/>
      <c r="N305" s="49"/>
      <c r="O305" s="49"/>
      <c r="P305" s="49"/>
      <c r="Q305" s="49"/>
      <c r="R305" s="49"/>
      <c r="S305" s="49"/>
      <c r="T305" s="49"/>
      <c r="U305" s="49"/>
      <c r="V305" s="49">
        <f>+V287*T265/100</f>
        <v>0</v>
      </c>
      <c r="W305" s="49">
        <f>+W287*V265/100</f>
        <v>0</v>
      </c>
      <c r="X305" s="49">
        <f>SUM(V305:W305)</f>
        <v>0</v>
      </c>
      <c r="Y305" s="49">
        <f>+Y287*W265/100</f>
        <v>0</v>
      </c>
      <c r="Z305" s="49">
        <f>+Z287*Y265/100</f>
        <v>0</v>
      </c>
      <c r="AA305" s="394">
        <f>SUM(Y305:Z305)</f>
        <v>0</v>
      </c>
      <c r="AB305" s="49">
        <f>+AB287*Z265/100</f>
        <v>0</v>
      </c>
      <c r="AC305" s="49">
        <f>+AC287*AB265/100</f>
        <v>0</v>
      </c>
      <c r="AD305" s="49">
        <f>SUM(AB305:AC305)</f>
        <v>0</v>
      </c>
      <c r="AE305" s="49">
        <f>+AE287*AC265/100</f>
        <v>0</v>
      </c>
      <c r="AF305" s="49">
        <f>+AF287*AE265/100</f>
        <v>0</v>
      </c>
      <c r="AG305" s="49">
        <f>SUM(AE305:AF305)</f>
        <v>0</v>
      </c>
      <c r="AH305" s="49">
        <f>+AH287*AF265/100</f>
        <v>0</v>
      </c>
      <c r="AI305" s="49">
        <f>+AI287*AH265/100</f>
        <v>0</v>
      </c>
      <c r="AJ305" s="49">
        <f>SUM(AH305:AI305)</f>
        <v>0</v>
      </c>
      <c r="AK305" s="49">
        <f>+AK287*AI265/100</f>
        <v>0</v>
      </c>
      <c r="AL305" s="49">
        <f>+AL287*AK265/100</f>
        <v>0</v>
      </c>
      <c r="AM305" s="407">
        <f>SUM(AK305:AL305)</f>
        <v>0</v>
      </c>
      <c r="AN305" s="588">
        <f>+AN287*AL265/100</f>
        <v>0</v>
      </c>
      <c r="AO305" s="49">
        <f>+AO287*AN265/100</f>
        <v>0</v>
      </c>
      <c r="AP305" s="49">
        <f>SUM(AN305:AO305)</f>
        <v>0</v>
      </c>
      <c r="AQ305" s="49">
        <f>+AQ287*AO265/100</f>
        <v>0</v>
      </c>
      <c r="AR305" s="49">
        <f>+AR287*AQ265/100</f>
        <v>0</v>
      </c>
      <c r="AS305" s="49">
        <f>SUM(AQ305:AR305)</f>
        <v>0</v>
      </c>
      <c r="AT305" s="49">
        <f>+AT287*AR265/100</f>
        <v>0</v>
      </c>
      <c r="AU305" s="49">
        <f>+AU287*AT265/100</f>
        <v>0</v>
      </c>
      <c r="AV305" s="49">
        <f>SUM(AT305:AU305)</f>
        <v>0</v>
      </c>
      <c r="AW305" s="49">
        <f>+AW287*AU265/100</f>
        <v>0</v>
      </c>
      <c r="AX305" s="49">
        <f>+AX287*AW265/100</f>
        <v>0</v>
      </c>
      <c r="AY305" s="49">
        <f>SUM(AW305:AX305)</f>
        <v>0</v>
      </c>
      <c r="AZ305" s="49">
        <f>+AZ287*AX265/100</f>
        <v>0</v>
      </c>
      <c r="BA305" s="49">
        <f>+BA287*AZ265/100</f>
        <v>0</v>
      </c>
      <c r="BB305" s="49">
        <f>SUM(AZ305:BA305)</f>
        <v>0</v>
      </c>
    </row>
    <row r="306" spans="2:54">
      <c r="B306" s="7" t="s">
        <v>0</v>
      </c>
      <c r="C306" s="73" t="s">
        <v>269</v>
      </c>
      <c r="D306" s="30"/>
      <c r="E306" s="30"/>
      <c r="F306" s="30"/>
      <c r="G306" s="30"/>
      <c r="H306" s="30"/>
      <c r="I306" s="30"/>
      <c r="J306" s="30"/>
      <c r="K306" s="30"/>
      <c r="L306" s="49"/>
      <c r="M306" s="49"/>
      <c r="N306" s="49"/>
      <c r="O306" s="49"/>
      <c r="P306" s="49"/>
      <c r="Q306" s="49"/>
      <c r="R306" s="49"/>
      <c r="S306" s="49"/>
      <c r="T306" s="49"/>
      <c r="U306" s="49"/>
      <c r="V306" s="49">
        <f t="shared" ref="V306:AA306" si="600">+V304+V305</f>
        <v>0</v>
      </c>
      <c r="W306" s="49">
        <f t="shared" si="600"/>
        <v>12.977306515125001</v>
      </c>
      <c r="X306" s="49">
        <f t="shared" si="600"/>
        <v>12.977306515125001</v>
      </c>
      <c r="Y306" s="49">
        <f t="shared" si="600"/>
        <v>34.226905219800003</v>
      </c>
      <c r="Z306" s="49">
        <f t="shared" si="600"/>
        <v>42.49919740935001</v>
      </c>
      <c r="AA306" s="394">
        <f t="shared" si="600"/>
        <v>76.726102629150006</v>
      </c>
      <c r="AB306" s="49">
        <f t="shared" ref="AB306:AD306" si="601">+AB304+AB305</f>
        <v>35.554264425</v>
      </c>
      <c r="AC306" s="49">
        <f t="shared" si="601"/>
        <v>39.504738250000003</v>
      </c>
      <c r="AD306" s="49">
        <f t="shared" si="601"/>
        <v>75.059002675000002</v>
      </c>
      <c r="AE306" s="49">
        <f t="shared" ref="AE306:AG306" si="602">+AE304+AE305</f>
        <v>35.554264425</v>
      </c>
      <c r="AF306" s="49">
        <f t="shared" si="602"/>
        <v>39.504738250000003</v>
      </c>
      <c r="AG306" s="49">
        <f t="shared" si="602"/>
        <v>75.059002675000002</v>
      </c>
      <c r="AH306" s="49">
        <f t="shared" ref="AH306:AJ306" si="603">+AH304+AH305</f>
        <v>17.799632212500001</v>
      </c>
      <c r="AI306" s="49">
        <f t="shared" si="603"/>
        <v>19.777369125</v>
      </c>
      <c r="AJ306" s="49">
        <f t="shared" si="603"/>
        <v>37.5770013375</v>
      </c>
      <c r="AK306" s="49">
        <f t="shared" ref="AK306:AM306" si="604">+AK304+AK305</f>
        <v>19.802369124999998</v>
      </c>
      <c r="AL306" s="49">
        <f t="shared" si="604"/>
        <v>19.802369124999998</v>
      </c>
      <c r="AM306" s="407">
        <f t="shared" si="604"/>
        <v>39.604738249999997</v>
      </c>
      <c r="AN306" s="588">
        <f t="shared" ref="AN306" si="605">+AN304+AN305</f>
        <v>15.8618953</v>
      </c>
      <c r="AO306" s="49">
        <f t="shared" ref="AO306:BB306" si="606">+AO304+AO305</f>
        <v>19.832969012901479</v>
      </c>
      <c r="AP306" s="49">
        <f t="shared" si="606"/>
        <v>35.69486431290148</v>
      </c>
      <c r="AQ306" s="49">
        <f t="shared" si="606"/>
        <v>23.735615933695776</v>
      </c>
      <c r="AR306" s="49">
        <f t="shared" si="606"/>
        <v>23.807776080297781</v>
      </c>
      <c r="AS306" s="49">
        <f t="shared" si="606"/>
        <v>47.543392013993554</v>
      </c>
      <c r="AT306" s="49">
        <f t="shared" si="606"/>
        <v>26.171248537598732</v>
      </c>
      <c r="AU306" s="49">
        <f t="shared" si="606"/>
        <v>27.994671213028447</v>
      </c>
      <c r="AV306" s="49">
        <f t="shared" si="606"/>
        <v>54.165919750627182</v>
      </c>
      <c r="AW306" s="49">
        <f t="shared" si="606"/>
        <v>27.692919203648554</v>
      </c>
      <c r="AX306" s="49">
        <f t="shared" si="606"/>
        <v>29.49717098358305</v>
      </c>
      <c r="AY306" s="49">
        <f t="shared" si="606"/>
        <v>57.190090187231604</v>
      </c>
      <c r="AZ306" s="49">
        <f t="shared" si="606"/>
        <v>30.411642823657104</v>
      </c>
      <c r="BA306" s="49">
        <f t="shared" si="606"/>
        <v>32.520563961370947</v>
      </c>
      <c r="BB306" s="49">
        <f t="shared" si="606"/>
        <v>62.93220678502805</v>
      </c>
    </row>
    <row r="307" spans="2:54">
      <c r="B307" s="83" t="s">
        <v>110</v>
      </c>
      <c r="D307" s="30"/>
      <c r="E307" s="30"/>
      <c r="F307" s="30"/>
      <c r="G307" s="30"/>
      <c r="H307" s="30"/>
      <c r="I307" s="30"/>
      <c r="J307" s="30"/>
      <c r="K307" s="30"/>
      <c r="L307" s="49"/>
      <c r="M307" s="49"/>
      <c r="N307" s="49"/>
      <c r="O307" s="49"/>
      <c r="P307" s="49"/>
      <c r="Q307" s="49"/>
      <c r="R307" s="49"/>
      <c r="S307" s="49"/>
      <c r="T307" s="49"/>
      <c r="U307" s="49"/>
      <c r="V307" s="49"/>
      <c r="W307" s="49"/>
      <c r="X307" s="49"/>
      <c r="Y307" s="49"/>
      <c r="Z307" s="49"/>
      <c r="AB307" s="49"/>
      <c r="AC307" s="49"/>
      <c r="AD307" s="49"/>
      <c r="AE307" s="49"/>
      <c r="AF307" s="49"/>
      <c r="AG307" s="49"/>
      <c r="AH307" s="49"/>
      <c r="AI307" s="49"/>
      <c r="AJ307" s="49"/>
      <c r="AK307" s="49"/>
      <c r="AL307" s="49"/>
      <c r="AM307" s="407"/>
      <c r="AN307" s="588"/>
      <c r="AO307" s="49"/>
      <c r="AP307" s="49"/>
      <c r="AQ307" s="49"/>
      <c r="AR307" s="49"/>
      <c r="AS307" s="49"/>
      <c r="AT307" s="49"/>
      <c r="AU307" s="49"/>
      <c r="AV307" s="49"/>
      <c r="AW307" s="49"/>
      <c r="AX307" s="49"/>
      <c r="AY307" s="49"/>
      <c r="AZ307" s="49"/>
      <c r="BA307" s="49"/>
      <c r="BB307" s="49"/>
    </row>
    <row r="308" spans="2:54">
      <c r="B308" s="7" t="s">
        <v>111</v>
      </c>
      <c r="C308" s="73" t="s">
        <v>269</v>
      </c>
      <c r="D308" s="30"/>
      <c r="E308" s="30"/>
      <c r="F308" s="30"/>
      <c r="G308" s="30"/>
      <c r="H308" s="30"/>
      <c r="I308" s="30"/>
      <c r="J308" s="30"/>
      <c r="K308" s="30"/>
      <c r="L308" s="49"/>
      <c r="M308" s="49"/>
      <c r="N308" s="49"/>
      <c r="O308" s="49"/>
      <c r="P308" s="49"/>
      <c r="Q308" s="49"/>
      <c r="R308" s="49"/>
      <c r="S308" s="49"/>
      <c r="T308" s="49"/>
      <c r="U308" s="49"/>
      <c r="V308" s="49">
        <f>T306</f>
        <v>0</v>
      </c>
      <c r="W308" s="49">
        <f>V306</f>
        <v>0</v>
      </c>
      <c r="X308" s="49">
        <f>W308+V308</f>
        <v>0</v>
      </c>
      <c r="Y308" s="49">
        <f>W306</f>
        <v>12.977306515125001</v>
      </c>
      <c r="Z308" s="49">
        <f>Y306</f>
        <v>34.226905219800003</v>
      </c>
      <c r="AA308" s="394">
        <f>Z308+Y308</f>
        <v>47.204211734925003</v>
      </c>
      <c r="AB308" s="49">
        <f>Z306</f>
        <v>42.49919740935001</v>
      </c>
      <c r="AC308" s="49">
        <f>AB306</f>
        <v>35.554264425</v>
      </c>
      <c r="AD308" s="49">
        <f>AC308+AB308</f>
        <v>78.053461834350003</v>
      </c>
      <c r="AE308" s="49">
        <f>AC306</f>
        <v>39.504738250000003</v>
      </c>
      <c r="AF308" s="49">
        <f>AE306</f>
        <v>35.554264425</v>
      </c>
      <c r="AG308" s="49">
        <f>AF308+AE308</f>
        <v>75.059002675000002</v>
      </c>
      <c r="AH308" s="49">
        <f>AF306</f>
        <v>39.504738250000003</v>
      </c>
      <c r="AI308" s="49">
        <f>AH306</f>
        <v>17.799632212500001</v>
      </c>
      <c r="AJ308" s="49">
        <f>AI308+AH308</f>
        <v>57.304370462500003</v>
      </c>
      <c r="AK308" s="49">
        <f>AI306</f>
        <v>19.777369125</v>
      </c>
      <c r="AL308" s="49">
        <f>AK306</f>
        <v>19.802369124999998</v>
      </c>
      <c r="AM308" s="407">
        <f>AL308+AK308</f>
        <v>39.579738249999998</v>
      </c>
      <c r="AN308" s="588">
        <f>AL306</f>
        <v>19.802369124999998</v>
      </c>
      <c r="AO308" s="49">
        <f>AN306</f>
        <v>15.8618953</v>
      </c>
      <c r="AP308" s="49">
        <f>AO308+AN308</f>
        <v>35.664264424999999</v>
      </c>
      <c r="AQ308" s="49">
        <f>AO306</f>
        <v>19.832969012901479</v>
      </c>
      <c r="AR308" s="49">
        <f>AQ306</f>
        <v>23.735615933695776</v>
      </c>
      <c r="AS308" s="49">
        <f>AR308+AQ308</f>
        <v>43.568584946597255</v>
      </c>
      <c r="AT308" s="49">
        <f>AR306</f>
        <v>23.807776080297781</v>
      </c>
      <c r="AU308" s="49">
        <f>AT306</f>
        <v>26.171248537598732</v>
      </c>
      <c r="AV308" s="49">
        <f>AU308+AT308</f>
        <v>49.979024617896513</v>
      </c>
      <c r="AW308" s="49">
        <f>AU306</f>
        <v>27.994671213028447</v>
      </c>
      <c r="AX308" s="49">
        <f>AW306</f>
        <v>27.692919203648554</v>
      </c>
      <c r="AY308" s="49">
        <f>AX308+AW308</f>
        <v>55.687590416676997</v>
      </c>
      <c r="AZ308" s="49">
        <f>AX306</f>
        <v>29.49717098358305</v>
      </c>
      <c r="BA308" s="49">
        <f>AZ306</f>
        <v>30.411642823657104</v>
      </c>
      <c r="BB308" s="49">
        <f>BA308+AZ308</f>
        <v>59.908813807240151</v>
      </c>
    </row>
    <row r="309" spans="2:54">
      <c r="B309" s="7" t="s">
        <v>176</v>
      </c>
      <c r="C309" s="73" t="s">
        <v>269</v>
      </c>
      <c r="D309" s="31"/>
      <c r="E309" s="31"/>
      <c r="F309" s="30"/>
      <c r="G309" s="31"/>
      <c r="H309" s="31"/>
      <c r="I309" s="30"/>
      <c r="J309" s="31"/>
      <c r="K309" s="31"/>
      <c r="L309" s="49"/>
      <c r="M309" s="164"/>
      <c r="N309" s="164"/>
      <c r="O309" s="49"/>
      <c r="P309" s="164"/>
      <c r="Q309" s="164"/>
      <c r="R309" s="49"/>
      <c r="S309" s="164"/>
      <c r="T309" s="48"/>
      <c r="U309" s="49"/>
      <c r="V309" s="164">
        <v>0</v>
      </c>
      <c r="W309" s="48">
        <v>0</v>
      </c>
      <c r="X309" s="49">
        <f>W309+V309</f>
        <v>0</v>
      </c>
      <c r="Y309" s="164">
        <v>0</v>
      </c>
      <c r="Z309" s="48">
        <v>0</v>
      </c>
      <c r="AA309" s="394">
        <f>Z309+Y309</f>
        <v>0</v>
      </c>
      <c r="AB309" s="164">
        <v>0</v>
      </c>
      <c r="AC309" s="48">
        <v>0</v>
      </c>
      <c r="AD309" s="49">
        <f>AC309+AB309</f>
        <v>0</v>
      </c>
      <c r="AE309" s="164">
        <v>0</v>
      </c>
      <c r="AF309" s="48">
        <v>1</v>
      </c>
      <c r="AG309" s="49">
        <f>AF309+AE309</f>
        <v>1</v>
      </c>
      <c r="AH309" s="164">
        <v>0</v>
      </c>
      <c r="AI309" s="48">
        <v>0</v>
      </c>
      <c r="AJ309" s="49">
        <f>AI309+AH309</f>
        <v>0</v>
      </c>
      <c r="AK309" s="164">
        <v>0</v>
      </c>
      <c r="AL309" s="48">
        <v>0</v>
      </c>
      <c r="AM309" s="407">
        <f>AL309+AK309</f>
        <v>0</v>
      </c>
      <c r="AN309" s="592">
        <v>0</v>
      </c>
      <c r="AO309" s="48">
        <v>0</v>
      </c>
      <c r="AP309" s="49">
        <f>AO309+AN309</f>
        <v>0</v>
      </c>
      <c r="AQ309" s="48">
        <v>0</v>
      </c>
      <c r="AR309" s="48">
        <v>0</v>
      </c>
      <c r="AS309" s="49">
        <f>AR309+AQ309</f>
        <v>0</v>
      </c>
      <c r="AT309" s="48">
        <v>0</v>
      </c>
      <c r="AU309" s="48">
        <v>0</v>
      </c>
      <c r="AV309" s="49">
        <f>AU309+AT309</f>
        <v>0</v>
      </c>
      <c r="AW309" s="48">
        <v>0</v>
      </c>
      <c r="AX309" s="48">
        <v>0</v>
      </c>
      <c r="AY309" s="49">
        <f>AX309+AW309</f>
        <v>0</v>
      </c>
      <c r="AZ309" s="48">
        <v>0</v>
      </c>
      <c r="BA309" s="48">
        <v>0</v>
      </c>
      <c r="BB309" s="49">
        <f>BA309+AZ309</f>
        <v>0</v>
      </c>
    </row>
    <row r="310" spans="2:54">
      <c r="B310" s="7" t="s">
        <v>1</v>
      </c>
      <c r="C310" s="73" t="s">
        <v>269</v>
      </c>
      <c r="D310" s="30"/>
      <c r="E310" s="30"/>
      <c r="F310" s="30"/>
      <c r="G310" s="30"/>
      <c r="H310" s="30"/>
      <c r="I310" s="30"/>
      <c r="J310" s="30"/>
      <c r="K310" s="30"/>
      <c r="L310" s="49"/>
      <c r="M310" s="49"/>
      <c r="N310" s="49"/>
      <c r="O310" s="49"/>
      <c r="P310" s="49"/>
      <c r="Q310" s="49"/>
      <c r="R310" s="49"/>
      <c r="S310" s="49"/>
      <c r="T310" s="49"/>
      <c r="U310" s="49"/>
      <c r="V310" s="49">
        <f t="shared" ref="V310:AA310" si="607">V308-V309</f>
        <v>0</v>
      </c>
      <c r="W310" s="49">
        <f t="shared" si="607"/>
        <v>0</v>
      </c>
      <c r="X310" s="49">
        <f t="shared" si="607"/>
        <v>0</v>
      </c>
      <c r="Y310" s="49">
        <f t="shared" si="607"/>
        <v>12.977306515125001</v>
      </c>
      <c r="Z310" s="49">
        <f t="shared" si="607"/>
        <v>34.226905219800003</v>
      </c>
      <c r="AA310" s="394">
        <f t="shared" si="607"/>
        <v>47.204211734925003</v>
      </c>
      <c r="AB310" s="49">
        <f t="shared" ref="AB310:AD310" si="608">AB308-AB309</f>
        <v>42.49919740935001</v>
      </c>
      <c r="AC310" s="49">
        <f t="shared" si="608"/>
        <v>35.554264425</v>
      </c>
      <c r="AD310" s="49">
        <f t="shared" si="608"/>
        <v>78.053461834350003</v>
      </c>
      <c r="AE310" s="49">
        <f t="shared" ref="AE310:AG310" si="609">AE308-AE309</f>
        <v>39.504738250000003</v>
      </c>
      <c r="AF310" s="49">
        <f t="shared" si="609"/>
        <v>34.554264425</v>
      </c>
      <c r="AG310" s="49">
        <f t="shared" si="609"/>
        <v>74.059002675000002</v>
      </c>
      <c r="AH310" s="49">
        <f t="shared" ref="AH310:AJ310" si="610">AH308-AH309</f>
        <v>39.504738250000003</v>
      </c>
      <c r="AI310" s="49">
        <f t="shared" si="610"/>
        <v>17.799632212500001</v>
      </c>
      <c r="AJ310" s="49">
        <f t="shared" si="610"/>
        <v>57.304370462500003</v>
      </c>
      <c r="AK310" s="49">
        <f t="shared" ref="AK310:AM310" si="611">AK308-AK309</f>
        <v>19.777369125</v>
      </c>
      <c r="AL310" s="49">
        <f t="shared" si="611"/>
        <v>19.802369124999998</v>
      </c>
      <c r="AM310" s="407">
        <f t="shared" si="611"/>
        <v>39.579738249999998</v>
      </c>
      <c r="AN310" s="588">
        <f t="shared" ref="AN310" si="612">AN308-AN309</f>
        <v>19.802369124999998</v>
      </c>
      <c r="AO310" s="49">
        <f t="shared" ref="AO310:BB310" si="613">AO308-AO309</f>
        <v>15.8618953</v>
      </c>
      <c r="AP310" s="49">
        <f t="shared" si="613"/>
        <v>35.664264424999999</v>
      </c>
      <c r="AQ310" s="49">
        <f t="shared" si="613"/>
        <v>19.832969012901479</v>
      </c>
      <c r="AR310" s="49">
        <f t="shared" si="613"/>
        <v>23.735615933695776</v>
      </c>
      <c r="AS310" s="49">
        <f t="shared" si="613"/>
        <v>43.568584946597255</v>
      </c>
      <c r="AT310" s="49">
        <f t="shared" si="613"/>
        <v>23.807776080297781</v>
      </c>
      <c r="AU310" s="49">
        <f t="shared" si="613"/>
        <v>26.171248537598732</v>
      </c>
      <c r="AV310" s="49">
        <f t="shared" si="613"/>
        <v>49.979024617896513</v>
      </c>
      <c r="AW310" s="49">
        <f t="shared" si="613"/>
        <v>27.994671213028447</v>
      </c>
      <c r="AX310" s="49">
        <f t="shared" si="613"/>
        <v>27.692919203648554</v>
      </c>
      <c r="AY310" s="49">
        <f t="shared" si="613"/>
        <v>55.687590416676997</v>
      </c>
      <c r="AZ310" s="49">
        <f t="shared" si="613"/>
        <v>29.49717098358305</v>
      </c>
      <c r="BA310" s="49">
        <f t="shared" si="613"/>
        <v>30.411642823657104</v>
      </c>
      <c r="BB310" s="49">
        <f t="shared" si="613"/>
        <v>59.908813807240151</v>
      </c>
    </row>
    <row r="314" spans="2:54">
      <c r="B314" s="7" t="s">
        <v>243</v>
      </c>
      <c r="C314" s="73" t="s">
        <v>269</v>
      </c>
      <c r="D314" s="30"/>
      <c r="E314" s="30"/>
      <c r="F314" s="30"/>
      <c r="G314" s="30"/>
      <c r="H314" s="30"/>
      <c r="I314" s="30"/>
      <c r="J314" s="30"/>
      <c r="K314" s="30"/>
      <c r="L314" s="49"/>
      <c r="M314" s="49"/>
      <c r="N314" s="49"/>
      <c r="O314" s="49"/>
      <c r="P314" s="49"/>
      <c r="Q314" s="49"/>
      <c r="R314" s="49"/>
      <c r="S314" s="49"/>
      <c r="T314" s="49"/>
      <c r="U314" s="49"/>
      <c r="V314" s="49">
        <f t="shared" ref="V314:AJ314" si="614">+V117-V315</f>
        <v>-20.504000000000001</v>
      </c>
      <c r="W314" s="49">
        <f t="shared" si="614"/>
        <v>-41.01</v>
      </c>
      <c r="X314" s="49">
        <f t="shared" si="614"/>
        <v>157.89000000000001</v>
      </c>
      <c r="Y314" s="49">
        <f t="shared" ref="Y314:AD314" si="615">+Y117-Y315</f>
        <v>99.11</v>
      </c>
      <c r="Z314" s="49">
        <f t="shared" si="615"/>
        <v>119.56899999999997</v>
      </c>
      <c r="AA314" s="394">
        <f t="shared" si="615"/>
        <v>218.67899999999997</v>
      </c>
      <c r="AB314" s="49">
        <f t="shared" si="615"/>
        <v>103.84899999999998</v>
      </c>
      <c r="AC314" s="49">
        <f t="shared" si="615"/>
        <v>117.545</v>
      </c>
      <c r="AD314" s="49">
        <f t="shared" si="615"/>
        <v>221.39399999999998</v>
      </c>
      <c r="AE314" s="49">
        <f t="shared" ref="AE314:AG314" si="616">+AE117-AE315</f>
        <v>102.556</v>
      </c>
      <c r="AF314" s="49">
        <f t="shared" si="616"/>
        <v>119.39399999999998</v>
      </c>
      <c r="AG314" s="49">
        <f t="shared" si="616"/>
        <v>221.95</v>
      </c>
      <c r="AH314" s="49">
        <f t="shared" si="614"/>
        <v>80.087000000000018</v>
      </c>
      <c r="AI314" s="49">
        <f t="shared" si="614"/>
        <v>117.79700000000001</v>
      </c>
      <c r="AJ314" s="49">
        <f t="shared" si="614"/>
        <v>214.58</v>
      </c>
      <c r="AK314" s="49">
        <f t="shared" ref="AK314:AM314" si="617">+AK117-AK315</f>
        <v>100.43400000000003</v>
      </c>
      <c r="AL314" s="49">
        <f t="shared" si="617"/>
        <v>99.680999999999983</v>
      </c>
      <c r="AM314" s="407">
        <f t="shared" si="617"/>
        <v>208.92299999999994</v>
      </c>
      <c r="AN314" s="588">
        <f t="shared" ref="AN314" si="618">+AN117-AN315</f>
        <v>67.543000000000035</v>
      </c>
      <c r="AO314" s="49">
        <f t="shared" ref="AO314:BB314" si="619">+AO117-AO315</f>
        <v>99.47544909575943</v>
      </c>
      <c r="AP314" s="644">
        <f t="shared" si="619"/>
        <v>167.01844909575945</v>
      </c>
      <c r="AQ314" s="49">
        <f t="shared" si="619"/>
        <v>105.16054151415359</v>
      </c>
      <c r="AR314" s="49">
        <f t="shared" si="619"/>
        <v>117.42361465757341</v>
      </c>
      <c r="AS314" s="49">
        <f t="shared" si="619"/>
        <v>222.58415617172705</v>
      </c>
      <c r="AT314" s="49">
        <f t="shared" si="619"/>
        <v>116.86354781055388</v>
      </c>
      <c r="AU314" s="49">
        <f t="shared" si="619"/>
        <v>129.10491274516974</v>
      </c>
      <c r="AV314" s="49">
        <f t="shared" si="619"/>
        <v>245.9684605557236</v>
      </c>
      <c r="AW314" s="49">
        <f t="shared" si="619"/>
        <v>123.77995628146658</v>
      </c>
      <c r="AX314" s="49">
        <f t="shared" si="619"/>
        <v>136.66570007590769</v>
      </c>
      <c r="AY314" s="49">
        <f t="shared" si="619"/>
        <v>260.44565635737428</v>
      </c>
      <c r="AZ314" s="49">
        <f t="shared" si="619"/>
        <v>130.62608027182117</v>
      </c>
      <c r="BA314" s="49">
        <f t="shared" si="619"/>
        <v>144.24154802366027</v>
      </c>
      <c r="BB314" s="49">
        <f t="shared" si="619"/>
        <v>274.86762829548144</v>
      </c>
    </row>
    <row r="315" spans="2:54">
      <c r="B315" s="7" t="s">
        <v>241</v>
      </c>
      <c r="C315" s="73" t="s">
        <v>269</v>
      </c>
      <c r="D315" s="57"/>
      <c r="E315" s="57"/>
      <c r="F315" s="57"/>
      <c r="G315" s="57"/>
      <c r="H315" s="57"/>
      <c r="I315" s="57"/>
      <c r="J315" s="57"/>
      <c r="K315" s="57"/>
      <c r="L315" s="196"/>
      <c r="M315" s="196"/>
      <c r="N315" s="196"/>
      <c r="O315" s="196"/>
      <c r="P315" s="196"/>
      <c r="Q315" s="196"/>
      <c r="R315" s="196"/>
      <c r="S315" s="196"/>
      <c r="T315" s="196"/>
      <c r="U315" s="196"/>
      <c r="V315" s="196">
        <f t="shared" ref="V315:AJ315" si="620">+V31</f>
        <v>20.504000000000001</v>
      </c>
      <c r="W315" s="196">
        <f t="shared" si="620"/>
        <v>41.01</v>
      </c>
      <c r="X315" s="196">
        <f t="shared" si="620"/>
        <v>61.514000000000003</v>
      </c>
      <c r="Y315" s="196">
        <f t="shared" ref="Y315:AD315" si="621">+Y31</f>
        <v>20.894000000000002</v>
      </c>
      <c r="Z315" s="196">
        <f t="shared" si="621"/>
        <v>21.151999999999997</v>
      </c>
      <c r="AA315" s="465">
        <f t="shared" si="621"/>
        <v>42.045999999999999</v>
      </c>
      <c r="AB315" s="196">
        <f t="shared" si="621"/>
        <v>21.61</v>
      </c>
      <c r="AC315" s="196">
        <f t="shared" si="621"/>
        <v>25.597999999999999</v>
      </c>
      <c r="AD315" s="196">
        <f t="shared" si="621"/>
        <v>47.207999999999998</v>
      </c>
      <c r="AE315" s="196">
        <f t="shared" ref="AE315:AG315" si="622">+AE31</f>
        <v>25.544</v>
      </c>
      <c r="AF315" s="196">
        <f t="shared" si="622"/>
        <v>27.097000000000001</v>
      </c>
      <c r="AG315" s="196">
        <f t="shared" si="622"/>
        <v>52.641000000000005</v>
      </c>
      <c r="AH315" s="196">
        <f t="shared" si="620"/>
        <v>28.016999999999999</v>
      </c>
      <c r="AI315" s="196">
        <f t="shared" si="620"/>
        <v>32.031999999999996</v>
      </c>
      <c r="AJ315" s="196">
        <f t="shared" si="620"/>
        <v>60.048999999999999</v>
      </c>
      <c r="AK315" s="196">
        <f t="shared" ref="AK315:AM315" si="623">+AK31</f>
        <v>34.558</v>
      </c>
      <c r="AL315" s="196">
        <f t="shared" si="623"/>
        <v>34.219000000000023</v>
      </c>
      <c r="AM315" s="448">
        <f t="shared" si="623"/>
        <v>68.777000000000029</v>
      </c>
      <c r="AN315" s="624">
        <f t="shared" ref="AN315" si="624">+AN31</f>
        <v>35.05599999999999</v>
      </c>
      <c r="AO315" s="196">
        <f t="shared" ref="AO315:BB315" si="625">+AO31</f>
        <v>35.16200000000002</v>
      </c>
      <c r="AP315" s="645">
        <f t="shared" si="625"/>
        <v>70.218000000000018</v>
      </c>
      <c r="AQ315" s="196">
        <f t="shared" si="625"/>
        <v>35.739999999999995</v>
      </c>
      <c r="AR315" s="196">
        <f t="shared" si="625"/>
        <v>35.848120000000023</v>
      </c>
      <c r="AS315" s="196">
        <f t="shared" si="625"/>
        <v>71.588120000000018</v>
      </c>
      <c r="AT315" s="196">
        <f t="shared" si="625"/>
        <v>36.437679999999993</v>
      </c>
      <c r="AU315" s="196">
        <f t="shared" si="625"/>
        <v>36.638477200000018</v>
      </c>
      <c r="AV315" s="196">
        <f t="shared" si="625"/>
        <v>73.076157200000026</v>
      </c>
      <c r="AW315" s="196">
        <f t="shared" si="625"/>
        <v>37.149313599999992</v>
      </c>
      <c r="AX315" s="196">
        <f t="shared" si="625"/>
        <v>37.354126744000027</v>
      </c>
      <c r="AY315" s="196">
        <f t="shared" si="625"/>
        <v>74.503440344000026</v>
      </c>
      <c r="AZ315" s="196">
        <f t="shared" si="625"/>
        <v>37.875179871999997</v>
      </c>
      <c r="BA315" s="196">
        <f t="shared" si="625"/>
        <v>38.084089278880022</v>
      </c>
      <c r="BB315" s="196">
        <f t="shared" si="625"/>
        <v>75.959269150880019</v>
      </c>
    </row>
    <row r="316" spans="2:54">
      <c r="B316" s="7" t="s">
        <v>234</v>
      </c>
      <c r="D316" s="59"/>
      <c r="E316" s="59"/>
      <c r="F316" s="59"/>
      <c r="G316" s="59"/>
      <c r="H316" s="59"/>
      <c r="I316" s="59"/>
      <c r="J316" s="59"/>
      <c r="K316" s="59"/>
      <c r="L316" s="59"/>
      <c r="M316" s="59"/>
      <c r="N316" s="59"/>
      <c r="O316" s="59"/>
      <c r="P316" s="59"/>
      <c r="Q316" s="59"/>
      <c r="R316" s="59"/>
      <c r="S316" s="59"/>
      <c r="T316" s="59"/>
      <c r="U316" s="59"/>
      <c r="V316" s="59" t="s">
        <v>166</v>
      </c>
      <c r="W316" s="59" t="s">
        <v>166</v>
      </c>
      <c r="X316" s="59" t="s">
        <v>166</v>
      </c>
      <c r="Y316" s="59" t="s">
        <v>166</v>
      </c>
      <c r="Z316" s="59" t="s">
        <v>166</v>
      </c>
      <c r="AA316" s="490" t="s">
        <v>166</v>
      </c>
      <c r="AB316" s="59" t="s">
        <v>166</v>
      </c>
      <c r="AC316" s="59" t="s">
        <v>166</v>
      </c>
      <c r="AD316" s="59" t="s">
        <v>166</v>
      </c>
      <c r="AE316" s="59" t="s">
        <v>166</v>
      </c>
      <c r="AF316" s="59" t="s">
        <v>166</v>
      </c>
      <c r="AG316" s="59" t="s">
        <v>166</v>
      </c>
      <c r="AH316" s="59" t="s">
        <v>166</v>
      </c>
      <c r="AI316" s="59" t="s">
        <v>166</v>
      </c>
      <c r="AJ316" s="59" t="s">
        <v>166</v>
      </c>
      <c r="AK316" s="59" t="s">
        <v>166</v>
      </c>
      <c r="AL316" s="59" t="s">
        <v>166</v>
      </c>
      <c r="AM316" s="449" t="s">
        <v>166</v>
      </c>
      <c r="AN316" s="625" t="s">
        <v>166</v>
      </c>
      <c r="AO316" s="60" t="s">
        <v>166</v>
      </c>
      <c r="AP316" s="60" t="s">
        <v>166</v>
      </c>
      <c r="AQ316" s="60" t="s">
        <v>166</v>
      </c>
      <c r="AR316" s="60" t="s">
        <v>166</v>
      </c>
      <c r="AS316" s="60" t="s">
        <v>166</v>
      </c>
      <c r="AT316" s="60" t="s">
        <v>166</v>
      </c>
      <c r="AU316" s="60" t="s">
        <v>166</v>
      </c>
      <c r="AV316" s="60" t="s">
        <v>166</v>
      </c>
      <c r="AW316" s="60" t="s">
        <v>166</v>
      </c>
      <c r="AX316" s="60" t="s">
        <v>166</v>
      </c>
      <c r="AY316" s="60" t="s">
        <v>166</v>
      </c>
      <c r="AZ316" s="60" t="s">
        <v>166</v>
      </c>
      <c r="BA316" s="60" t="s">
        <v>166</v>
      </c>
      <c r="BB316" s="60" t="s">
        <v>166</v>
      </c>
    </row>
    <row r="320" spans="2:54">
      <c r="B320" s="14" t="s">
        <v>235</v>
      </c>
    </row>
    <row r="322" spans="1:54">
      <c r="B322" s="14" t="s">
        <v>236</v>
      </c>
      <c r="C322" s="73" t="s">
        <v>269</v>
      </c>
      <c r="D322" s="30"/>
      <c r="E322" s="30"/>
      <c r="F322" s="30"/>
      <c r="G322" s="30"/>
      <c r="H322" s="30"/>
      <c r="I322" s="30"/>
      <c r="J322" s="30"/>
      <c r="K322" s="30"/>
      <c r="L322" s="165"/>
      <c r="M322" s="165"/>
      <c r="N322" s="165"/>
      <c r="O322" s="165"/>
      <c r="P322" s="165"/>
      <c r="Q322" s="165"/>
      <c r="R322" s="165"/>
      <c r="S322" s="165"/>
      <c r="T322" s="165"/>
      <c r="U322" s="165"/>
      <c r="V322" s="165">
        <f>+U327</f>
        <v>0</v>
      </c>
      <c r="W322" s="165">
        <f>+V327</f>
        <v>0</v>
      </c>
      <c r="X322" s="165">
        <f>+U327</f>
        <v>0</v>
      </c>
      <c r="Y322" s="165">
        <f>+X327</f>
        <v>975.65600000000006</v>
      </c>
      <c r="Z322" s="165">
        <f>+Y327</f>
        <v>1142.492</v>
      </c>
      <c r="AA322" s="394">
        <f>+X327</f>
        <v>975.65600000000006</v>
      </c>
      <c r="AB322" s="165">
        <f>+AA327</f>
        <v>1192.3150000000001</v>
      </c>
      <c r="AC322" s="165">
        <f>+AB327</f>
        <v>1192.268</v>
      </c>
      <c r="AD322" s="165">
        <f>+AA327</f>
        <v>1192.3150000000001</v>
      </c>
      <c r="AE322" s="165">
        <f>+AD327</f>
        <v>1130.5830000000001</v>
      </c>
      <c r="AF322" s="165">
        <f>+AE327</f>
        <v>1151.2660000000001</v>
      </c>
      <c r="AG322" s="165">
        <f>+AD327</f>
        <v>1130.5830000000001</v>
      </c>
      <c r="AH322" s="165">
        <f>+AG327</f>
        <v>1231.3580000000002</v>
      </c>
      <c r="AI322" s="165">
        <f>+AH327</f>
        <v>1248.6690000000001</v>
      </c>
      <c r="AJ322" s="165">
        <f>+AG327</f>
        <v>1231.3580000000002</v>
      </c>
      <c r="AK322" s="165">
        <f>+AJ327</f>
        <v>1264.3680000000004</v>
      </c>
      <c r="AL322" s="165">
        <f>+AK327</f>
        <v>1274.5930000000003</v>
      </c>
      <c r="AM322" s="428">
        <f>+AJ327</f>
        <v>1264.3680000000004</v>
      </c>
      <c r="AN322" s="577">
        <f>+AM327</f>
        <v>1390.0520000000004</v>
      </c>
      <c r="AO322" s="165">
        <f>+AN327</f>
        <v>1380.5750000000003</v>
      </c>
      <c r="AP322" s="165">
        <f>+AM327</f>
        <v>1390.0520000000004</v>
      </c>
      <c r="AQ322" s="165">
        <f>+AP327</f>
        <v>1418.2209266329194</v>
      </c>
      <c r="AR322" s="165">
        <f>+AQ327</f>
        <v>1451.684037364711</v>
      </c>
      <c r="AS322" s="165">
        <f>+AP327</f>
        <v>1418.2209266329194</v>
      </c>
      <c r="AT322" s="165">
        <f>+AS327</f>
        <v>1487.4295036638566</v>
      </c>
      <c r="AU322" s="165">
        <f>+AT327</f>
        <v>1520.4085133857686</v>
      </c>
      <c r="AV322" s="165">
        <f>+AS327</f>
        <v>1487.4295036638566</v>
      </c>
      <c r="AW322" s="165">
        <f>+AV327</f>
        <v>1559.5098755780482</v>
      </c>
      <c r="AX322" s="165">
        <f>+AW327</f>
        <v>1588.7571750647087</v>
      </c>
      <c r="AY322" s="165">
        <f>+AV327</f>
        <v>1559.5098755780482</v>
      </c>
      <c r="AZ322" s="165">
        <f>+AY327</f>
        <v>1629.7063798339379</v>
      </c>
      <c r="BA322" s="165">
        <f>+AZ327</f>
        <v>1664.3003557288469</v>
      </c>
      <c r="BB322" s="165">
        <f>+AY327</f>
        <v>1629.7063798339379</v>
      </c>
    </row>
    <row r="323" spans="1:54">
      <c r="B323" s="7" t="s">
        <v>237</v>
      </c>
      <c r="C323" s="73" t="s">
        <v>269</v>
      </c>
      <c r="D323" s="30"/>
      <c r="E323" s="30"/>
      <c r="F323" s="30"/>
      <c r="G323" s="30"/>
      <c r="H323" s="30"/>
      <c r="I323" s="30"/>
      <c r="J323" s="30"/>
      <c r="K323" s="30"/>
      <c r="L323" s="165"/>
      <c r="M323" s="165"/>
      <c r="N323" s="165"/>
      <c r="O323" s="165"/>
      <c r="P323" s="165"/>
      <c r="Q323" s="165"/>
      <c r="R323" s="165"/>
      <c r="S323" s="165"/>
      <c r="T323" s="165"/>
      <c r="U323" s="165"/>
      <c r="V323" s="165">
        <f>+V221-U221</f>
        <v>0</v>
      </c>
      <c r="W323" s="165">
        <f>+W221-V221</f>
        <v>1738.067</v>
      </c>
      <c r="X323" s="165">
        <f>+X221-U221</f>
        <v>1738.067</v>
      </c>
      <c r="Y323" s="165">
        <f>+Y221-X221</f>
        <v>0</v>
      </c>
      <c r="Z323" s="165">
        <f>+Z221-Y221</f>
        <v>0</v>
      </c>
      <c r="AA323" s="394">
        <f>+AA221-X221</f>
        <v>0</v>
      </c>
      <c r="AB323" s="165">
        <f>+AB221-AA221</f>
        <v>1.5199999999999818</v>
      </c>
      <c r="AC323" s="165">
        <f>+AC221-AB221</f>
        <v>-0.74099999999998545</v>
      </c>
      <c r="AD323" s="165">
        <f>+AD221-AA221</f>
        <v>0.77899999999999636</v>
      </c>
      <c r="AE323" s="165">
        <f>+AE221-AD221</f>
        <v>2.5289999999999964</v>
      </c>
      <c r="AF323" s="165">
        <f>+AF221-AE221</f>
        <v>0.70299999999997453</v>
      </c>
      <c r="AG323" s="165">
        <f>+AG221-AD221</f>
        <v>3.2319999999999709</v>
      </c>
      <c r="AH323" s="165">
        <f>+AH221-AG221</f>
        <v>3.4059999999999491</v>
      </c>
      <c r="AI323" s="165">
        <f>+AI221-AH221</f>
        <v>-8.2069999999998799</v>
      </c>
      <c r="AJ323" s="165">
        <f>+AJ221-AG221</f>
        <v>-4.8009999999999309</v>
      </c>
      <c r="AK323" s="165">
        <f>+AK221-AJ221</f>
        <v>-9.4349999999999454</v>
      </c>
      <c r="AL323" s="165">
        <f>+AL221-AK221</f>
        <v>-11.769000000000005</v>
      </c>
      <c r="AM323" s="428">
        <f>+AM221-AJ221</f>
        <v>-21.203999999999951</v>
      </c>
      <c r="AN323" s="577">
        <f>+AN221-AM221</f>
        <v>-13.996000000000095</v>
      </c>
      <c r="AO323" s="165">
        <f>+AO221-AN221</f>
        <v>-15.861895300000015</v>
      </c>
      <c r="AP323" s="165">
        <f>+AP221-AM221</f>
        <v>-29.857895300000109</v>
      </c>
      <c r="AQ323" s="165">
        <f>+AQ221-AP221</f>
        <v>-19.832969012901458</v>
      </c>
      <c r="AR323" s="165">
        <f>+AR221-AQ221</f>
        <v>-23.735615933695726</v>
      </c>
      <c r="AS323" s="165">
        <f>+AS221-AP221</f>
        <v>-43.568584946597184</v>
      </c>
      <c r="AT323" s="165">
        <f>+AT221-AS221</f>
        <v>-23.807776080297799</v>
      </c>
      <c r="AU323" s="165">
        <f>+AU221-AT221</f>
        <v>-26.171248537598785</v>
      </c>
      <c r="AV323" s="165">
        <f>+AV221-AS221</f>
        <v>-49.979024617896584</v>
      </c>
      <c r="AW323" s="165">
        <f>+AW221-AV221</f>
        <v>-27.994671213028369</v>
      </c>
      <c r="AX323" s="165">
        <f>+AX221-AW221</f>
        <v>-27.692919203648444</v>
      </c>
      <c r="AY323" s="165">
        <f>+AY221-AV221</f>
        <v>-55.68759041667704</v>
      </c>
      <c r="AZ323" s="165">
        <f>+AZ221-AY221</f>
        <v>-29.497170983583146</v>
      </c>
      <c r="BA323" s="165">
        <f>+BA221-AZ221</f>
        <v>-30.411642823657075</v>
      </c>
      <c r="BB323" s="165">
        <f>+BB221-AY221</f>
        <v>-59.908813807240222</v>
      </c>
    </row>
    <row r="324" spans="1:54">
      <c r="B324" s="7" t="s">
        <v>238</v>
      </c>
      <c r="C324" s="73" t="s">
        <v>269</v>
      </c>
      <c r="D324" s="30"/>
      <c r="E324" s="30"/>
      <c r="F324" s="30"/>
      <c r="G324" s="30"/>
      <c r="H324" s="30"/>
      <c r="I324" s="30"/>
      <c r="J324" s="30"/>
      <c r="K324" s="30"/>
      <c r="L324" s="165"/>
      <c r="M324" s="165"/>
      <c r="N324" s="165"/>
      <c r="O324" s="165"/>
      <c r="P324" s="165"/>
      <c r="Q324" s="165"/>
      <c r="R324" s="165"/>
      <c r="S324" s="165"/>
      <c r="T324" s="165"/>
      <c r="U324" s="165"/>
      <c r="V324" s="165">
        <f t="shared" ref="V324:AJ324" si="626">+V74</f>
        <v>34.295000000000002</v>
      </c>
      <c r="W324" s="165">
        <f t="shared" si="626"/>
        <v>25.701999999999998</v>
      </c>
      <c r="X324" s="165">
        <f t="shared" si="626"/>
        <v>59.997</v>
      </c>
      <c r="Y324" s="165">
        <f t="shared" ref="Y324:AD324" si="627">+Y74</f>
        <v>65.912999999999997</v>
      </c>
      <c r="Z324" s="165">
        <f t="shared" si="627"/>
        <v>74.970000000000013</v>
      </c>
      <c r="AA324" s="394">
        <f t="shared" si="627"/>
        <v>140.88300000000001</v>
      </c>
      <c r="AB324" s="165">
        <f t="shared" si="627"/>
        <v>63.7</v>
      </c>
      <c r="AC324" s="165">
        <f t="shared" si="627"/>
        <v>73.743000000000009</v>
      </c>
      <c r="AD324" s="165">
        <f t="shared" si="627"/>
        <v>137.44300000000001</v>
      </c>
      <c r="AE324" s="165">
        <f t="shared" ref="AE324:AG324" si="628">+AE74</f>
        <v>66.622</v>
      </c>
      <c r="AF324" s="165">
        <f t="shared" si="628"/>
        <v>73.028000000000006</v>
      </c>
      <c r="AG324" s="165">
        <f t="shared" si="628"/>
        <v>139.65</v>
      </c>
      <c r="AH324" s="165">
        <f t="shared" si="626"/>
        <v>51.027000000000001</v>
      </c>
      <c r="AI324" s="165">
        <f t="shared" si="626"/>
        <v>59.117999999999995</v>
      </c>
      <c r="AJ324" s="165">
        <f t="shared" si="626"/>
        <v>110.145</v>
      </c>
      <c r="AK324" s="165">
        <f t="shared" ref="AK324:AM324" si="629">+AK74</f>
        <v>67.191999999999993</v>
      </c>
      <c r="AL324" s="165">
        <f t="shared" si="629"/>
        <v>57.802000000000007</v>
      </c>
      <c r="AM324" s="428">
        <f t="shared" si="629"/>
        <v>124.994</v>
      </c>
      <c r="AN324" s="577">
        <f t="shared" ref="AN324" si="630">+AN74</f>
        <v>43.7</v>
      </c>
      <c r="AO324" s="165">
        <f t="shared" ref="AO324:BB324" si="631">+AO74</f>
        <v>69.390717232919215</v>
      </c>
      <c r="AP324" s="165">
        <f t="shared" si="631"/>
        <v>113.09071723291922</v>
      </c>
      <c r="AQ324" s="165">
        <f t="shared" si="631"/>
        <v>73.129048757594603</v>
      </c>
      <c r="AR324" s="165">
        <f t="shared" si="631"/>
        <v>83.216698166536929</v>
      </c>
      <c r="AS324" s="165">
        <f t="shared" si="631"/>
        <v>156.34574692413153</v>
      </c>
      <c r="AT324" s="165">
        <f t="shared" si="631"/>
        <v>80.594561882507605</v>
      </c>
      <c r="AU324" s="165">
        <f t="shared" si="631"/>
        <v>91.443859267477194</v>
      </c>
      <c r="AV324" s="165">
        <f t="shared" si="631"/>
        <v>172.0384211499848</v>
      </c>
      <c r="AW324" s="165">
        <f t="shared" si="631"/>
        <v>85.236641912717133</v>
      </c>
      <c r="AX324" s="165">
        <f t="shared" si="631"/>
        <v>96.33504317652671</v>
      </c>
      <c r="AY324" s="165">
        <f t="shared" si="631"/>
        <v>181.57168508924383</v>
      </c>
      <c r="AZ324" s="165">
        <f t="shared" si="631"/>
        <v>93.588317862075272</v>
      </c>
      <c r="BA324" s="165">
        <f t="shared" si="631"/>
        <v>106.17352546862797</v>
      </c>
      <c r="BB324" s="165">
        <f t="shared" si="631"/>
        <v>199.76184333070324</v>
      </c>
    </row>
    <row r="325" spans="1:54">
      <c r="B325" s="7" t="s">
        <v>178</v>
      </c>
      <c r="C325" s="73" t="s">
        <v>269</v>
      </c>
      <c r="D325" s="30"/>
      <c r="E325" s="30"/>
      <c r="F325" s="30"/>
      <c r="G325" s="30"/>
      <c r="H325" s="30"/>
      <c r="I325" s="30"/>
      <c r="J325" s="30"/>
      <c r="K325" s="30"/>
      <c r="L325" s="165"/>
      <c r="M325" s="165"/>
      <c r="N325" s="165"/>
      <c r="O325" s="165"/>
      <c r="P325" s="165"/>
      <c r="Q325" s="165"/>
      <c r="R325" s="165"/>
      <c r="S325" s="165"/>
      <c r="T325" s="165"/>
      <c r="U325" s="165"/>
      <c r="V325" s="165">
        <f t="shared" ref="V325:AJ325" si="632">V132</f>
        <v>0</v>
      </c>
      <c r="W325" s="165">
        <f t="shared" si="632"/>
        <v>0</v>
      </c>
      <c r="X325" s="165">
        <f t="shared" si="632"/>
        <v>-26.251999999999999</v>
      </c>
      <c r="Y325" s="165">
        <f t="shared" ref="Y325:AD325" si="633">Y132</f>
        <v>-39.97</v>
      </c>
      <c r="Z325" s="165">
        <f t="shared" si="633"/>
        <v>-36.048000000000002</v>
      </c>
      <c r="AA325" s="394">
        <f t="shared" si="633"/>
        <v>-76.018000000000001</v>
      </c>
      <c r="AB325" s="165">
        <f t="shared" si="633"/>
        <v>-40.353999999999999</v>
      </c>
      <c r="AC325" s="165">
        <f t="shared" si="633"/>
        <v>-36.418000000000006</v>
      </c>
      <c r="AD325" s="165">
        <f t="shared" si="633"/>
        <v>-76.772000000000006</v>
      </c>
      <c r="AE325" s="165">
        <f t="shared" ref="AE325:AG325" si="634">AE132</f>
        <v>-39.249000000000002</v>
      </c>
      <c r="AF325" s="165">
        <f t="shared" si="634"/>
        <v>-35.298999999999999</v>
      </c>
      <c r="AG325" s="165">
        <f t="shared" si="634"/>
        <v>-74.548000000000002</v>
      </c>
      <c r="AH325" s="165">
        <f t="shared" si="632"/>
        <v>-39.265999999999998</v>
      </c>
      <c r="AI325" s="165">
        <f t="shared" si="632"/>
        <v>-17.697000000000003</v>
      </c>
      <c r="AJ325" s="165">
        <f t="shared" si="632"/>
        <v>-56.963000000000001</v>
      </c>
      <c r="AK325" s="165">
        <f t="shared" ref="AK325:AM325" si="635">AK132</f>
        <v>-19.553999999999998</v>
      </c>
      <c r="AL325" s="165">
        <f t="shared" si="635"/>
        <v>-19.583000000000002</v>
      </c>
      <c r="AM325" s="428">
        <f t="shared" si="635"/>
        <v>-39.137</v>
      </c>
      <c r="AN325" s="577">
        <f t="shared" ref="AN325" si="636">AN132</f>
        <v>-19.338000000000001</v>
      </c>
      <c r="AO325" s="165">
        <f t="shared" ref="AO325:BB325" si="637">AO132</f>
        <v>-15.8618953</v>
      </c>
      <c r="AP325" s="165">
        <f t="shared" si="637"/>
        <v>-35.199895300000001</v>
      </c>
      <c r="AQ325" s="165">
        <f t="shared" si="637"/>
        <v>-19.832969012901479</v>
      </c>
      <c r="AR325" s="165">
        <f t="shared" si="637"/>
        <v>-23.735615933695776</v>
      </c>
      <c r="AS325" s="165">
        <f t="shared" si="637"/>
        <v>-43.568584946597255</v>
      </c>
      <c r="AT325" s="165">
        <f t="shared" si="637"/>
        <v>-23.807776080297781</v>
      </c>
      <c r="AU325" s="165">
        <f t="shared" si="637"/>
        <v>-26.171248537598732</v>
      </c>
      <c r="AV325" s="165">
        <f t="shared" si="637"/>
        <v>-49.979024617896513</v>
      </c>
      <c r="AW325" s="165">
        <f t="shared" si="637"/>
        <v>-27.994671213028447</v>
      </c>
      <c r="AX325" s="165">
        <f t="shared" si="637"/>
        <v>-27.692919203648554</v>
      </c>
      <c r="AY325" s="165">
        <f t="shared" si="637"/>
        <v>-55.687590416676997</v>
      </c>
      <c r="AZ325" s="165">
        <f t="shared" si="637"/>
        <v>-29.49717098358305</v>
      </c>
      <c r="BA325" s="165">
        <f t="shared" si="637"/>
        <v>-30.411642823657104</v>
      </c>
      <c r="BB325" s="165">
        <f t="shared" si="637"/>
        <v>-59.908813807240151</v>
      </c>
    </row>
    <row r="326" spans="1:54">
      <c r="B326" s="7" t="s">
        <v>239</v>
      </c>
      <c r="C326" s="73" t="s">
        <v>269</v>
      </c>
      <c r="D326" s="30"/>
      <c r="E326" s="30"/>
      <c r="F326" s="30"/>
      <c r="G326" s="30"/>
      <c r="H326" s="30"/>
      <c r="I326" s="30"/>
      <c r="J326" s="30"/>
      <c r="K326" s="30"/>
      <c r="L326" s="165"/>
      <c r="M326" s="165"/>
      <c r="N326" s="165"/>
      <c r="O326" s="165"/>
      <c r="P326" s="165"/>
      <c r="Q326" s="165"/>
      <c r="R326" s="165"/>
      <c r="S326" s="165"/>
      <c r="T326" s="165"/>
      <c r="U326" s="165"/>
      <c r="V326" s="165">
        <f>+V222-U222+V223-U223-V324-V325</f>
        <v>-34.295000000000002</v>
      </c>
      <c r="W326" s="165">
        <f>+W222-V222+W223-V223-W324-W325</f>
        <v>-788.11300000000006</v>
      </c>
      <c r="X326" s="165">
        <f>+X222-U222+X223-U223-X324-X325</f>
        <v>-796.15600000000006</v>
      </c>
      <c r="Y326" s="165">
        <f>+Y222-X222+Y223-X223-Y324-Y325</f>
        <v>140.89299999999997</v>
      </c>
      <c r="Z326" s="165">
        <f>+Z222-Y222+Z223-Y223-Z324-Z325</f>
        <v>10.900999999999996</v>
      </c>
      <c r="AA326" s="394">
        <f>+AA222-X222+AA223-X223-AA324-AA325</f>
        <v>151.79399999999998</v>
      </c>
      <c r="AB326" s="165">
        <f>+AB222-AA222+AB223-AA223-AB324-AB325</f>
        <v>-24.912999999999954</v>
      </c>
      <c r="AC326" s="165">
        <f>+AC222-AB222+AC223-AB223-AC324-AC325</f>
        <v>-98.269000000000005</v>
      </c>
      <c r="AD326" s="165">
        <f>+AD222-AA222+AD223-AA223-AD324-AD325</f>
        <v>-123.18199999999997</v>
      </c>
      <c r="AE326" s="165">
        <f>+AE222-AD222+AE223-AD223-AE324-AE325</f>
        <v>-9.2190000000000012</v>
      </c>
      <c r="AF326" s="165">
        <f>+AF222-AE222+AF223-AE223-AF324-AF325</f>
        <v>41.659999999999947</v>
      </c>
      <c r="AG326" s="165">
        <f>+AG222-AD222+AG223-AD223-AG324-AG325</f>
        <v>32.440999999999946</v>
      </c>
      <c r="AH326" s="165">
        <f>+AH222-AG222+AH223-AG223-AH324-AH325</f>
        <v>2.1440000000000268</v>
      </c>
      <c r="AI326" s="165">
        <f>+AI222-AH222+AI223-AH223-AI324-AI325</f>
        <v>-17.514999999999986</v>
      </c>
      <c r="AJ326" s="165">
        <f>+AJ222-AG222+AJ223-AG223-AJ324-AJ325</f>
        <v>-15.37099999999996</v>
      </c>
      <c r="AK326" s="165">
        <f>+AK222-AJ222+AK223-AJ223-AK324-AK325</f>
        <v>-27.97799999999997</v>
      </c>
      <c r="AL326" s="165">
        <f>+AL222-AK222+AL223-AK223-AL324-AL325</f>
        <v>89.009</v>
      </c>
      <c r="AM326" s="428">
        <f>+AM222-AJ222+AM223-AJ223-AM324-AM325</f>
        <v>61.030999999999921</v>
      </c>
      <c r="AN326" s="577">
        <f>+AN222-AM222+AN223-AM223-AN324-AN325</f>
        <v>-19.843000000000053</v>
      </c>
      <c r="AO326" s="165">
        <f>+AO222-AN222+AO223-AN223-AO324-AO325</f>
        <v>-2.8421709430404007E-14</v>
      </c>
      <c r="AP326" s="165">
        <f>+AP222-AM222+AP223-AM223-AP324-AP325</f>
        <v>-19.86400000000004</v>
      </c>
      <c r="AQ326" s="165">
        <f>+AQ222-AP222+AQ223-AP223-AQ324-AQ325</f>
        <v>7.815970093361102E-14</v>
      </c>
      <c r="AR326" s="165">
        <f>+AR222-AQ222+AR223-AQ223-AR324-AR325</f>
        <v>7.815970093361102E-14</v>
      </c>
      <c r="AS326" s="165">
        <f>+AS222-AP222+AS223-AP223-AS324-AS325</f>
        <v>-7.1054273576010019E-14</v>
      </c>
      <c r="AT326" s="165">
        <f>+AT222-AS222+AT223-AS223-AT324-AT325</f>
        <v>0</v>
      </c>
      <c r="AU326" s="165">
        <f>+AU222-AT222+AU223-AT223-AU324-AU325</f>
        <v>0</v>
      </c>
      <c r="AV326" s="165">
        <f>+AV222-AS222+AV223-AS223-AV324-AV325</f>
        <v>9.9475983006414026E-14</v>
      </c>
      <c r="AW326" s="165">
        <f>+AW222-AV222+AW223-AV223-AW324-AW325</f>
        <v>-4.9737991503207013E-14</v>
      </c>
      <c r="AX326" s="165">
        <f>+AX222-AW222+AX223-AW223-AX324-AX325</f>
        <v>0</v>
      </c>
      <c r="AY326" s="165">
        <f>+AY222-AV222+AY223-AV223-AY324-AY325</f>
        <v>0</v>
      </c>
      <c r="AZ326" s="165">
        <f>+AZ222-AY222+AZ223-AY223-AZ324-AZ325</f>
        <v>6.0396132539608516E-14</v>
      </c>
      <c r="BA326" s="165">
        <f>+BA222-AZ222+BA223-AZ223-BA324-BA325</f>
        <v>-7.1054273576010019E-14</v>
      </c>
      <c r="BB326" s="165">
        <f>+BB222-AY222+BB223-AY223-BB324-BB325</f>
        <v>0</v>
      </c>
    </row>
    <row r="327" spans="1:54">
      <c r="B327" s="14" t="s">
        <v>240</v>
      </c>
      <c r="C327" s="76" t="s">
        <v>269</v>
      </c>
      <c r="D327" s="28"/>
      <c r="E327" s="28"/>
      <c r="F327" s="28"/>
      <c r="G327" s="28"/>
      <c r="H327" s="28"/>
      <c r="I327" s="28"/>
      <c r="J327" s="28"/>
      <c r="K327" s="28"/>
      <c r="L327" s="166"/>
      <c r="M327" s="166"/>
      <c r="N327" s="166"/>
      <c r="O327" s="166"/>
      <c r="P327" s="166"/>
      <c r="Q327" s="166"/>
      <c r="R327" s="166"/>
      <c r="S327" s="166"/>
      <c r="T327" s="166"/>
      <c r="U327" s="166"/>
      <c r="V327" s="166">
        <f t="shared" ref="V327:AA327" si="638">+SUM(V322:V326)</f>
        <v>0</v>
      </c>
      <c r="W327" s="166">
        <f t="shared" si="638"/>
        <v>975.65599999999995</v>
      </c>
      <c r="X327" s="166">
        <f t="shared" si="638"/>
        <v>975.65600000000006</v>
      </c>
      <c r="Y327" s="166">
        <f t="shared" si="638"/>
        <v>1142.492</v>
      </c>
      <c r="Z327" s="166">
        <f t="shared" si="638"/>
        <v>1192.3150000000001</v>
      </c>
      <c r="AA327" s="466">
        <f t="shared" si="638"/>
        <v>1192.3150000000001</v>
      </c>
      <c r="AB327" s="166">
        <f t="shared" ref="AB327" si="639">+SUM(AB322:AB326)</f>
        <v>1192.268</v>
      </c>
      <c r="AC327" s="166">
        <f t="shared" ref="AC327:AD327" si="640">+SUM(AC322:AC326)</f>
        <v>1130.5829999999999</v>
      </c>
      <c r="AD327" s="166">
        <f t="shared" si="640"/>
        <v>1130.5830000000001</v>
      </c>
      <c r="AE327" s="166">
        <f t="shared" ref="AE327:AG327" si="641">+SUM(AE322:AE326)</f>
        <v>1151.2660000000001</v>
      </c>
      <c r="AF327" s="166">
        <f t="shared" si="641"/>
        <v>1231.3579999999999</v>
      </c>
      <c r="AG327" s="166">
        <f t="shared" si="641"/>
        <v>1231.3580000000002</v>
      </c>
      <c r="AH327" s="166">
        <f t="shared" ref="AH327:AJ327" si="642">+SUM(AH322:AH326)</f>
        <v>1248.6690000000001</v>
      </c>
      <c r="AI327" s="166">
        <f t="shared" si="642"/>
        <v>1264.3680000000004</v>
      </c>
      <c r="AJ327" s="166">
        <f t="shared" si="642"/>
        <v>1264.3680000000004</v>
      </c>
      <c r="AK327" s="166">
        <f t="shared" ref="AK327:AM327" si="643">+SUM(AK322:AK326)</f>
        <v>1274.5930000000003</v>
      </c>
      <c r="AL327" s="166">
        <f t="shared" si="643"/>
        <v>1390.0520000000001</v>
      </c>
      <c r="AM327" s="430">
        <f t="shared" si="643"/>
        <v>1390.0520000000004</v>
      </c>
      <c r="AN327" s="578">
        <f t="shared" ref="AN327" si="644">+SUM(AN322:AN326)</f>
        <v>1380.5750000000003</v>
      </c>
      <c r="AO327" s="166">
        <f t="shared" ref="AO327:BB327" si="645">+SUM(AO322:AO326)</f>
        <v>1418.2419266329196</v>
      </c>
      <c r="AP327" s="166">
        <f t="shared" si="645"/>
        <v>1418.2209266329194</v>
      </c>
      <c r="AQ327" s="166">
        <f t="shared" si="645"/>
        <v>1451.684037364711</v>
      </c>
      <c r="AR327" s="166">
        <f t="shared" si="645"/>
        <v>1487.4295036638564</v>
      </c>
      <c r="AS327" s="166">
        <f t="shared" si="645"/>
        <v>1487.4295036638566</v>
      </c>
      <c r="AT327" s="166">
        <f t="shared" si="645"/>
        <v>1520.4085133857686</v>
      </c>
      <c r="AU327" s="166">
        <f t="shared" si="645"/>
        <v>1559.5098755780482</v>
      </c>
      <c r="AV327" s="166">
        <f t="shared" si="645"/>
        <v>1559.5098755780482</v>
      </c>
      <c r="AW327" s="166">
        <f t="shared" si="645"/>
        <v>1588.7571750647087</v>
      </c>
      <c r="AX327" s="166">
        <f t="shared" si="645"/>
        <v>1629.7063798339384</v>
      </c>
      <c r="AY327" s="166">
        <f t="shared" si="645"/>
        <v>1629.7063798339379</v>
      </c>
      <c r="AZ327" s="166">
        <f t="shared" si="645"/>
        <v>1664.3003557288469</v>
      </c>
      <c r="BA327" s="166">
        <f t="shared" si="645"/>
        <v>1709.6505955501607</v>
      </c>
      <c r="BB327" s="166">
        <f t="shared" si="645"/>
        <v>1709.6505955501607</v>
      </c>
    </row>
    <row r="330" spans="1:54">
      <c r="B330" s="83" t="s">
        <v>438</v>
      </c>
    </row>
    <row r="331" spans="1:54">
      <c r="B331" s="7" t="s">
        <v>439</v>
      </c>
      <c r="I331" s="38"/>
      <c r="J331" s="38"/>
      <c r="K331" s="38"/>
      <c r="L331" s="38"/>
      <c r="M331" s="38"/>
      <c r="N331" s="38"/>
      <c r="O331" s="38"/>
      <c r="P331" s="38"/>
      <c r="Q331" s="38"/>
      <c r="R331" s="38"/>
      <c r="S331" s="38"/>
      <c r="T331" s="38"/>
      <c r="U331" s="38"/>
      <c r="V331" s="38">
        <v>-0.19878628984205271</v>
      </c>
      <c r="W331" s="38">
        <v>-2.547922777815681E-2</v>
      </c>
      <c r="X331" s="38">
        <v>-0.12142650514359954</v>
      </c>
      <c r="Y331" s="38">
        <v>0.10764055742431533</v>
      </c>
      <c r="Z331" s="38">
        <v>0.35597867301342845</v>
      </c>
      <c r="AA331" s="474">
        <v>0.23059815729428412</v>
      </c>
      <c r="AB331" s="38">
        <v>0.18278070447267836</v>
      </c>
      <c r="AC331" s="38">
        <v>-0.1945278554527855</v>
      </c>
      <c r="AD331" s="38">
        <v>-2.3066632243528007E-2</v>
      </c>
      <c r="AE331" s="38">
        <v>-0.22406008471245797</v>
      </c>
      <c r="AF331" s="38">
        <v>-9.7024012989232578E-2</v>
      </c>
      <c r="AG331" s="38">
        <v>-0.16691732213471966</v>
      </c>
      <c r="AH331" s="38">
        <v>-0.10134047653884681</v>
      </c>
      <c r="AI331" s="38">
        <v>-0.13444276199827254</v>
      </c>
      <c r="AJ331" s="38">
        <v>-0.1174796114936959</v>
      </c>
      <c r="AK331" s="38">
        <v>-4.9704427327947776E-2</v>
      </c>
      <c r="AL331" s="38">
        <v>-4.7509742968767643E-3</v>
      </c>
      <c r="AM331" s="408">
        <v>-2.8208490577443901E-2</v>
      </c>
      <c r="AN331" s="586">
        <v>4.4059221351580469E-2</v>
      </c>
      <c r="AO331" s="38">
        <v>0.10000000000000031</v>
      </c>
      <c r="AP331" s="38">
        <v>7.1454800531120855E-2</v>
      </c>
      <c r="AQ331" s="38">
        <v>7.2315784773480329E-2</v>
      </c>
      <c r="AR331" s="38">
        <v>9.9999999999999867E-2</v>
      </c>
      <c r="AS331" s="38">
        <v>8.6234624257216286E-2</v>
      </c>
      <c r="AT331" s="38">
        <v>3.7091388740319475E-2</v>
      </c>
      <c r="AU331" s="38">
        <v>0</v>
      </c>
      <c r="AV331" s="38">
        <v>1.8206564522362578E-2</v>
      </c>
      <c r="AW331" s="38">
        <v>0</v>
      </c>
      <c r="AX331" s="38">
        <v>0</v>
      </c>
      <c r="AY331" s="38">
        <v>0</v>
      </c>
      <c r="AZ331" s="38">
        <v>0</v>
      </c>
      <c r="BA331" s="38">
        <v>1.0000000000000231E-2</v>
      </c>
      <c r="BB331" s="38">
        <v>5.0003909440885508E-3</v>
      </c>
    </row>
    <row r="332" spans="1:54">
      <c r="B332" s="7" t="s">
        <v>440</v>
      </c>
      <c r="I332" s="38"/>
      <c r="J332" s="38"/>
      <c r="K332" s="38"/>
      <c r="L332" s="38"/>
      <c r="M332" s="38"/>
      <c r="N332" s="38"/>
      <c r="O332" s="38"/>
      <c r="P332" s="38"/>
      <c r="Q332" s="38"/>
      <c r="R332" s="38"/>
      <c r="S332" s="38"/>
      <c r="T332" s="38"/>
      <c r="U332" s="38"/>
      <c r="V332" s="38">
        <v>7.8847969782813943E-2</v>
      </c>
      <c r="W332" s="38">
        <v>2.5539818899464883E-3</v>
      </c>
      <c r="X332" s="38">
        <v>4.038394006789181E-2</v>
      </c>
      <c r="Y332" s="38">
        <v>0.22253829321662999</v>
      </c>
      <c r="Z332" s="38">
        <v>0.30754979157017126</v>
      </c>
      <c r="AA332" s="474">
        <v>0.2638388838883885</v>
      </c>
      <c r="AB332" s="38">
        <v>6.4435296223377403E-3</v>
      </c>
      <c r="AC332" s="38">
        <v>9.5642933049948642E-3</v>
      </c>
      <c r="AD332" s="38">
        <v>8.0121071841898761E-3</v>
      </c>
      <c r="AE332" s="38">
        <v>-0.22621376489418465</v>
      </c>
      <c r="AF332" s="38">
        <v>-0.21157894736842109</v>
      </c>
      <c r="AG332" s="38">
        <v>-0.21884659542524076</v>
      </c>
      <c r="AH332" s="38">
        <v>0.14502413238336009</v>
      </c>
      <c r="AI332" s="38">
        <v>0.16221628838451263</v>
      </c>
      <c r="AJ332" s="38">
        <v>0.15375918598078009</v>
      </c>
      <c r="AK332" s="38">
        <v>-2.1477318346045826E-2</v>
      </c>
      <c r="AL332" s="38">
        <v>-6.9117365498755468E-2</v>
      </c>
      <c r="AM332" s="408">
        <v>-4.5859872611464958E-2</v>
      </c>
      <c r="AN332" s="586">
        <v>4.0471794871796973E-3</v>
      </c>
      <c r="AO332" s="38">
        <v>2.0000000000000018E-2</v>
      </c>
      <c r="AP332" s="38">
        <v>1.2012940330697441E-2</v>
      </c>
      <c r="AQ332" s="38">
        <v>2.0000000000000018E-2</v>
      </c>
      <c r="AR332" s="38">
        <v>3.0000000000000027E-2</v>
      </c>
      <c r="AS332" s="38">
        <v>2.5032732999998863E-2</v>
      </c>
      <c r="AT332" s="38">
        <v>3.0000000000000249E-2</v>
      </c>
      <c r="AU332" s="38">
        <v>-4.0000000000000147E-2</v>
      </c>
      <c r="AV332" s="38">
        <v>-5.399849938248491E-3</v>
      </c>
      <c r="AW332" s="38">
        <v>-4.0000000000000147E-2</v>
      </c>
      <c r="AX332" s="38">
        <v>-5.0000000000000044E-2</v>
      </c>
      <c r="AY332" s="38">
        <v>-4.4881194279589032E-2</v>
      </c>
      <c r="AZ332" s="38">
        <v>-5.0000000000000044E-2</v>
      </c>
      <c r="BA332" s="38">
        <v>-6.0000000000000053E-2</v>
      </c>
      <c r="BB332" s="38">
        <v>-5.4855034303415318E-2</v>
      </c>
    </row>
    <row r="333" spans="1:54">
      <c r="B333" s="7" t="s">
        <v>441</v>
      </c>
      <c r="I333" s="38"/>
      <c r="J333" s="38"/>
      <c r="K333" s="38"/>
      <c r="L333" s="38"/>
      <c r="M333" s="38"/>
      <c r="N333" s="38"/>
      <c r="O333" s="38"/>
      <c r="P333" s="38"/>
      <c r="Q333" s="38"/>
      <c r="R333" s="38"/>
      <c r="S333" s="38"/>
      <c r="T333" s="38"/>
      <c r="U333" s="38"/>
      <c r="V333" s="38">
        <v>-3.9983073957402748E-2</v>
      </c>
      <c r="W333" s="38">
        <v>0.27243416061558468</v>
      </c>
      <c r="X333" s="38">
        <v>8.8021269864177132E-2</v>
      </c>
      <c r="Y333" s="38">
        <v>0.28051874271497557</v>
      </c>
      <c r="Z333" s="38">
        <v>0.16676958456657376</v>
      </c>
      <c r="AA333" s="474">
        <v>0.22601380478423017</v>
      </c>
      <c r="AB333" s="38">
        <v>0.13379279747881156</v>
      </c>
      <c r="AC333" s="38">
        <v>0.29602153481157045</v>
      </c>
      <c r="AD333" s="38">
        <v>0.20777124025266103</v>
      </c>
      <c r="AE333" s="38">
        <v>0.37663520506264203</v>
      </c>
      <c r="AF333" s="38">
        <v>4.3046940456660909E-2</v>
      </c>
      <c r="AG333" s="38">
        <v>0.21339929854541184</v>
      </c>
      <c r="AH333" s="38">
        <v>-8.1181480918798954E-2</v>
      </c>
      <c r="AI333" s="38">
        <v>-3.6180768841337918E-2</v>
      </c>
      <c r="AJ333" s="38">
        <v>-6.2252622134391866E-2</v>
      </c>
      <c r="AK333" s="38">
        <v>0.14668985086727404</v>
      </c>
      <c r="AL333" s="38">
        <v>0.11275694225583921</v>
      </c>
      <c r="AM333" s="408">
        <v>0.13201965670408056</v>
      </c>
      <c r="AN333" s="586">
        <v>-0.18669606392974425</v>
      </c>
      <c r="AO333" s="38">
        <v>0.17312320231614065</v>
      </c>
      <c r="AP333" s="38">
        <v>-3.3782668353522949E-2</v>
      </c>
      <c r="AQ333" s="38">
        <v>-0.12764937234971252</v>
      </c>
      <c r="AR333" s="38">
        <v>7.1002585523130657E-2</v>
      </c>
      <c r="AS333" s="38">
        <v>-2.514963100497225E-2</v>
      </c>
      <c r="AT333" s="38">
        <v>0.19756326903106003</v>
      </c>
      <c r="AU333" s="38">
        <v>-0.12551858550957928</v>
      </c>
      <c r="AV333" s="38">
        <v>1.4418277827319415E-2</v>
      </c>
      <c r="AW333" s="38">
        <v>0.13657417239189384</v>
      </c>
      <c r="AX333" s="38">
        <v>-8.4205934081621026E-2</v>
      </c>
      <c r="AY333" s="38">
        <v>2.8685478612729298E-2</v>
      </c>
      <c r="AZ333" s="38">
        <v>-0.12551858550957906</v>
      </c>
      <c r="BA333" s="38">
        <v>0.23581603545815644</v>
      </c>
      <c r="BB333" s="38">
        <v>3.1677159978760638E-2</v>
      </c>
    </row>
    <row r="335" spans="1:54">
      <c r="A335" s="63"/>
      <c r="B335" s="63"/>
      <c r="C335" s="63"/>
      <c r="D335" s="63"/>
      <c r="E335" s="63"/>
      <c r="F335" s="63"/>
      <c r="G335" s="63"/>
      <c r="H335" s="63"/>
      <c r="I335" s="63"/>
      <c r="J335" s="63"/>
      <c r="K335" s="63"/>
      <c r="L335" s="63"/>
      <c r="M335" s="63"/>
      <c r="N335" s="63"/>
      <c r="O335" s="63"/>
      <c r="P335" s="63"/>
      <c r="Q335" s="63"/>
      <c r="R335" s="63"/>
      <c r="S335" s="63"/>
      <c r="T335" s="63"/>
      <c r="U335" s="63"/>
      <c r="V335" s="63"/>
      <c r="W335" s="63"/>
      <c r="X335" s="63"/>
      <c r="Y335" s="63"/>
      <c r="Z335" s="63"/>
      <c r="AA335" s="491"/>
      <c r="AB335" s="63"/>
      <c r="AC335" s="63"/>
      <c r="AD335" s="63"/>
      <c r="AE335" s="63"/>
      <c r="AF335" s="63"/>
      <c r="AG335" s="63"/>
      <c r="AH335" s="63"/>
      <c r="AI335" s="63"/>
      <c r="AJ335" s="63"/>
      <c r="AK335" s="63"/>
      <c r="AL335" s="63"/>
      <c r="AM335" s="399"/>
      <c r="AN335" s="626"/>
      <c r="AO335" s="63"/>
      <c r="AP335" s="63"/>
      <c r="AQ335" s="63"/>
      <c r="AR335" s="63"/>
      <c r="AS335" s="63"/>
      <c r="AT335" s="63"/>
      <c r="AU335" s="63"/>
      <c r="AV335" s="63"/>
      <c r="AW335" s="63"/>
      <c r="AX335" s="63"/>
      <c r="AY335" s="63"/>
      <c r="AZ335" s="63"/>
      <c r="BA335" s="63"/>
      <c r="BB335" s="63"/>
    </row>
  </sheetData>
  <mergeCells count="2">
    <mergeCell ref="B1:B2"/>
    <mergeCell ref="C1:F1"/>
  </mergeCells>
  <phoneticPr fontId="12" type="noConversion"/>
  <conditionalFormatting sqref="I218:J218 I201:J201 F218:G218 F201:G201 L218:O218 L201:O201 Q218:R218 Q201:R201 T201 T218 D218 D201 V218 V201 AB218 AB201 AH201 AH218 AE218 AE201 AK201 AK218 AN201 AN218">
    <cfRule type="containsText" dxfId="21" priority="44" stopIfTrue="1" operator="containsText" text="ERROR">
      <formula>NOT(ISERROR(SEARCH("ERROR",D201)))</formula>
    </cfRule>
  </conditionalFormatting>
  <conditionalFormatting sqref="F227 I227 L227 O227 R227 U227">
    <cfRule type="containsText" dxfId="20" priority="39" stopIfTrue="1" operator="containsText" text="ERROR">
      <formula>NOT(ISERROR(SEARCH("ERROR",F227)))</formula>
    </cfRule>
  </conditionalFormatting>
  <conditionalFormatting sqref="K218 K201">
    <cfRule type="containsText" dxfId="19" priority="36" stopIfTrue="1" operator="containsText" text="ERROR">
      <formula>NOT(ISERROR(SEARCH("ERROR",K201)))</formula>
    </cfRule>
  </conditionalFormatting>
  <conditionalFormatting sqref="H218 H201">
    <cfRule type="containsText" dxfId="18" priority="35" stopIfTrue="1" operator="containsText" text="ERROR">
      <formula>NOT(ISERROR(SEARCH("ERROR",H201)))</formula>
    </cfRule>
  </conditionalFormatting>
  <conditionalFormatting sqref="E218 E201">
    <cfRule type="containsText" dxfId="17" priority="34" stopIfTrue="1" operator="containsText" text="ERROR">
      <formula>NOT(ISERROR(SEARCH("ERROR",E201)))</formula>
    </cfRule>
  </conditionalFormatting>
  <conditionalFormatting sqref="P218 P201">
    <cfRule type="containsText" dxfId="16" priority="31" stopIfTrue="1" operator="containsText" text="ERROR">
      <formula>NOT(ISERROR(SEARCH("ERROR",P201)))</formula>
    </cfRule>
  </conditionalFormatting>
  <conditionalFormatting sqref="S218 S201">
    <cfRule type="containsText" dxfId="15" priority="27" stopIfTrue="1" operator="containsText" text="ERROR">
      <formula>NOT(ISERROR(SEARCH("ERROR",S201)))</formula>
    </cfRule>
  </conditionalFormatting>
  <conditionalFormatting sqref="C2">
    <cfRule type="expression" dxfId="14" priority="122">
      <formula>SUM($D$226:$AM$226)&lt;&gt;0</formula>
    </cfRule>
  </conditionalFormatting>
  <conditionalFormatting sqref="C1">
    <cfRule type="expression" dxfId="13" priority="123">
      <formula>ROUND(SUM($D$161:$AM$161,$D$170:$AM$170),2)&lt;&gt;0</formula>
    </cfRule>
  </conditionalFormatting>
  <conditionalFormatting sqref="U218 U201">
    <cfRule type="containsText" dxfId="12" priority="21" stopIfTrue="1" operator="containsText" text="ERROR">
      <formula>NOT(ISERROR(SEARCH("ERROR",U201)))</formula>
    </cfRule>
  </conditionalFormatting>
  <conditionalFormatting sqref="W201 W218">
    <cfRule type="containsText" dxfId="11" priority="15" stopIfTrue="1" operator="containsText" text="ERROR">
      <formula>NOT(ISERROR(SEARCH("ERROR",W201)))</formula>
    </cfRule>
  </conditionalFormatting>
  <conditionalFormatting sqref="X227">
    <cfRule type="containsText" dxfId="10" priority="12" stopIfTrue="1" operator="containsText" text="ERROR">
      <formula>NOT(ISERROR(SEARCH("ERROR",X227)))</formula>
    </cfRule>
  </conditionalFormatting>
  <conditionalFormatting sqref="X218 X201">
    <cfRule type="containsText" dxfId="9" priority="11" stopIfTrue="1" operator="containsText" text="ERROR">
      <formula>NOT(ISERROR(SEARCH("ERROR",X201)))</formula>
    </cfRule>
  </conditionalFormatting>
  <conditionalFormatting sqref="AO201:BB201 AO218:BB218">
    <cfRule type="containsText" dxfId="8" priority="10" stopIfTrue="1" operator="containsText" text="ERROR">
      <formula>NOT(ISERROR(SEARCH("ERROR",AO201)))</formula>
    </cfRule>
  </conditionalFormatting>
  <conditionalFormatting sqref="AP227 AS227 AV227 AY227 BB227">
    <cfRule type="containsText" dxfId="7" priority="9" stopIfTrue="1" operator="containsText" text="ERROR">
      <formula>NOT(ISERROR(SEARCH("ERROR",AP227)))</formula>
    </cfRule>
  </conditionalFormatting>
  <conditionalFormatting sqref="Z201 Z218">
    <cfRule type="containsText" dxfId="6" priority="8" stopIfTrue="1" operator="containsText" text="ERROR">
      <formula>NOT(ISERROR(SEARCH("ERROR",Z201)))</formula>
    </cfRule>
  </conditionalFormatting>
  <conditionalFormatting sqref="Y218 Y201">
    <cfRule type="containsText" dxfId="5" priority="7" stopIfTrue="1" operator="containsText" text="ERROR">
      <formula>NOT(ISERROR(SEARCH("ERROR",Y201)))</formula>
    </cfRule>
  </conditionalFormatting>
  <conditionalFormatting sqref="AA227">
    <cfRule type="containsText" dxfId="4" priority="6" stopIfTrue="1" operator="containsText" text="ERROR">
      <formula>NOT(ISERROR(SEARCH("ERROR",AA227)))</formula>
    </cfRule>
  </conditionalFormatting>
  <conditionalFormatting sqref="AA218 AA201">
    <cfRule type="containsText" dxfId="3" priority="5" stopIfTrue="1" operator="containsText" text="ERROR">
      <formula>NOT(ISERROR(SEARCH("ERROR",AA201)))</formula>
    </cfRule>
  </conditionalFormatting>
  <conditionalFormatting sqref="AC201 AC218 AF201 AF218 AI201 AI218 AL201 AL218">
    <cfRule type="containsText" dxfId="2" priority="3" stopIfTrue="1" operator="containsText" text="ERROR">
      <formula>NOT(ISERROR(SEARCH("ERROR",AC201)))</formula>
    </cfRule>
  </conditionalFormatting>
  <conditionalFormatting sqref="AD227 AG227 AJ227 AM227">
    <cfRule type="containsText" dxfId="1" priority="2" stopIfTrue="1" operator="containsText" text="ERROR">
      <formula>NOT(ISERROR(SEARCH("ERROR",AD227)))</formula>
    </cfRule>
  </conditionalFormatting>
  <conditionalFormatting sqref="AD218 AD201 AG218 AG201 AJ218 AJ201 AM218 AM201">
    <cfRule type="containsText" dxfId="0" priority="1" stopIfTrue="1" operator="containsText" text="ERROR">
      <formula>NOT(ISERROR(SEARCH("ERROR",AD201)))</formula>
    </cfRule>
  </conditionalFormatting>
  <pageMargins left="0.39370078740157499" right="0.39370078740157499" top="0.39370078740157499" bottom="0.39370078740157499" header="0.39370078740157499" footer="0.39370078740157499"/>
  <pageSetup paperSize="9" scale="91" fitToHeight="0" orientation="portrait" r:id="rId1"/>
  <headerFooter alignWithMargins="0">
    <oddHeader>&amp;A</oddHeader>
    <oddFooter>Page &amp;P of &amp;N</oddFooter>
  </headerFooter>
  <rowBreaks count="3" manualBreakCount="3">
    <brk id="108" min="11" max="32" man="1"/>
    <brk id="183" min="11" max="32" man="1"/>
    <brk id="258" min="11" max="32"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3:BM38"/>
  <sheetViews>
    <sheetView zoomScaleNormal="100" workbookViewId="0">
      <pane xSplit="5" ySplit="3" topLeftCell="AL4" activePane="bottomRight" state="frozen"/>
      <selection activeCell="X334" sqref="X334"/>
      <selection pane="topRight" activeCell="X334" sqref="X334"/>
      <selection pane="bottomLeft" activeCell="X334" sqref="X334"/>
      <selection pane="bottomRight" activeCell="AU18" sqref="AU18"/>
    </sheetView>
  </sheetViews>
  <sheetFormatPr defaultColWidth="9.109375" defaultRowHeight="10.199999999999999" outlineLevelCol="1"/>
  <cols>
    <col min="1" max="1" width="2.44140625" style="7" customWidth="1"/>
    <col min="2" max="2" width="19.44140625" style="7" customWidth="1"/>
    <col min="3" max="3" width="7.109375" style="118" customWidth="1"/>
    <col min="4" max="4" width="9.5546875" style="7" hidden="1" customWidth="1" outlineLevel="1"/>
    <col min="5" max="5" width="8.88671875" style="7" hidden="1" customWidth="1" outlineLevel="1"/>
    <col min="6" max="6" width="8.6640625" style="7" customWidth="1" collapsed="1"/>
    <col min="7" max="8" width="8.6640625" style="7" hidden="1" customWidth="1" outlineLevel="1"/>
    <col min="9" max="9" width="8.6640625" style="7" customWidth="1" collapsed="1"/>
    <col min="10" max="11" width="8.6640625" style="7" hidden="1" customWidth="1" outlineLevel="1"/>
    <col min="12" max="12" width="8.6640625" style="7" customWidth="1" collapsed="1"/>
    <col min="13" max="14" width="8.6640625" style="7" hidden="1" customWidth="1" outlineLevel="1"/>
    <col min="15" max="15" width="8.6640625" style="7" customWidth="1" collapsed="1"/>
    <col min="16" max="17" width="8.6640625" style="7" hidden="1" customWidth="1" outlineLevel="1"/>
    <col min="18" max="18" width="8.6640625" style="7" customWidth="1" collapsed="1"/>
    <col min="19" max="20" width="8.6640625" style="7" hidden="1" customWidth="1" outlineLevel="1"/>
    <col min="21" max="21" width="8.6640625" style="7" customWidth="1" collapsed="1"/>
    <col min="22" max="23" width="8.6640625" style="7" customWidth="1" outlineLevel="1"/>
    <col min="24" max="24" width="8.6640625" style="7" customWidth="1"/>
    <col min="25" max="26" width="8.6640625" style="7" customWidth="1" outlineLevel="1"/>
    <col min="27" max="27" width="8.6640625" style="7" customWidth="1"/>
    <col min="28" max="29" width="8.6640625" style="7" customWidth="1" outlineLevel="1"/>
    <col min="30" max="30" width="8.6640625" style="7" customWidth="1"/>
    <col min="31" max="31" width="6.109375" style="7" customWidth="1" outlineLevel="1"/>
    <col min="32" max="32" width="8.6640625" style="7" customWidth="1" outlineLevel="1"/>
    <col min="33" max="33" width="8.6640625" style="7" customWidth="1"/>
    <col min="34" max="35" width="8.6640625" style="7" customWidth="1" outlineLevel="1"/>
    <col min="36" max="36" width="8.6640625" style="7" customWidth="1"/>
    <col min="37" max="38" width="8.6640625" style="7" customWidth="1" outlineLevel="1"/>
    <col min="39" max="39" width="8.6640625" style="61" customWidth="1"/>
    <col min="40" max="40" width="8.6640625" style="61" customWidth="1" outlineLevel="1"/>
    <col min="41" max="41" width="8.6640625" style="7" customWidth="1" outlineLevel="1"/>
    <col min="42" max="42" width="8.6640625" style="7" customWidth="1"/>
    <col min="43" max="44" width="8.6640625" style="7" customWidth="1" outlineLevel="1"/>
    <col min="45" max="45" width="8.6640625" style="7" customWidth="1"/>
    <col min="46" max="47" width="8.6640625" style="7" customWidth="1" outlineLevel="1"/>
    <col min="48" max="48" width="8.6640625" style="7" customWidth="1"/>
    <col min="49" max="50" width="8.6640625" style="7" customWidth="1" outlineLevel="1"/>
    <col min="51" max="51" width="8.6640625" style="7" customWidth="1"/>
    <col min="52" max="53" width="8.6640625" style="7" customWidth="1" outlineLevel="1"/>
    <col min="54" max="54" width="8.6640625" style="7" customWidth="1"/>
    <col min="55" max="16384" width="9.109375" style="7"/>
  </cols>
  <sheetData>
    <row r="3" spans="1:54" s="116" customFormat="1">
      <c r="A3" s="15"/>
      <c r="B3" s="16" t="str">
        <f>'BS, CF and P&amp;L'!B6</f>
        <v>Year Ending June 30</v>
      </c>
      <c r="C3" s="62"/>
      <c r="D3" s="15" t="str">
        <f>'BS, CF and P&amp;L'!D6</f>
        <v>1H14A</v>
      </c>
      <c r="E3" s="15" t="str">
        <f>'BS, CF and P&amp;L'!E6</f>
        <v>2H14A</v>
      </c>
      <c r="F3" s="15" t="str">
        <f>'BS, CF and P&amp;L'!F6</f>
        <v/>
      </c>
      <c r="G3" s="15" t="str">
        <f>'BS, CF and P&amp;L'!G6</f>
        <v/>
      </c>
      <c r="H3" s="15" t="str">
        <f>'BS, CF and P&amp;L'!H6</f>
        <v/>
      </c>
      <c r="I3" s="15" t="str">
        <f>'BS, CF and P&amp;L'!I6</f>
        <v/>
      </c>
      <c r="J3" s="15" t="str">
        <f>'BS, CF and P&amp;L'!J6</f>
        <v/>
      </c>
      <c r="K3" s="15" t="str">
        <f>'BS, CF and P&amp;L'!K6</f>
        <v/>
      </c>
      <c r="L3" s="15" t="str">
        <f>'BS, CF and P&amp;L'!L6</f>
        <v/>
      </c>
      <c r="M3" s="15" t="str">
        <f>'BS, CF and P&amp;L'!M6</f>
        <v/>
      </c>
      <c r="N3" s="15" t="str">
        <f>'BS, CF and P&amp;L'!N6</f>
        <v/>
      </c>
      <c r="O3" s="15" t="str">
        <f>'BS, CF and P&amp;L'!O6</f>
        <v/>
      </c>
      <c r="P3" s="15" t="str">
        <f>'BS, CF and P&amp;L'!P6</f>
        <v/>
      </c>
      <c r="Q3" s="15" t="str">
        <f>'BS, CF and P&amp;L'!Q6</f>
        <v/>
      </c>
      <c r="R3" s="15" t="str">
        <f>'BS, CF and P&amp;L'!R6</f>
        <v/>
      </c>
      <c r="S3" s="15" t="str">
        <f>'BS, CF and P&amp;L'!S6</f>
        <v/>
      </c>
      <c r="T3" s="15" t="str">
        <f>'BS, CF and P&amp;L'!T6</f>
        <v/>
      </c>
      <c r="U3" s="15" t="str">
        <f>'BS, CF and P&amp;L'!U6</f>
        <v/>
      </c>
      <c r="V3" s="15" t="str">
        <f>'BS, CF and P&amp;L'!V6</f>
        <v>1H20A</v>
      </c>
      <c r="W3" s="15" t="str">
        <f>'BS, CF and P&amp;L'!W6</f>
        <v>2H20A</v>
      </c>
      <c r="X3" s="15" t="str">
        <f>'BS, CF and P&amp;L'!X6</f>
        <v>FY20A</v>
      </c>
      <c r="Y3" s="15" t="str">
        <f>'BS, CF and P&amp;L'!Y6</f>
        <v>1H21A</v>
      </c>
      <c r="Z3" s="15" t="str">
        <f>'BS, CF and P&amp;L'!Z6</f>
        <v>2H21A</v>
      </c>
      <c r="AA3" s="15" t="str">
        <f>'BS, CF and P&amp;L'!AA6</f>
        <v>FY21A</v>
      </c>
      <c r="AB3" s="15" t="str">
        <f>'BS, CF and P&amp;L'!AB6</f>
        <v>1H22A</v>
      </c>
      <c r="AC3" s="15" t="str">
        <f>'BS, CF and P&amp;L'!AC6</f>
        <v>2H22A</v>
      </c>
      <c r="AD3" s="15" t="str">
        <f>'BS, CF and P&amp;L'!AD6</f>
        <v>FY22A</v>
      </c>
      <c r="AE3" s="15" t="str">
        <f>'BS, CF and P&amp;L'!AE6</f>
        <v>1H23A</v>
      </c>
      <c r="AF3" s="15" t="str">
        <f>'BS, CF and P&amp;L'!AF6</f>
        <v>2H23A</v>
      </c>
      <c r="AG3" s="15" t="str">
        <f>'BS, CF and P&amp;L'!AG6</f>
        <v>FY23A</v>
      </c>
      <c r="AH3" s="15" t="str">
        <f>'BS, CF and P&amp;L'!AH6</f>
        <v>1H24A</v>
      </c>
      <c r="AI3" s="15" t="str">
        <f>'BS, CF and P&amp;L'!AI6</f>
        <v>2H24A</v>
      </c>
      <c r="AJ3" s="15" t="str">
        <f>'BS, CF and P&amp;L'!AJ6</f>
        <v>FY24A</v>
      </c>
      <c r="AK3" s="15" t="str">
        <f>'BS, CF and P&amp;L'!AK6</f>
        <v>1H25A</v>
      </c>
      <c r="AL3" s="15" t="str">
        <f>'BS, CF and P&amp;L'!AL6</f>
        <v>2H25A</v>
      </c>
      <c r="AM3" s="17" t="str">
        <f>'BS, CF and P&amp;L'!AM6</f>
        <v>FY25A</v>
      </c>
      <c r="AN3" s="17" t="str">
        <f>'BS, CF and P&amp;L'!AN6</f>
        <v>1H26A</v>
      </c>
      <c r="AO3" s="15" t="str">
        <f>'BS, CF and P&amp;L'!AO6</f>
        <v>2H26E</v>
      </c>
      <c r="AP3" s="15" t="str">
        <f>'BS, CF and P&amp;L'!AP6</f>
        <v>FY26E</v>
      </c>
      <c r="AQ3" s="15" t="str">
        <f>'BS, CF and P&amp;L'!AQ6</f>
        <v>1H27E</v>
      </c>
      <c r="AR3" s="15" t="str">
        <f>'BS, CF and P&amp;L'!AR6</f>
        <v>2H27E</v>
      </c>
      <c r="AS3" s="15" t="str">
        <f>'BS, CF and P&amp;L'!AS6</f>
        <v>FY27E</v>
      </c>
      <c r="AT3" s="15" t="str">
        <f>'BS, CF and P&amp;L'!AT6</f>
        <v>1H28E</v>
      </c>
      <c r="AU3" s="15" t="str">
        <f>'BS, CF and P&amp;L'!AU6</f>
        <v>2H28E</v>
      </c>
      <c r="AV3" s="15" t="str">
        <f>'BS, CF and P&amp;L'!AV6</f>
        <v>FY28E</v>
      </c>
      <c r="AW3" s="15" t="str">
        <f>'BS, CF and P&amp;L'!AW6</f>
        <v>1H29E</v>
      </c>
      <c r="AX3" s="15" t="str">
        <f>'BS, CF and P&amp;L'!AX6</f>
        <v>2H29E</v>
      </c>
      <c r="AY3" s="15" t="str">
        <f>'BS, CF and P&amp;L'!AY6</f>
        <v>FY29E</v>
      </c>
      <c r="AZ3" s="15" t="str">
        <f>'BS, CF and P&amp;L'!AZ6</f>
        <v>1H30E</v>
      </c>
      <c r="BA3" s="15" t="str">
        <f>'BS, CF and P&amp;L'!BA6</f>
        <v>2H30E</v>
      </c>
      <c r="BB3" s="15" t="str">
        <f>'BS, CF and P&amp;L'!BB6</f>
        <v>FY30E</v>
      </c>
    </row>
    <row r="5" spans="1:54">
      <c r="B5" s="14" t="s">
        <v>267</v>
      </c>
      <c r="C5" s="119" t="s">
        <v>409</v>
      </c>
      <c r="D5" s="31"/>
      <c r="E5" s="30"/>
      <c r="F5" s="31"/>
      <c r="G5" s="31"/>
      <c r="H5" s="30"/>
      <c r="I5" s="31"/>
      <c r="J5" s="31"/>
      <c r="K5" s="30"/>
      <c r="L5" s="31"/>
      <c r="M5" s="31"/>
      <c r="N5" s="30"/>
      <c r="O5" s="31"/>
      <c r="P5" s="31"/>
      <c r="Q5" s="30"/>
      <c r="R5" s="31"/>
      <c r="S5" s="31"/>
      <c r="T5" s="30"/>
      <c r="U5" s="31"/>
      <c r="V5" s="31">
        <v>236.465</v>
      </c>
      <c r="W5" s="30">
        <f>X5-V5</f>
        <v>500.01599999999996</v>
      </c>
      <c r="X5" s="31">
        <v>736.48099999999999</v>
      </c>
      <c r="Y5" s="31">
        <v>288.87400000000002</v>
      </c>
      <c r="Z5" s="30">
        <f>AA5-Y5</f>
        <v>338.70499999999993</v>
      </c>
      <c r="AA5" s="31">
        <v>627.57899999999995</v>
      </c>
      <c r="AB5" s="31">
        <v>332.37900000000002</v>
      </c>
      <c r="AC5" s="30">
        <f>AD5-AB5</f>
        <v>455.78999999999996</v>
      </c>
      <c r="AD5" s="31">
        <v>788.16899999999998</v>
      </c>
      <c r="AE5" s="31">
        <v>425.32100000000003</v>
      </c>
      <c r="AF5" s="30">
        <f>AG5-AE5</f>
        <v>461.28599999999994</v>
      </c>
      <c r="AG5" s="31">
        <v>886.60699999999997</v>
      </c>
      <c r="AH5" s="31">
        <v>425.46499999999997</v>
      </c>
      <c r="AI5" s="30">
        <f>AJ5-AH5</f>
        <v>450.36899999999997</v>
      </c>
      <c r="AJ5" s="31">
        <v>875.83399999999995</v>
      </c>
      <c r="AK5" s="31">
        <v>439.685</v>
      </c>
      <c r="AL5" s="30">
        <f>AM5-AK5</f>
        <v>417.19199999999995</v>
      </c>
      <c r="AM5" s="402">
        <v>856.87699999999995</v>
      </c>
      <c r="AN5" s="402">
        <v>408.06700000000001</v>
      </c>
      <c r="AO5" s="30">
        <f t="shared" ref="AO5" si="0">AL5*(1+AO9)</f>
        <v>446.39543999999995</v>
      </c>
      <c r="AP5" s="30">
        <f t="shared" ref="AP5" si="1">SUM(AN5:AO5)</f>
        <v>854.46244000000002</v>
      </c>
      <c r="AQ5" s="30">
        <f t="shared" ref="AQ5:AR5" si="2">AN5*(1+AQ9)</f>
        <v>432.55102000000005</v>
      </c>
      <c r="AR5" s="30">
        <f t="shared" si="2"/>
        <v>473.17916639999999</v>
      </c>
      <c r="AS5" s="30">
        <f t="shared" ref="AS5" si="3">SUM(AQ5:AR5)</f>
        <v>905.73018640000009</v>
      </c>
      <c r="AT5" s="30">
        <f t="shared" ref="AT5:AU5" si="4">AQ5*(1+AT9)</f>
        <v>454.17857100000009</v>
      </c>
      <c r="AU5" s="30">
        <f t="shared" si="4"/>
        <v>496.83812472</v>
      </c>
      <c r="AV5" s="30">
        <f t="shared" ref="AV5" si="5">SUM(AT5:AU5)</f>
        <v>951.01669572000014</v>
      </c>
      <c r="AW5" s="30">
        <f t="shared" ref="AW5:AX5" si="6">AT5*(1+AW9)</f>
        <v>472.34571384000009</v>
      </c>
      <c r="AX5" s="30">
        <f t="shared" si="6"/>
        <v>516.7116497088</v>
      </c>
      <c r="AY5" s="30">
        <f t="shared" ref="AY5" si="7">SUM(AW5:AX5)</f>
        <v>989.05736354880014</v>
      </c>
      <c r="AZ5" s="30">
        <f t="shared" ref="AZ5:BA5" si="8">AW5*(1+AZ9)</f>
        <v>491.23954239360012</v>
      </c>
      <c r="BA5" s="30">
        <f t="shared" si="8"/>
        <v>537.38011569715206</v>
      </c>
      <c r="BB5" s="30">
        <f t="shared" ref="BB5" si="9">SUM(AZ5:BA5)</f>
        <v>1028.6196580907522</v>
      </c>
    </row>
    <row r="6" spans="1:54">
      <c r="B6" s="137" t="s">
        <v>427</v>
      </c>
      <c r="C6" s="119"/>
      <c r="D6" s="122"/>
      <c r="E6" s="122"/>
      <c r="F6" s="122"/>
      <c r="G6" s="122"/>
      <c r="H6" s="122"/>
      <c r="I6" s="122"/>
      <c r="J6" s="122"/>
      <c r="K6" s="122"/>
      <c r="L6" s="122"/>
      <c r="M6" s="122"/>
      <c r="N6" s="122"/>
      <c r="O6" s="122"/>
      <c r="P6" s="122"/>
      <c r="Q6" s="122"/>
      <c r="R6" s="122"/>
      <c r="S6" s="122"/>
      <c r="T6" s="66"/>
      <c r="U6" s="65"/>
      <c r="V6" s="122"/>
      <c r="W6" s="66"/>
      <c r="X6" s="65"/>
      <c r="Y6" s="122"/>
      <c r="Z6" s="66"/>
      <c r="AA6" s="65"/>
      <c r="AB6" s="88"/>
      <c r="AC6" s="66"/>
      <c r="AD6" s="65"/>
      <c r="AE6" s="88"/>
      <c r="AF6" s="66"/>
      <c r="AG6" s="65"/>
      <c r="AH6" s="88"/>
      <c r="AI6" s="66"/>
      <c r="AJ6" s="65"/>
      <c r="AK6" s="88"/>
      <c r="AL6" s="66"/>
      <c r="AM6" s="526"/>
      <c r="AN6" s="302"/>
      <c r="AO6" s="66">
        <v>0.04</v>
      </c>
      <c r="AP6" s="139">
        <f>+AVERAGE(AN6:AO6)</f>
        <v>0.04</v>
      </c>
      <c r="AQ6" s="66">
        <v>0.03</v>
      </c>
      <c r="AR6" s="66">
        <v>0.03</v>
      </c>
      <c r="AS6" s="139">
        <f>+AVERAGE(AQ6:AR6)</f>
        <v>0.03</v>
      </c>
      <c r="AT6" s="66">
        <v>0.03</v>
      </c>
      <c r="AU6" s="66">
        <v>0.03</v>
      </c>
      <c r="AV6" s="139">
        <f t="shared" ref="AV6" si="10">+AVERAGE(AT6:AU6)</f>
        <v>0.03</v>
      </c>
      <c r="AW6" s="66">
        <v>0.02</v>
      </c>
      <c r="AX6" s="66">
        <v>0.02</v>
      </c>
      <c r="AY6" s="139">
        <f t="shared" ref="AY6" si="11">+AVERAGE(AW6:AX6)</f>
        <v>0.02</v>
      </c>
      <c r="AZ6" s="66">
        <v>0.02</v>
      </c>
      <c r="BA6" s="66">
        <v>0.02</v>
      </c>
      <c r="BB6" s="139">
        <f t="shared" ref="BB6" si="12">+AVERAGE(AZ6:BA6)</f>
        <v>0.02</v>
      </c>
    </row>
    <row r="7" spans="1:54">
      <c r="B7" s="137" t="s">
        <v>428</v>
      </c>
      <c r="C7" s="119"/>
      <c r="D7" s="122"/>
      <c r="E7" s="122"/>
      <c r="F7" s="122"/>
      <c r="G7" s="122"/>
      <c r="H7" s="122"/>
      <c r="I7" s="122"/>
      <c r="J7" s="122"/>
      <c r="K7" s="122"/>
      <c r="L7" s="122"/>
      <c r="M7" s="122"/>
      <c r="N7" s="122"/>
      <c r="O7" s="122"/>
      <c r="P7" s="122"/>
      <c r="Q7" s="122"/>
      <c r="R7" s="122"/>
      <c r="S7" s="122"/>
      <c r="T7" s="66"/>
      <c r="U7" s="138"/>
      <c r="V7" s="122"/>
      <c r="W7" s="66"/>
      <c r="X7" s="138"/>
      <c r="Y7" s="122"/>
      <c r="Z7" s="66"/>
      <c r="AA7" s="459"/>
      <c r="AB7" s="88"/>
      <c r="AC7" s="66"/>
      <c r="AD7" s="459"/>
      <c r="AE7" s="88"/>
      <c r="AF7" s="66"/>
      <c r="AG7" s="459"/>
      <c r="AH7" s="88"/>
      <c r="AI7" s="66"/>
      <c r="AJ7" s="459"/>
      <c r="AK7" s="88"/>
      <c r="AL7" s="66"/>
      <c r="AM7" s="565"/>
      <c r="AN7" s="302"/>
      <c r="AO7" s="66">
        <v>0.03</v>
      </c>
      <c r="AP7" s="139">
        <f>+AVERAGE(AN7:AO7)</f>
        <v>0.03</v>
      </c>
      <c r="AQ7" s="66">
        <v>0.03</v>
      </c>
      <c r="AR7" s="66">
        <v>0.03</v>
      </c>
      <c r="AS7" s="139">
        <f>+AVERAGE(AQ7:AR7)</f>
        <v>0.03</v>
      </c>
      <c r="AT7" s="66">
        <v>0.02</v>
      </c>
      <c r="AU7" s="66">
        <v>0.02</v>
      </c>
      <c r="AV7" s="139">
        <f>+AVERAGE(AT7:AU7)</f>
        <v>0.02</v>
      </c>
      <c r="AW7" s="66">
        <v>0.02</v>
      </c>
      <c r="AX7" s="66">
        <v>0.02</v>
      </c>
      <c r="AY7" s="139">
        <f>+AVERAGE(AW7:AX7)</f>
        <v>0.02</v>
      </c>
      <c r="AZ7" s="66">
        <v>0.02</v>
      </c>
      <c r="BA7" s="66">
        <v>0.02</v>
      </c>
      <c r="BB7" s="139">
        <f>+AVERAGE(AZ7:BA7)</f>
        <v>0.02</v>
      </c>
    </row>
    <row r="8" spans="1:54">
      <c r="B8" s="137" t="s">
        <v>429</v>
      </c>
      <c r="C8" s="119"/>
      <c r="D8" s="122"/>
      <c r="E8" s="122"/>
      <c r="F8" s="122"/>
      <c r="G8" s="122"/>
      <c r="H8" s="122"/>
      <c r="I8" s="122"/>
      <c r="J8" s="122"/>
      <c r="K8" s="122"/>
      <c r="L8" s="122"/>
      <c r="M8" s="122"/>
      <c r="N8" s="122"/>
      <c r="O8" s="122"/>
      <c r="P8" s="122"/>
      <c r="Q8" s="122"/>
      <c r="R8" s="122"/>
      <c r="S8" s="122"/>
      <c r="T8" s="139"/>
      <c r="U8" s="139"/>
      <c r="V8" s="122"/>
      <c r="W8" s="139"/>
      <c r="X8" s="139"/>
      <c r="Y8" s="122"/>
      <c r="Z8" s="139"/>
      <c r="AA8" s="139"/>
      <c r="AB8" s="88"/>
      <c r="AC8" s="139"/>
      <c r="AD8" s="139"/>
      <c r="AE8" s="88"/>
      <c r="AF8" s="139"/>
      <c r="AG8" s="139"/>
      <c r="AH8" s="88"/>
      <c r="AI8" s="139"/>
      <c r="AJ8" s="139"/>
      <c r="AK8" s="88"/>
      <c r="AL8" s="139"/>
      <c r="AM8" s="566"/>
      <c r="AN8" s="302"/>
      <c r="AO8" s="66"/>
      <c r="AP8" s="139"/>
      <c r="AQ8" s="66"/>
      <c r="AR8" s="66"/>
      <c r="AS8" s="139"/>
      <c r="AT8" s="66"/>
      <c r="AU8" s="66"/>
      <c r="AV8" s="139"/>
      <c r="AW8" s="66">
        <v>0</v>
      </c>
      <c r="AX8" s="66">
        <v>0</v>
      </c>
      <c r="AY8" s="139">
        <f>+AVERAGE(AW8:AX8)</f>
        <v>0</v>
      </c>
      <c r="AZ8" s="66">
        <v>0</v>
      </c>
      <c r="BA8" s="66">
        <v>0</v>
      </c>
      <c r="BB8" s="139">
        <f>+AVERAGE(AZ8:BA8)</f>
        <v>0</v>
      </c>
    </row>
    <row r="9" spans="1:54">
      <c r="B9" s="120" t="s">
        <v>225</v>
      </c>
      <c r="C9" s="121" t="s">
        <v>82</v>
      </c>
      <c r="D9" s="122"/>
      <c r="E9" s="122"/>
      <c r="F9" s="122"/>
      <c r="G9" s="122"/>
      <c r="H9" s="122"/>
      <c r="I9" s="122"/>
      <c r="J9" s="122"/>
      <c r="K9" s="122"/>
      <c r="L9" s="122"/>
      <c r="M9" s="122"/>
      <c r="N9" s="122"/>
      <c r="O9" s="122"/>
      <c r="P9" s="122"/>
      <c r="Q9" s="122"/>
      <c r="R9" s="122"/>
      <c r="S9" s="122"/>
      <c r="T9" s="122"/>
      <c r="U9" s="122"/>
      <c r="V9" s="122"/>
      <c r="W9" s="122"/>
      <c r="X9" s="122"/>
      <c r="Y9" s="122">
        <f t="shared" ref="Y9:AE9" si="13">Y5/V5-1</f>
        <v>0.22163533715349004</v>
      </c>
      <c r="Z9" s="122">
        <f t="shared" si="13"/>
        <v>-0.32261167642635447</v>
      </c>
      <c r="AA9" s="88">
        <f t="shared" si="13"/>
        <v>-0.14786803732886533</v>
      </c>
      <c r="AB9" s="88">
        <f t="shared" si="13"/>
        <v>0.15060199256423212</v>
      </c>
      <c r="AC9" s="122">
        <f t="shared" si="13"/>
        <v>0.34568429754506158</v>
      </c>
      <c r="AD9" s="88">
        <f t="shared" si="13"/>
        <v>0.25588810333041745</v>
      </c>
      <c r="AE9" s="88">
        <f t="shared" si="13"/>
        <v>0.27962657087240772</v>
      </c>
      <c r="AF9" s="122">
        <f t="shared" ref="AF9" si="14">AF5/AC5-1</f>
        <v>1.205818469031783E-2</v>
      </c>
      <c r="AG9" s="88">
        <f t="shared" ref="AG9" si="15">AG5/AD5-1</f>
        <v>0.12489453404028827</v>
      </c>
      <c r="AH9" s="88">
        <f>AH5/AE5-1</f>
        <v>3.3856781113539292E-4</v>
      </c>
      <c r="AI9" s="88">
        <f t="shared" ref="AI9" si="16">AI5/AF5-1</f>
        <v>-2.3666445545713399E-2</v>
      </c>
      <c r="AJ9" s="88">
        <f t="shared" ref="AJ9" si="17">AJ5/AG5-1</f>
        <v>-1.2150817667805458E-2</v>
      </c>
      <c r="AK9" s="88">
        <f>AK5/AH5-1</f>
        <v>3.3422255649701027E-2</v>
      </c>
      <c r="AL9" s="88">
        <f t="shared" ref="AL9" si="18">AL5/AI5-1</f>
        <v>-7.3666260333193456E-2</v>
      </c>
      <c r="AM9" s="302">
        <f t="shared" ref="AM9" si="19">AM5/AJ5-1</f>
        <v>-2.1644512544614636E-2</v>
      </c>
      <c r="AN9" s="302">
        <f>AN5/AK5-1</f>
        <v>-7.1910572341562728E-2</v>
      </c>
      <c r="AO9" s="122">
        <f t="shared" ref="AO9" si="20">SUM(AO6:AO8)</f>
        <v>7.0000000000000007E-2</v>
      </c>
      <c r="AP9" s="122">
        <f t="shared" ref="AP9" si="21">AP5/AM5-1</f>
        <v>-2.8178606731187328E-3</v>
      </c>
      <c r="AQ9" s="122">
        <f t="shared" ref="AQ9:AR9" si="22">SUM(AQ6:AQ8)</f>
        <v>0.06</v>
      </c>
      <c r="AR9" s="122">
        <f t="shared" si="22"/>
        <v>0.06</v>
      </c>
      <c r="AS9" s="122">
        <f t="shared" ref="AS9" si="23">AS5/AP5-1</f>
        <v>6.0000000000000053E-2</v>
      </c>
      <c r="AT9" s="122">
        <f t="shared" ref="AT9:AU9" si="24">SUM(AT6:AT8)</f>
        <v>0.05</v>
      </c>
      <c r="AU9" s="122">
        <f t="shared" si="24"/>
        <v>0.05</v>
      </c>
      <c r="AV9" s="122">
        <f t="shared" ref="AV9" si="25">AV5/AS5-1</f>
        <v>5.0000000000000044E-2</v>
      </c>
      <c r="AW9" s="122">
        <f t="shared" ref="AW9:AX9" si="26">SUM(AW6:AW8)</f>
        <v>0.04</v>
      </c>
      <c r="AX9" s="122">
        <f t="shared" si="26"/>
        <v>0.04</v>
      </c>
      <c r="AY9" s="122">
        <f t="shared" ref="AY9" si="27">AY5/AV5-1</f>
        <v>4.0000000000000036E-2</v>
      </c>
      <c r="AZ9" s="122">
        <f t="shared" ref="AZ9:BA9" si="28">SUM(AZ6:AZ8)</f>
        <v>0.04</v>
      </c>
      <c r="BA9" s="122">
        <f t="shared" si="28"/>
        <v>0.04</v>
      </c>
      <c r="BB9" s="122">
        <f t="shared" ref="BB9" si="29">BB5/AY5-1</f>
        <v>4.0000000000000036E-2</v>
      </c>
    </row>
    <row r="10" spans="1:54">
      <c r="C10" s="119"/>
    </row>
    <row r="11" spans="1:54">
      <c r="B11" s="7" t="s">
        <v>268</v>
      </c>
      <c r="C11" s="119" t="s">
        <v>409</v>
      </c>
      <c r="D11" s="31"/>
      <c r="E11" s="30"/>
      <c r="F11" s="31"/>
      <c r="G11" s="31"/>
      <c r="H11" s="30"/>
      <c r="I11" s="31"/>
      <c r="J11" s="31"/>
      <c r="K11" s="30"/>
      <c r="L11" s="31"/>
      <c r="M11" s="31"/>
      <c r="N11" s="30"/>
      <c r="O11" s="31"/>
      <c r="P11" s="31"/>
      <c r="Q11" s="30"/>
      <c r="R11" s="31"/>
      <c r="S11" s="31"/>
      <c r="T11" s="30"/>
      <c r="U11" s="31"/>
      <c r="V11" s="31">
        <v>0.98099999999999998</v>
      </c>
      <c r="W11" s="30">
        <f>X11-V11</f>
        <v>1.6550000000000002</v>
      </c>
      <c r="X11" s="31">
        <v>2.6360000000000001</v>
      </c>
      <c r="Y11" s="31">
        <v>0.76800000000000002</v>
      </c>
      <c r="Z11" s="30">
        <f>AA11-Y11</f>
        <v>1.607</v>
      </c>
      <c r="AA11" s="31">
        <v>2.375</v>
      </c>
      <c r="AB11" s="31">
        <v>1.198</v>
      </c>
      <c r="AC11" s="30">
        <f>AD11-AB11</f>
        <v>1.605</v>
      </c>
      <c r="AD11" s="31">
        <v>2.8029999999999999</v>
      </c>
      <c r="AE11" s="31">
        <v>2.0129999999999999</v>
      </c>
      <c r="AF11" s="30">
        <f>AG11-AE11</f>
        <v>1.4490000000000003</v>
      </c>
      <c r="AG11" s="31">
        <v>3.4620000000000002</v>
      </c>
      <c r="AH11" s="31">
        <v>0.98499999999999999</v>
      </c>
      <c r="AI11" s="30">
        <f>AJ11-AH11</f>
        <v>0.85799999999999998</v>
      </c>
      <c r="AJ11" s="31">
        <v>1.843</v>
      </c>
      <c r="AK11" s="31">
        <v>0.93500000000000005</v>
      </c>
      <c r="AL11" s="30">
        <f>AM11-AK11</f>
        <v>1.0680000000000001</v>
      </c>
      <c r="AM11" s="402">
        <v>2.0030000000000001</v>
      </c>
      <c r="AN11" s="402">
        <v>0.87</v>
      </c>
      <c r="AO11" s="30">
        <f t="shared" ref="AO11" si="30">AVERAGE(AJ11,AL11,AM11)/AVERAGE(AJ5,AL5,AM5)*AO5</f>
        <v>1.0203191456358727</v>
      </c>
      <c r="AP11" s="30">
        <f t="shared" ref="AP11" si="31">SUM(AN11:AO11)</f>
        <v>1.8903191456358726</v>
      </c>
      <c r="AQ11" s="30">
        <f t="shared" ref="AQ11:AR11" si="32">AVERAGE(AL11,AN11,AO11)/AVERAGE(AL5,AN5,AO5)*AQ5</f>
        <v>1.0062670515508327</v>
      </c>
      <c r="AR11" s="30">
        <f t="shared" si="32"/>
        <v>1.0775333393392077</v>
      </c>
      <c r="AS11" s="30">
        <f t="shared" ref="AS11" si="33">SUM(AQ11:AR11)</f>
        <v>2.0838003908900404</v>
      </c>
      <c r="AT11" s="30">
        <f t="shared" ref="AT11:AU11" si="34">AVERAGE(AO11,AQ11,AR11)/AVERAGE(AO5,AQ5,AR5)*AT5</f>
        <v>1.0426727722527853</v>
      </c>
      <c r="AU11" s="30">
        <f t="shared" si="34"/>
        <v>1.1237957556697684</v>
      </c>
      <c r="AV11" s="30">
        <f t="shared" ref="AV11" si="35">SUM(AT11:AU11)</f>
        <v>2.1664685279225537</v>
      </c>
      <c r="AW11" s="30">
        <f t="shared" ref="AW11:AX11" si="36">AVERAGE(AR11,AT11,AU11)/AVERAGE(AR5,AT5,AU5)*AW5</f>
        <v>1.0758986305501161</v>
      </c>
      <c r="AX11" s="30">
        <f t="shared" si="36"/>
        <v>1.1798349392622298</v>
      </c>
      <c r="AY11" s="30">
        <f t="shared" ref="AY11" si="37">SUM(AW11:AX11)</f>
        <v>2.255733569812346</v>
      </c>
      <c r="AZ11" s="30">
        <f t="shared" ref="AZ11:BA11" si="38">AVERAGE(AU11,AW11,AX11)/AVERAGE(AU5,AW5,AX5)*AZ5</f>
        <v>1.1172780673086353</v>
      </c>
      <c r="BA11" s="30">
        <f t="shared" si="38"/>
        <v>1.2253503836661628</v>
      </c>
      <c r="BB11" s="30">
        <f t="shared" ref="BB11" si="39">SUM(AZ11:BA11)</f>
        <v>2.3426284509747983</v>
      </c>
    </row>
    <row r="12" spans="1:54" s="14" customFormat="1">
      <c r="B12" s="14" t="s">
        <v>160</v>
      </c>
      <c r="C12" s="123" t="s">
        <v>409</v>
      </c>
      <c r="D12" s="28"/>
      <c r="E12" s="28"/>
      <c r="F12" s="28"/>
      <c r="G12" s="28"/>
      <c r="H12" s="28"/>
      <c r="I12" s="28"/>
      <c r="J12" s="28"/>
      <c r="K12" s="28"/>
      <c r="L12" s="28"/>
      <c r="M12" s="28"/>
      <c r="N12" s="28"/>
      <c r="O12" s="28"/>
      <c r="P12" s="28"/>
      <c r="Q12" s="28"/>
      <c r="R12" s="28"/>
      <c r="S12" s="28"/>
      <c r="T12" s="28"/>
      <c r="U12" s="28"/>
      <c r="V12" s="28">
        <f t="shared" ref="V12:AA12" si="40">SUM(V5,V11)</f>
        <v>237.446</v>
      </c>
      <c r="W12" s="28">
        <f t="shared" si="40"/>
        <v>501.67099999999994</v>
      </c>
      <c r="X12" s="28">
        <f t="shared" si="40"/>
        <v>739.11699999999996</v>
      </c>
      <c r="Y12" s="28">
        <f t="shared" si="40"/>
        <v>289.642</v>
      </c>
      <c r="Z12" s="28">
        <f t="shared" si="40"/>
        <v>340.31199999999995</v>
      </c>
      <c r="AA12" s="28">
        <f t="shared" si="40"/>
        <v>629.95399999999995</v>
      </c>
      <c r="AB12" s="28">
        <f t="shared" ref="AB12:AD12" si="41">SUM(AB5,AB11)</f>
        <v>333.577</v>
      </c>
      <c r="AC12" s="28">
        <f t="shared" si="41"/>
        <v>457.39499999999998</v>
      </c>
      <c r="AD12" s="28">
        <f t="shared" si="41"/>
        <v>790.97199999999998</v>
      </c>
      <c r="AE12" s="28">
        <f t="shared" ref="AE12:AG12" si="42">SUM(AE5,AE11)</f>
        <v>427.334</v>
      </c>
      <c r="AF12" s="28">
        <f t="shared" si="42"/>
        <v>462.73499999999996</v>
      </c>
      <c r="AG12" s="28">
        <f t="shared" si="42"/>
        <v>890.06899999999996</v>
      </c>
      <c r="AH12" s="28">
        <f t="shared" ref="AH12" si="43">AH5+AH11</f>
        <v>426.45</v>
      </c>
      <c r="AI12" s="28">
        <f t="shared" ref="AI12:AJ12" si="44">SUM(AI5,AI11)</f>
        <v>451.22699999999998</v>
      </c>
      <c r="AJ12" s="28">
        <f t="shared" si="44"/>
        <v>877.67699999999991</v>
      </c>
      <c r="AK12" s="28">
        <f t="shared" ref="AK12" si="45">AK5+AK11</f>
        <v>440.62</v>
      </c>
      <c r="AL12" s="28">
        <f t="shared" ref="AL12:AM12" si="46">SUM(AL5,AL11)</f>
        <v>418.25999999999993</v>
      </c>
      <c r="AM12" s="412">
        <f t="shared" si="46"/>
        <v>858.88</v>
      </c>
      <c r="AN12" s="412">
        <f t="shared" ref="AN12" si="47">AN5+AN11</f>
        <v>408.93700000000001</v>
      </c>
      <c r="AO12" s="28">
        <f t="shared" ref="AO12" si="48">AO5+AO11</f>
        <v>447.41575914563583</v>
      </c>
      <c r="AP12" s="28">
        <f t="shared" ref="AP12:AQ12" si="49">AP5+AP11</f>
        <v>856.3527591456359</v>
      </c>
      <c r="AQ12" s="28">
        <f t="shared" si="49"/>
        <v>433.55728705155087</v>
      </c>
      <c r="AR12" s="28">
        <f t="shared" ref="AR12" si="50">AR5+AR11</f>
        <v>474.25669973933918</v>
      </c>
      <c r="AS12" s="28">
        <f t="shared" ref="AS12:AT12" si="51">AS5+AS11</f>
        <v>907.81398679089011</v>
      </c>
      <c r="AT12" s="28">
        <f t="shared" si="51"/>
        <v>455.22124377225288</v>
      </c>
      <c r="AU12" s="28">
        <f t="shared" ref="AU12" si="52">AU5+AU11</f>
        <v>497.96192047566979</v>
      </c>
      <c r="AV12" s="28">
        <f t="shared" ref="AV12:AW12" si="53">AV5+AV11</f>
        <v>953.18316424792272</v>
      </c>
      <c r="AW12" s="28">
        <f t="shared" si="53"/>
        <v>473.4216124705502</v>
      </c>
      <c r="AX12" s="28">
        <f t="shared" ref="AX12" si="54">AX5+AX11</f>
        <v>517.89148464806226</v>
      </c>
      <c r="AY12" s="28">
        <f t="shared" ref="AY12:AZ12" si="55">AY5+AY11</f>
        <v>991.31309711861252</v>
      </c>
      <c r="AZ12" s="28">
        <f t="shared" si="55"/>
        <v>492.35682046090875</v>
      </c>
      <c r="BA12" s="28">
        <f t="shared" ref="BA12" si="56">BA5+BA11</f>
        <v>538.60546608081825</v>
      </c>
      <c r="BB12" s="28">
        <f t="shared" ref="BB12" si="57">BB5+BB11</f>
        <v>1030.9622865417271</v>
      </c>
    </row>
    <row r="13" spans="1:54">
      <c r="B13" s="7" t="s">
        <v>154</v>
      </c>
      <c r="D13" s="124"/>
      <c r="E13" s="124"/>
      <c r="F13" s="124"/>
      <c r="G13" s="124"/>
      <c r="H13" s="124"/>
      <c r="I13" s="124"/>
      <c r="J13" s="124"/>
      <c r="K13" s="124"/>
      <c r="L13" s="124"/>
      <c r="M13" s="124"/>
      <c r="N13" s="124"/>
      <c r="O13" s="124"/>
      <c r="P13" s="124"/>
      <c r="Q13" s="124"/>
      <c r="R13" s="124"/>
      <c r="S13" s="124"/>
      <c r="T13" s="124"/>
      <c r="U13" s="124"/>
      <c r="V13" s="124"/>
      <c r="W13" s="124"/>
      <c r="X13" s="124"/>
      <c r="Y13" s="124">
        <f t="shared" ref="Y13:AE13" si="58">Y12/V12-1</f>
        <v>0.21982261229921751</v>
      </c>
      <c r="Z13" s="124">
        <f t="shared" si="58"/>
        <v>-0.32164306886385696</v>
      </c>
      <c r="AA13" s="32">
        <f t="shared" si="58"/>
        <v>-0.14769380219911055</v>
      </c>
      <c r="AB13" s="32">
        <f t="shared" si="58"/>
        <v>0.15168725530137195</v>
      </c>
      <c r="AC13" s="124">
        <f t="shared" ref="AC13" si="59">AC12/Z12-1</f>
        <v>0.34404605185829484</v>
      </c>
      <c r="AD13" s="32">
        <f t="shared" ref="AD13" si="60">AD12/AA12-1</f>
        <v>0.25560279004498754</v>
      </c>
      <c r="AE13" s="32">
        <f t="shared" si="58"/>
        <v>0.28106554108946358</v>
      </c>
      <c r="AF13" s="124">
        <f t="shared" ref="AF13" si="61">AF12/AC12-1</f>
        <v>1.1674810612271713E-2</v>
      </c>
      <c r="AG13" s="32">
        <f t="shared" ref="AG13" si="62">AG12/AD12-1</f>
        <v>0.12528509226622431</v>
      </c>
      <c r="AH13" s="32">
        <f>AH12/AE12-1</f>
        <v>-2.0686395185031126E-3</v>
      </c>
      <c r="AI13" s="32">
        <f t="shared" ref="AI13" si="63">AI12/AF12-1</f>
        <v>-2.4869525754481425E-2</v>
      </c>
      <c r="AJ13" s="32">
        <f t="shared" ref="AJ13" si="64">AJ12/AG12-1</f>
        <v>-1.3922516119536876E-2</v>
      </c>
      <c r="AK13" s="32">
        <f>AK12/AH12-1</f>
        <v>3.3227810997772389E-2</v>
      </c>
      <c r="AL13" s="32">
        <f t="shared" ref="AL13" si="65">AL12/AI12-1</f>
        <v>-7.3060787585849329E-2</v>
      </c>
      <c r="AM13" s="33">
        <f t="shared" ref="AM13" si="66">AM12/AJ12-1</f>
        <v>-2.1416762658700073E-2</v>
      </c>
      <c r="AN13" s="33">
        <f>AN12/AK12-1</f>
        <v>-7.190549679996372E-2</v>
      </c>
      <c r="AO13" s="124">
        <f t="shared" ref="AO13:BB13" si="67">AO12/AL12-1</f>
        <v>6.970726138200134E-2</v>
      </c>
      <c r="AP13" s="124">
        <f t="shared" si="67"/>
        <v>-2.9424842287212316E-3</v>
      </c>
      <c r="AQ13" s="124">
        <f t="shared" si="67"/>
        <v>6.020557457884923E-2</v>
      </c>
      <c r="AR13" s="124">
        <f t="shared" si="67"/>
        <v>5.9991048694747695E-2</v>
      </c>
      <c r="AS13" s="124">
        <f t="shared" si="67"/>
        <v>6.0093491958379319E-2</v>
      </c>
      <c r="AT13" s="124">
        <f t="shared" si="67"/>
        <v>4.9967922043312685E-2</v>
      </c>
      <c r="AU13" s="124">
        <f t="shared" si="67"/>
        <v>4.9983944874915753E-2</v>
      </c>
      <c r="AV13" s="124">
        <f t="shared" si="67"/>
        <v>4.9976292629519969E-2</v>
      </c>
      <c r="AW13" s="124">
        <f t="shared" si="67"/>
        <v>3.9981369383110366E-2</v>
      </c>
      <c r="AX13" s="124">
        <f t="shared" si="67"/>
        <v>4.0022265464305207E-2</v>
      </c>
      <c r="AY13" s="124">
        <f t="shared" si="67"/>
        <v>4.0002734312638566E-2</v>
      </c>
      <c r="AZ13" s="124">
        <f t="shared" si="67"/>
        <v>3.9996500986816397E-2</v>
      </c>
      <c r="BA13" s="124">
        <f t="shared" si="67"/>
        <v>3.9996760029434197E-2</v>
      </c>
      <c r="BB13" s="124">
        <f t="shared" si="67"/>
        <v>3.9996636318394563E-2</v>
      </c>
    </row>
    <row r="14" spans="1:54">
      <c r="AJ14" s="30"/>
      <c r="AM14" s="405"/>
    </row>
    <row r="15" spans="1:54">
      <c r="B15" s="7" t="s">
        <v>61</v>
      </c>
      <c r="C15" s="119" t="s">
        <v>409</v>
      </c>
      <c r="D15" s="31"/>
      <c r="E15" s="30"/>
      <c r="F15" s="31"/>
      <c r="G15" s="31"/>
      <c r="H15" s="30"/>
      <c r="I15" s="31"/>
      <c r="J15" s="31"/>
      <c r="K15" s="30"/>
      <c r="L15" s="31"/>
      <c r="M15" s="31"/>
      <c r="N15" s="30"/>
      <c r="O15" s="31"/>
      <c r="P15" s="31"/>
      <c r="Q15" s="30"/>
      <c r="R15" s="31"/>
      <c r="S15" s="31"/>
      <c r="T15" s="30"/>
      <c r="U15" s="31"/>
      <c r="V15" s="31">
        <f>6.942+1.693</f>
        <v>8.6349999999999998</v>
      </c>
      <c r="W15" s="30">
        <f>X15-V15</f>
        <v>17.517000000000003</v>
      </c>
      <c r="X15" s="31">
        <f>21.183+4.969</f>
        <v>26.152000000000001</v>
      </c>
      <c r="Y15" s="31">
        <f>7.059+1.215</f>
        <v>8.2740000000000009</v>
      </c>
      <c r="Z15" s="30">
        <f>AA15-Y15</f>
        <v>8.3549999999999969</v>
      </c>
      <c r="AA15" s="31">
        <f>14.132+2.497</f>
        <v>16.628999999999998</v>
      </c>
      <c r="AB15" s="31">
        <f>7.757+1.665</f>
        <v>9.4220000000000006</v>
      </c>
      <c r="AC15" s="30">
        <f>AD15-AB15</f>
        <v>12.861999999999998</v>
      </c>
      <c r="AD15" s="31">
        <f>18.032+4.252</f>
        <v>22.283999999999999</v>
      </c>
      <c r="AE15" s="31">
        <f>10.16+3.777</f>
        <v>13.937000000000001</v>
      </c>
      <c r="AF15" s="30">
        <f>AG15-AE15</f>
        <v>14.567</v>
      </c>
      <c r="AG15" s="31">
        <f>20.353+8.151</f>
        <v>28.504000000000001</v>
      </c>
      <c r="AH15" s="31">
        <f>11.658+4.092</f>
        <v>15.75</v>
      </c>
      <c r="AI15" s="30">
        <f>AJ15-AH15</f>
        <v>16.558999999999997</v>
      </c>
      <c r="AJ15" s="31">
        <f>24.403+7.906</f>
        <v>32.308999999999997</v>
      </c>
      <c r="AK15" s="30">
        <f>AK16-AK19</f>
        <v>17.299999999999997</v>
      </c>
      <c r="AL15" s="30">
        <f>AM15-AK15</f>
        <v>17.40000000000002</v>
      </c>
      <c r="AM15" s="30">
        <f>AM16-AM19</f>
        <v>34.700000000000017</v>
      </c>
      <c r="AN15" s="405">
        <f>AN16-AN19</f>
        <v>17.399999999999991</v>
      </c>
      <c r="AO15" s="125">
        <f>AL15*(1+2%)</f>
        <v>17.748000000000019</v>
      </c>
      <c r="AP15" s="30">
        <f>SUM(AN15:AO15)</f>
        <v>35.14800000000001</v>
      </c>
      <c r="AQ15" s="125">
        <f>AN15*(1+2%)</f>
        <v>17.74799999999999</v>
      </c>
      <c r="AR15" s="125">
        <f>AO15*(1+2%)</f>
        <v>18.102960000000021</v>
      </c>
      <c r="AS15" s="30">
        <f>SUM(AQ15:AR15)</f>
        <v>35.850960000000015</v>
      </c>
      <c r="AT15" s="125">
        <f>AQ15*(1+2%)</f>
        <v>18.102959999999989</v>
      </c>
      <c r="AU15" s="125">
        <f>AR15*(1+2.5%)</f>
        <v>18.555534000000019</v>
      </c>
      <c r="AV15" s="30">
        <f>SUM(AT15:AU15)</f>
        <v>36.658494000000005</v>
      </c>
      <c r="AW15" s="125">
        <f>AT15*(1+2%)</f>
        <v>18.46501919999999</v>
      </c>
      <c r="AX15" s="125">
        <f>AU15*(1+2%)</f>
        <v>18.92664468000002</v>
      </c>
      <c r="AY15" s="30">
        <f>SUM(AW15:AX15)</f>
        <v>37.39166388000001</v>
      </c>
      <c r="AZ15" s="125">
        <f>AW15*(1+2%)</f>
        <v>18.834319583999989</v>
      </c>
      <c r="BA15" s="125">
        <f>AX15*(1+2%)</f>
        <v>19.30517757360002</v>
      </c>
      <c r="BB15" s="30">
        <f>SUM(AZ15:BA15)</f>
        <v>38.139497157600005</v>
      </c>
    </row>
    <row r="16" spans="1:54">
      <c r="A16" s="126"/>
      <c r="B16" s="126" t="s">
        <v>401</v>
      </c>
      <c r="C16" s="127" t="s">
        <v>409</v>
      </c>
      <c r="D16" s="128"/>
      <c r="E16" s="128"/>
      <c r="F16" s="129"/>
      <c r="G16" s="128"/>
      <c r="H16" s="128"/>
      <c r="I16" s="129"/>
      <c r="J16" s="128"/>
      <c r="K16" s="128"/>
      <c r="L16" s="129"/>
      <c r="M16" s="128"/>
      <c r="N16" s="128"/>
      <c r="O16" s="129"/>
      <c r="P16" s="128"/>
      <c r="Q16" s="128"/>
      <c r="R16" s="129"/>
      <c r="S16" s="129"/>
      <c r="T16" s="128"/>
      <c r="U16" s="129"/>
      <c r="V16" s="129">
        <v>36.692</v>
      </c>
      <c r="W16" s="128">
        <f>X16-V16</f>
        <v>60.095000000000006</v>
      </c>
      <c r="X16" s="516">
        <v>96.787000000000006</v>
      </c>
      <c r="Y16" s="129">
        <v>54.750999999999998</v>
      </c>
      <c r="Z16" s="128">
        <f>AA16-Y16</f>
        <v>66.564999999999998</v>
      </c>
      <c r="AA16" s="391">
        <v>121.316</v>
      </c>
      <c r="AB16" s="391">
        <v>56.9</v>
      </c>
      <c r="AC16" s="128">
        <f>AD16-AB16</f>
        <v>76.900000000000006</v>
      </c>
      <c r="AD16" s="391">
        <v>133.80000000000001</v>
      </c>
      <c r="AE16" s="391">
        <v>71.599999999999994</v>
      </c>
      <c r="AF16" s="128">
        <f>AG16-AE16</f>
        <v>87.9</v>
      </c>
      <c r="AG16" s="391">
        <v>159.5</v>
      </c>
      <c r="AH16" s="391">
        <v>85</v>
      </c>
      <c r="AI16" s="30">
        <f>AJ16-AH16</f>
        <v>99.300000000000011</v>
      </c>
      <c r="AJ16" s="391">
        <v>184.3</v>
      </c>
      <c r="AK16" s="391">
        <v>92.6</v>
      </c>
      <c r="AL16" s="30">
        <f>AM16-AK16</f>
        <v>89.700000000000017</v>
      </c>
      <c r="AM16" s="403">
        <v>182.3</v>
      </c>
      <c r="AN16" s="403">
        <v>69.099999999999994</v>
      </c>
      <c r="AO16" s="128">
        <f t="shared" ref="AO16" si="68">AO12*AO17</f>
        <v>85.885886765188744</v>
      </c>
      <c r="AP16" s="128">
        <f t="shared" ref="AP16" si="69">SUM(AN16:AO16)</f>
        <v>154.98588676518875</v>
      </c>
      <c r="AQ16" s="128">
        <f t="shared" ref="AQ16:AR16" si="70">AQ12*AQ17</f>
        <v>88.434710250202755</v>
      </c>
      <c r="AR16" s="128">
        <f t="shared" si="70"/>
        <v>99.337763425749202</v>
      </c>
      <c r="AS16" s="128">
        <f t="shared" ref="AS16" si="71">SUM(AQ16:AR16)</f>
        <v>187.77247367595197</v>
      </c>
      <c r="AT16" s="128">
        <f t="shared" ref="AT16:AU16" si="72">AT12*AT17</f>
        <v>93.991662067338453</v>
      </c>
      <c r="AU16" s="128">
        <f t="shared" si="72"/>
        <v>105.54796151800844</v>
      </c>
      <c r="AV16" s="128">
        <f t="shared" ref="AV16" si="73">SUM(AT16:AU16)</f>
        <v>199.53962358534687</v>
      </c>
      <c r="AW16" s="128">
        <f t="shared" ref="AW16:AX16" si="74">AW12*AW17</f>
        <v>98.933131458561562</v>
      </c>
      <c r="AX16" s="128">
        <f t="shared" si="74"/>
        <v>111.06695876471859</v>
      </c>
      <c r="AY16" s="128">
        <f t="shared" ref="AY16" si="75">SUM(AW16:AX16)</f>
        <v>210.00009022328015</v>
      </c>
      <c r="AZ16" s="128">
        <f t="shared" ref="AZ16:BA16" si="76">AZ12*AZ17</f>
        <v>104.12100259972503</v>
      </c>
      <c r="BA16" s="128">
        <f t="shared" si="76"/>
        <v>116.85579092683217</v>
      </c>
      <c r="BB16" s="128">
        <f t="shared" ref="BB16" si="77">SUM(AZ16:BA16)</f>
        <v>220.9767935265572</v>
      </c>
    </row>
    <row r="17" spans="1:65">
      <c r="B17" s="7" t="s">
        <v>422</v>
      </c>
      <c r="C17" s="119" t="s">
        <v>82</v>
      </c>
      <c r="D17" s="130"/>
      <c r="E17" s="130"/>
      <c r="F17" s="130"/>
      <c r="G17" s="130"/>
      <c r="H17" s="130"/>
      <c r="I17" s="130"/>
      <c r="J17" s="130"/>
      <c r="K17" s="130"/>
      <c r="L17" s="130"/>
      <c r="M17" s="130"/>
      <c r="N17" s="130"/>
      <c r="O17" s="130"/>
      <c r="P17" s="130"/>
      <c r="Q17" s="130"/>
      <c r="R17" s="130"/>
      <c r="S17" s="130"/>
      <c r="T17" s="130"/>
      <c r="U17" s="130"/>
      <c r="V17" s="130">
        <f t="shared" ref="V17:Z17" si="78">V16/V12</f>
        <v>0.1545277663131828</v>
      </c>
      <c r="W17" s="130">
        <f t="shared" si="78"/>
        <v>0.11978966294643305</v>
      </c>
      <c r="X17" s="130">
        <f t="shared" si="78"/>
        <v>0.130949497846755</v>
      </c>
      <c r="Y17" s="130">
        <f t="shared" si="78"/>
        <v>0.18902990588381519</v>
      </c>
      <c r="Z17" s="130">
        <f t="shared" si="78"/>
        <v>0.19559992007334448</v>
      </c>
      <c r="AA17" s="38">
        <f>AA16/AA12</f>
        <v>0.19257914069916218</v>
      </c>
      <c r="AB17" s="38">
        <f t="shared" ref="AB17:AC17" si="79">AB16/AB12</f>
        <v>0.17057530944879293</v>
      </c>
      <c r="AC17" s="130">
        <f t="shared" si="79"/>
        <v>0.16812601799320065</v>
      </c>
      <c r="AD17" s="38">
        <f>AD16/AD12</f>
        <v>0.16915895885062937</v>
      </c>
      <c r="AE17" s="38">
        <f t="shared" ref="AE17:AH17" si="80">AE16/AE12</f>
        <v>0.16755044063893815</v>
      </c>
      <c r="AF17" s="130">
        <f t="shared" si="80"/>
        <v>0.18995753509027849</v>
      </c>
      <c r="AG17" s="38">
        <f>AG16/AG12</f>
        <v>0.17919959014413489</v>
      </c>
      <c r="AH17" s="38">
        <f t="shared" si="80"/>
        <v>0.19931996717082895</v>
      </c>
      <c r="AI17" s="38">
        <f t="shared" ref="AI17" si="81">AI16/AI12</f>
        <v>0.22006661835395491</v>
      </c>
      <c r="AJ17" s="38">
        <f>AJ16/AJ12</f>
        <v>0.20998613385106368</v>
      </c>
      <c r="AK17" s="38">
        <f t="shared" ref="AK17:AL17" si="82">AK16/AK12</f>
        <v>0.21015841314511369</v>
      </c>
      <c r="AL17" s="38">
        <f t="shared" si="82"/>
        <v>0.21445990532204856</v>
      </c>
      <c r="AM17" s="408">
        <f>AM16/AM12</f>
        <v>0.21225316691505217</v>
      </c>
      <c r="AN17" s="408">
        <f t="shared" ref="AN17" si="83">AN16/AN12</f>
        <v>0.16897468314190203</v>
      </c>
      <c r="AO17" s="457">
        <f>AL17-2.25%</f>
        <v>0.19195990532204857</v>
      </c>
      <c r="AP17" s="135">
        <f>AP16/AP12</f>
        <v>0.18098369522370047</v>
      </c>
      <c r="AQ17" s="457">
        <f>AN17+3.5%</f>
        <v>0.20397468314190204</v>
      </c>
      <c r="AR17" s="457">
        <f>AO17+1.75%</f>
        <v>0.20945990532204856</v>
      </c>
      <c r="AS17" s="135">
        <f>AS16/AS12</f>
        <v>0.20684025186671234</v>
      </c>
      <c r="AT17" s="457">
        <f>AQ17+0.25%</f>
        <v>0.20647468314190204</v>
      </c>
      <c r="AU17" s="457">
        <f>AR17+0.25%</f>
        <v>0.21195990532204856</v>
      </c>
      <c r="AV17" s="135">
        <f>AV16/AV12</f>
        <v>0.20934027275102676</v>
      </c>
      <c r="AW17" s="457">
        <f>AT17+0.25%</f>
        <v>0.20897468314190204</v>
      </c>
      <c r="AX17" s="457">
        <f>AU17+0.25%</f>
        <v>0.21445990532204856</v>
      </c>
      <c r="AY17" s="135">
        <f>AY16/AY12</f>
        <v>0.21184032656652496</v>
      </c>
      <c r="AZ17" s="457">
        <f>AW17+0.25%</f>
        <v>0.21147468314190204</v>
      </c>
      <c r="BA17" s="457">
        <f>AX17+0.25%</f>
        <v>0.21695990532204856</v>
      </c>
      <c r="BB17" s="135">
        <f>BB16/BB12</f>
        <v>0.21434032690740276</v>
      </c>
    </row>
    <row r="18" spans="1:65">
      <c r="B18" s="7" t="s">
        <v>443</v>
      </c>
      <c r="AH18" s="32">
        <f>AH16/AE16-1</f>
        <v>0.18715083798882692</v>
      </c>
      <c r="AK18" s="32">
        <f>AK16/AH16-1</f>
        <v>8.9411764705882302E-2</v>
      </c>
      <c r="AN18" s="33">
        <f>AN16/AK16-1</f>
        <v>-0.25377969762419006</v>
      </c>
      <c r="AO18" s="88">
        <f t="shared" ref="AO18:BB18" si="84">AO16/AL16-1</f>
        <v>-4.252077184850922E-2</v>
      </c>
      <c r="AP18" s="88">
        <f t="shared" si="84"/>
        <v>-0.14983057177625481</v>
      </c>
      <c r="AQ18" s="88">
        <f t="shared" si="84"/>
        <v>0.27980767366429471</v>
      </c>
      <c r="AR18" s="88">
        <f t="shared" si="84"/>
        <v>0.15662499587781831</v>
      </c>
      <c r="AS18" s="88">
        <f t="shared" si="84"/>
        <v>0.21154562905741559</v>
      </c>
      <c r="AT18" s="88">
        <f t="shared" si="84"/>
        <v>6.2836773043228877E-2</v>
      </c>
      <c r="AU18" s="88">
        <f t="shared" si="84"/>
        <v>6.251598463761554E-2</v>
      </c>
      <c r="AV18" s="88">
        <f t="shared" si="84"/>
        <v>6.2667065513031694E-2</v>
      </c>
      <c r="AW18" s="88">
        <f t="shared" si="84"/>
        <v>5.2573486653346935E-2</v>
      </c>
      <c r="AX18" s="88">
        <f t="shared" si="84"/>
        <v>5.2288998928401886E-2</v>
      </c>
      <c r="AY18" s="88">
        <f t="shared" si="84"/>
        <v>5.2423004764560632E-2</v>
      </c>
      <c r="AZ18" s="88">
        <f t="shared" si="84"/>
        <v>5.2438157618981407E-2</v>
      </c>
      <c r="BA18" s="88">
        <f t="shared" si="84"/>
        <v>5.2120200521349469E-2</v>
      </c>
      <c r="BB18" s="88">
        <f t="shared" si="84"/>
        <v>5.2269993272889614E-2</v>
      </c>
    </row>
    <row r="19" spans="1:65">
      <c r="A19" s="126"/>
      <c r="B19" s="450" t="s">
        <v>402</v>
      </c>
      <c r="C19" s="127" t="s">
        <v>409</v>
      </c>
      <c r="D19" s="391"/>
      <c r="E19" s="392"/>
      <c r="F19" s="392"/>
      <c r="G19" s="391"/>
      <c r="H19" s="392"/>
      <c r="I19" s="392"/>
      <c r="J19" s="391"/>
      <c r="K19" s="392"/>
      <c r="L19" s="392"/>
      <c r="M19" s="391"/>
      <c r="N19" s="392"/>
      <c r="O19" s="392"/>
      <c r="P19" s="391"/>
      <c r="Q19" s="392"/>
      <c r="R19" s="392"/>
      <c r="S19" s="392"/>
      <c r="T19" s="392"/>
      <c r="U19" s="392"/>
      <c r="V19" s="392">
        <f>V16-V15</f>
        <v>28.057000000000002</v>
      </c>
      <c r="W19" s="392">
        <f>X19-V19</f>
        <v>42.578000000000003</v>
      </c>
      <c r="X19" s="392">
        <f>X16-X15</f>
        <v>70.635000000000005</v>
      </c>
      <c r="Y19" s="392">
        <f>Y16-Y15</f>
        <v>46.476999999999997</v>
      </c>
      <c r="Z19" s="392">
        <f>AA19-Y19</f>
        <v>58.210000000000015</v>
      </c>
      <c r="AA19" s="392">
        <f>AA16-AA15</f>
        <v>104.68700000000001</v>
      </c>
      <c r="AB19" s="392">
        <f>AB16-AB15</f>
        <v>47.477999999999994</v>
      </c>
      <c r="AC19" s="392">
        <f>AD19-AB19</f>
        <v>64.038000000000025</v>
      </c>
      <c r="AD19" s="392">
        <f>AD16-AD15</f>
        <v>111.51600000000002</v>
      </c>
      <c r="AE19" s="392">
        <f>AE16-AE15</f>
        <v>57.662999999999997</v>
      </c>
      <c r="AF19" s="392">
        <f>AG19-AE19</f>
        <v>73.333000000000013</v>
      </c>
      <c r="AG19" s="392">
        <f>AG16-AG15</f>
        <v>130.99600000000001</v>
      </c>
      <c r="AH19" s="392">
        <f>AH16-AH15</f>
        <v>69.25</v>
      </c>
      <c r="AI19" s="30">
        <f>AJ19-AH19</f>
        <v>82.741000000000014</v>
      </c>
      <c r="AJ19" s="392">
        <f>AJ16-AJ15</f>
        <v>151.99100000000001</v>
      </c>
      <c r="AK19" s="391">
        <v>75.3</v>
      </c>
      <c r="AL19" s="30">
        <f>AM19-AK19</f>
        <v>72.3</v>
      </c>
      <c r="AM19" s="403">
        <v>147.6</v>
      </c>
      <c r="AN19" s="403">
        <v>51.7</v>
      </c>
      <c r="AO19" s="392">
        <f>AO16-AO15</f>
        <v>68.137886765188725</v>
      </c>
      <c r="AP19" s="392">
        <f>SUM(AN19:AO19)</f>
        <v>119.83788676518873</v>
      </c>
      <c r="AQ19" s="392">
        <f>AQ16-AQ15</f>
        <v>70.686710250202765</v>
      </c>
      <c r="AR19" s="392">
        <f>AR16-AR15</f>
        <v>81.234803425749178</v>
      </c>
      <c r="AS19" s="392">
        <f>SUM(AQ19:AR19)</f>
        <v>151.92151367595193</v>
      </c>
      <c r="AT19" s="392">
        <f>AT16-AT15</f>
        <v>75.888702067338471</v>
      </c>
      <c r="AU19" s="392">
        <f>AU16-AU15</f>
        <v>86.992427518008412</v>
      </c>
      <c r="AV19" s="392">
        <f>SUM(AT19:AU19)</f>
        <v>162.88112958534688</v>
      </c>
      <c r="AW19" s="392">
        <f>AW16-AW15</f>
        <v>80.468112258561575</v>
      </c>
      <c r="AX19" s="392">
        <f>AX16-AX15</f>
        <v>92.140314084718568</v>
      </c>
      <c r="AY19" s="392">
        <f>SUM(AW19:AX19)</f>
        <v>172.60842634328014</v>
      </c>
      <c r="AZ19" s="392">
        <f>AZ16-AZ15</f>
        <v>85.286683015725046</v>
      </c>
      <c r="BA19" s="392">
        <f>BA16-BA15</f>
        <v>97.550613353232151</v>
      </c>
      <c r="BB19" s="392">
        <f>SUM(AZ19:BA19)</f>
        <v>182.8372963689572</v>
      </c>
    </row>
    <row r="20" spans="1:65">
      <c r="B20" s="7" t="s">
        <v>422</v>
      </c>
      <c r="D20" s="130"/>
      <c r="E20" s="105"/>
      <c r="F20" s="130"/>
      <c r="G20" s="130"/>
      <c r="H20" s="105"/>
      <c r="I20" s="130"/>
      <c r="J20" s="130"/>
      <c r="K20" s="105"/>
      <c r="L20" s="130"/>
      <c r="M20" s="130"/>
      <c r="N20" s="105"/>
      <c r="O20" s="130"/>
      <c r="P20" s="130"/>
      <c r="Q20" s="105"/>
      <c r="R20" s="130"/>
      <c r="S20" s="130"/>
      <c r="T20" s="105"/>
      <c r="U20" s="130"/>
      <c r="V20" s="130">
        <f t="shared" ref="V20:AA20" si="85">V19/V12</f>
        <v>0.1181616030592219</v>
      </c>
      <c r="W20" s="105">
        <f t="shared" si="85"/>
        <v>8.4872356584295303E-2</v>
      </c>
      <c r="X20" s="130">
        <f t="shared" si="85"/>
        <v>9.5566737065985508E-2</v>
      </c>
      <c r="Y20" s="130">
        <f t="shared" si="85"/>
        <v>0.16046360679735672</v>
      </c>
      <c r="Z20" s="105">
        <f t="shared" si="85"/>
        <v>0.17104891981475828</v>
      </c>
      <c r="AA20" s="38">
        <f t="shared" si="85"/>
        <v>0.16618197519183944</v>
      </c>
      <c r="AB20" s="38">
        <f t="shared" ref="AB20:AD20" si="86">AB19/AB12</f>
        <v>0.14232995680157803</v>
      </c>
      <c r="AC20" s="105">
        <f t="shared" si="86"/>
        <v>0.14000590299412985</v>
      </c>
      <c r="AD20" s="38">
        <f t="shared" si="86"/>
        <v>0.14098602731828688</v>
      </c>
      <c r="AE20" s="38">
        <f t="shared" ref="AE20:AG20" si="87">AE19/AE12</f>
        <v>0.13493660696317167</v>
      </c>
      <c r="AF20" s="105">
        <f t="shared" si="87"/>
        <v>0.15847731422952666</v>
      </c>
      <c r="AG20" s="38">
        <f t="shared" si="87"/>
        <v>0.1471751066490351</v>
      </c>
      <c r="AH20" s="38">
        <f>AH19/AH12</f>
        <v>0.16238714972446947</v>
      </c>
      <c r="AI20" s="105">
        <f t="shared" ref="AI20:AJ20" si="88">AI19/AI12</f>
        <v>0.18336890301333922</v>
      </c>
      <c r="AJ20" s="38">
        <f t="shared" si="88"/>
        <v>0.17317418594767783</v>
      </c>
      <c r="AK20" s="38">
        <f>AK19/AK12</f>
        <v>0.17089555626163133</v>
      </c>
      <c r="AL20" s="105">
        <f t="shared" ref="AL20:AM20" si="89">AL19/AL12</f>
        <v>0.1728589872328217</v>
      </c>
      <c r="AM20" s="408">
        <f t="shared" si="89"/>
        <v>0.17185171385991058</v>
      </c>
      <c r="AN20" s="408">
        <f>AN19/AN12</f>
        <v>0.1264253418008153</v>
      </c>
      <c r="AO20" s="105">
        <f t="shared" ref="AO20:BB20" si="90">AO19/AO12</f>
        <v>0.15229210275315658</v>
      </c>
      <c r="AP20" s="130">
        <f t="shared" si="90"/>
        <v>0.13993986179801454</v>
      </c>
      <c r="AQ20" s="105">
        <f t="shared" si="90"/>
        <v>0.16303891633540452</v>
      </c>
      <c r="AR20" s="105">
        <f t="shared" si="90"/>
        <v>0.17128867862150904</v>
      </c>
      <c r="AS20" s="130">
        <f t="shared" si="90"/>
        <v>0.1673487254949578</v>
      </c>
      <c r="AT20" s="105">
        <f t="shared" si="90"/>
        <v>0.16670729476172158</v>
      </c>
      <c r="AU20" s="105">
        <f t="shared" si="90"/>
        <v>0.17469694757966703</v>
      </c>
      <c r="AV20" s="130">
        <f t="shared" si="90"/>
        <v>0.17088124895057583</v>
      </c>
      <c r="AW20" s="105">
        <f t="shared" si="90"/>
        <v>0.16997135352279086</v>
      </c>
      <c r="AX20" s="105">
        <f t="shared" si="90"/>
        <v>0.17791432532885404</v>
      </c>
      <c r="AY20" s="130">
        <f t="shared" si="90"/>
        <v>0.17412099854727051</v>
      </c>
      <c r="AZ20" s="105">
        <f t="shared" si="90"/>
        <v>0.17322128885284019</v>
      </c>
      <c r="BA20" s="105">
        <f t="shared" si="90"/>
        <v>0.18111701328072782</v>
      </c>
      <c r="BB20" s="130">
        <f t="shared" si="90"/>
        <v>0.17734625093054465</v>
      </c>
    </row>
    <row r="21" spans="1:65">
      <c r="AH21" s="32">
        <f>AH19/AE19-1</f>
        <v>0.20094341258692761</v>
      </c>
      <c r="AK21" s="32">
        <f>AK19/AH19-1</f>
        <v>8.7364620938628068E-2</v>
      </c>
      <c r="AN21" s="33">
        <f>AN19/AK19-1</f>
        <v>-0.31341301460823368</v>
      </c>
      <c r="AO21" s="88">
        <f t="shared" ref="AO21:BB21" si="91">AO19/AL19-1</f>
        <v>-5.7567264658523798E-2</v>
      </c>
      <c r="AP21" s="88">
        <f t="shared" si="91"/>
        <v>-0.18809019806782701</v>
      </c>
      <c r="AQ21" s="88">
        <f t="shared" si="91"/>
        <v>0.36724778046813844</v>
      </c>
      <c r="AR21" s="88">
        <f t="shared" si="91"/>
        <v>0.19221195846143546</v>
      </c>
      <c r="AS21" s="88">
        <f t="shared" si="91"/>
        <v>0.26772523929454883</v>
      </c>
      <c r="AT21" s="88">
        <f t="shared" si="91"/>
        <v>7.3592218377722451E-2</v>
      </c>
      <c r="AU21" s="88">
        <f t="shared" si="91"/>
        <v>7.0876322086774746E-2</v>
      </c>
      <c r="AV21" s="88">
        <f t="shared" si="91"/>
        <v>7.2139986261404498E-2</v>
      </c>
      <c r="AW21" s="88">
        <f t="shared" si="91"/>
        <v>6.0343767470942389E-2</v>
      </c>
      <c r="AX21" s="88">
        <f t="shared" si="91"/>
        <v>5.9176260665268599E-2</v>
      </c>
      <c r="AY21" s="88">
        <f t="shared" si="91"/>
        <v>5.9720219172696209E-2</v>
      </c>
      <c r="AZ21" s="88">
        <f t="shared" si="91"/>
        <v>5.9881742244435321E-2</v>
      </c>
      <c r="BA21" s="88">
        <f t="shared" si="91"/>
        <v>5.8718046734017815E-2</v>
      </c>
      <c r="BB21" s="88">
        <f t="shared" si="91"/>
        <v>5.9260548528112356E-2</v>
      </c>
    </row>
    <row r="23" spans="1:65">
      <c r="B23" s="7" t="s">
        <v>399</v>
      </c>
      <c r="C23" s="119" t="s">
        <v>409</v>
      </c>
      <c r="D23" s="30"/>
      <c r="E23" s="30"/>
      <c r="F23" s="31"/>
      <c r="G23" s="30"/>
      <c r="H23" s="30"/>
      <c r="I23" s="31"/>
      <c r="J23" s="30"/>
      <c r="K23" s="30"/>
      <c r="L23" s="31"/>
      <c r="M23" s="30"/>
      <c r="N23" s="30"/>
      <c r="O23" s="31"/>
      <c r="P23" s="30"/>
      <c r="Q23" s="30"/>
      <c r="R23" s="31"/>
      <c r="S23" s="89"/>
      <c r="T23" s="30"/>
      <c r="U23" s="89"/>
      <c r="V23" s="31">
        <v>36.692</v>
      </c>
      <c r="W23" s="30">
        <f>X23-V23</f>
        <v>60.095000000000006</v>
      </c>
      <c r="X23" s="129">
        <v>96.787000000000006</v>
      </c>
      <c r="Y23" s="31">
        <f>+Y16</f>
        <v>54.750999999999998</v>
      </c>
      <c r="Z23" s="30">
        <f>AA23-Y23</f>
        <v>61.875000000000007</v>
      </c>
      <c r="AA23" s="31">
        <v>116.626</v>
      </c>
      <c r="AB23" s="31">
        <v>52.999000000000002</v>
      </c>
      <c r="AC23" s="30">
        <f>AD23-AB23</f>
        <v>73.420999999999992</v>
      </c>
      <c r="AD23" s="31">
        <v>126.42</v>
      </c>
      <c r="AE23" s="31">
        <v>67.748000000000005</v>
      </c>
      <c r="AF23" s="30">
        <f>AG23-AE23</f>
        <v>84.555999999999997</v>
      </c>
      <c r="AG23" s="31">
        <v>152.304</v>
      </c>
      <c r="AH23" s="31">
        <v>75.23</v>
      </c>
      <c r="AI23" s="30">
        <f>AJ23-AH23</f>
        <v>98.122</v>
      </c>
      <c r="AJ23" s="31">
        <v>173.352</v>
      </c>
      <c r="AK23" s="31">
        <v>92.308000000000007</v>
      </c>
      <c r="AL23" s="30">
        <f>AM23-AK23</f>
        <v>89.753</v>
      </c>
      <c r="AM23" s="402">
        <v>182.06100000000001</v>
      </c>
      <c r="AN23" s="402">
        <v>69.063000000000002</v>
      </c>
    </row>
    <row r="24" spans="1:65">
      <c r="B24" s="7" t="s">
        <v>400</v>
      </c>
      <c r="C24" s="119" t="s">
        <v>409</v>
      </c>
      <c r="D24" s="30"/>
      <c r="E24" s="30"/>
      <c r="F24" s="30"/>
      <c r="G24" s="30"/>
      <c r="H24" s="30"/>
      <c r="I24" s="30"/>
      <c r="J24" s="30"/>
      <c r="K24" s="30"/>
      <c r="L24" s="30"/>
      <c r="M24" s="30"/>
      <c r="N24" s="30"/>
      <c r="O24" s="30"/>
      <c r="P24" s="30"/>
      <c r="Q24" s="30"/>
      <c r="R24" s="30"/>
      <c r="S24" s="30"/>
      <c r="T24" s="30"/>
      <c r="U24" s="30"/>
      <c r="V24" s="30">
        <f t="shared" ref="V24:AA24" si="92">V16-V23</f>
        <v>0</v>
      </c>
      <c r="W24" s="30">
        <f t="shared" si="92"/>
        <v>0</v>
      </c>
      <c r="X24" s="30">
        <f t="shared" si="92"/>
        <v>0</v>
      </c>
      <c r="Y24" s="30">
        <f t="shared" si="92"/>
        <v>0</v>
      </c>
      <c r="Z24" s="30">
        <f t="shared" si="92"/>
        <v>4.6899999999999906</v>
      </c>
      <c r="AA24" s="30">
        <f t="shared" si="92"/>
        <v>4.6899999999999977</v>
      </c>
      <c r="AB24" s="30">
        <f t="shared" ref="AB24:AD24" si="93">AB16-AB23</f>
        <v>3.9009999999999962</v>
      </c>
      <c r="AC24" s="30">
        <f t="shared" si="93"/>
        <v>3.4790000000000134</v>
      </c>
      <c r="AD24" s="30">
        <f t="shared" si="93"/>
        <v>7.3800000000000097</v>
      </c>
      <c r="AE24" s="30">
        <f>AE16-AE23</f>
        <v>3.8519999999999897</v>
      </c>
      <c r="AF24" s="30">
        <f t="shared" ref="AF24:AG24" si="94">AF16-AF23</f>
        <v>3.3440000000000083</v>
      </c>
      <c r="AG24" s="30">
        <f t="shared" si="94"/>
        <v>7.195999999999998</v>
      </c>
      <c r="AH24" s="30">
        <f>AH16-AH23</f>
        <v>9.769999999999996</v>
      </c>
      <c r="AI24" s="30">
        <f t="shared" ref="AI24:AJ24" si="95">AI16-AI23</f>
        <v>1.1780000000000115</v>
      </c>
      <c r="AJ24" s="30">
        <f t="shared" si="95"/>
        <v>10.948000000000008</v>
      </c>
      <c r="AK24" s="30">
        <f>AK16-AK23</f>
        <v>0.29199999999998738</v>
      </c>
      <c r="AL24" s="30">
        <f t="shared" ref="AL24:AM24" si="96">AL16-AL23</f>
        <v>-5.2999999999983061E-2</v>
      </c>
      <c r="AM24" s="405">
        <f t="shared" si="96"/>
        <v>0.23900000000000432</v>
      </c>
      <c r="AN24" s="405">
        <f>AN16-AN23</f>
        <v>3.6999999999991928E-2</v>
      </c>
    </row>
    <row r="25" spans="1:65">
      <c r="C25" s="119"/>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I25" s="30"/>
      <c r="AJ25" s="30"/>
      <c r="AL25" s="30"/>
      <c r="AM25" s="405"/>
    </row>
    <row r="26" spans="1:65">
      <c r="A26" s="14" t="s">
        <v>420</v>
      </c>
      <c r="B26" s="1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69"/>
      <c r="AN26" s="69"/>
      <c r="AO26" s="4"/>
      <c r="AP26" s="4"/>
      <c r="AQ26" s="4"/>
      <c r="AR26" s="4"/>
      <c r="AS26" s="4"/>
      <c r="AT26" s="4"/>
      <c r="AU26" s="4"/>
      <c r="AV26" s="4"/>
      <c r="AW26" s="4"/>
      <c r="AX26" s="4"/>
      <c r="AY26" s="4"/>
      <c r="AZ26" s="4"/>
      <c r="BA26" s="4"/>
      <c r="BB26" s="4"/>
      <c r="BC26" s="4"/>
      <c r="BD26" s="4"/>
      <c r="BE26" s="4"/>
      <c r="BF26" s="4"/>
      <c r="BG26" s="4"/>
      <c r="BH26" s="4"/>
      <c r="BI26" s="4"/>
      <c r="BJ26" s="4"/>
      <c r="BK26" s="4"/>
      <c r="BL26" s="4"/>
      <c r="BM26" s="4"/>
    </row>
    <row r="27" spans="1:65">
      <c r="B27" s="7" t="s">
        <v>407</v>
      </c>
      <c r="D27" s="49">
        <v>65982</v>
      </c>
      <c r="E27" s="49">
        <v>60406</v>
      </c>
      <c r="F27" s="49"/>
      <c r="G27" s="49"/>
      <c r="H27" s="49"/>
      <c r="I27" s="49"/>
      <c r="J27" s="49"/>
      <c r="K27" s="49"/>
      <c r="L27" s="49"/>
      <c r="M27" s="49"/>
      <c r="N27" s="49"/>
      <c r="O27" s="49"/>
      <c r="P27" s="49"/>
      <c r="Q27" s="49"/>
      <c r="R27" s="49"/>
      <c r="S27" s="49"/>
      <c r="T27" s="49"/>
      <c r="U27" s="49"/>
      <c r="V27" s="49">
        <v>102093</v>
      </c>
      <c r="W27" s="49">
        <v>93926</v>
      </c>
      <c r="X27" s="49">
        <f>SUM(V27:W27)</f>
        <v>196019</v>
      </c>
      <c r="Y27" s="49">
        <v>130732</v>
      </c>
      <c r="Z27" s="49">
        <v>109590</v>
      </c>
      <c r="AA27" s="49">
        <f>SUM(Y27:Z27)</f>
        <v>240322</v>
      </c>
      <c r="AB27" s="49">
        <v>148223</v>
      </c>
      <c r="AC27" s="49">
        <v>142031</v>
      </c>
      <c r="AD27" s="49">
        <f>SUM(AB27:AC27)</f>
        <v>290254</v>
      </c>
      <c r="AE27" s="49">
        <v>204049</v>
      </c>
      <c r="AF27" s="49">
        <v>148145</v>
      </c>
      <c r="AG27" s="49">
        <f>SUM(AE27:AF27)</f>
        <v>352194</v>
      </c>
      <c r="AH27" s="49">
        <v>187484</v>
      </c>
      <c r="AI27" s="49">
        <v>142785</v>
      </c>
      <c r="AJ27" s="49">
        <f>SUM(AH27:AI27)</f>
        <v>330269</v>
      </c>
      <c r="AK27" s="49">
        <v>214986</v>
      </c>
      <c r="AL27" s="49">
        <v>158885</v>
      </c>
      <c r="AM27" s="407">
        <f>SUM(AK27:AL27)</f>
        <v>373871</v>
      </c>
      <c r="AN27" s="407">
        <v>174848.96</v>
      </c>
      <c r="AO27" s="49">
        <v>186391.67999999999</v>
      </c>
      <c r="AP27" s="49">
        <f>SUM(AN27:AO27)</f>
        <v>361240.64</v>
      </c>
      <c r="AQ27" s="49">
        <v>152529.60000000001</v>
      </c>
      <c r="AR27" s="49">
        <v>199625.9712</v>
      </c>
      <c r="AS27" s="49">
        <f>SUM(AQ27:AR27)</f>
        <v>352155.57120000001</v>
      </c>
      <c r="AT27" s="49">
        <v>182663.84639999998</v>
      </c>
      <c r="AU27" s="49">
        <v>174569.20166399999</v>
      </c>
      <c r="AV27" s="49">
        <f>SUM(AT27:AU27)</f>
        <v>357233.04806399997</v>
      </c>
      <c r="AW27" s="49">
        <v>207611.010048</v>
      </c>
      <c r="AX27" s="49">
        <v>159869.438976</v>
      </c>
      <c r="AY27" s="49">
        <f>SUM(AW27:AX27)</f>
        <v>367480.44902399997</v>
      </c>
      <c r="AZ27" s="49">
        <v>181551.96973056003</v>
      </c>
      <c r="BA27" s="49">
        <v>197569.21626623999</v>
      </c>
      <c r="BB27" s="49">
        <f>SUM(AZ27:BA27)</f>
        <v>379121.18599680002</v>
      </c>
    </row>
    <row r="28" spans="1:65">
      <c r="B28" s="7" t="s">
        <v>225</v>
      </c>
      <c r="C28" s="118" t="s">
        <v>82</v>
      </c>
      <c r="D28" s="124"/>
      <c r="E28" s="124"/>
      <c r="F28" s="124"/>
      <c r="G28" s="124"/>
      <c r="H28" s="124"/>
      <c r="I28" s="124"/>
      <c r="J28" s="124"/>
      <c r="K28" s="124"/>
      <c r="L28" s="124"/>
      <c r="M28" s="124"/>
      <c r="N28" s="124"/>
      <c r="O28" s="124"/>
      <c r="P28" s="124"/>
      <c r="Q28" s="124"/>
      <c r="R28" s="124"/>
      <c r="S28" s="124"/>
      <c r="T28" s="124"/>
      <c r="U28" s="124"/>
      <c r="V28" s="124"/>
      <c r="W28" s="124"/>
      <c r="X28" s="124"/>
      <c r="Y28" s="124">
        <f t="shared" ref="Y28:AK28" si="97">Y27/V27-1</f>
        <v>0.28051874271497557</v>
      </c>
      <c r="Z28" s="124">
        <f>Z27/W27-1</f>
        <v>0.16676958456657376</v>
      </c>
      <c r="AA28" s="32">
        <f>AA27/X27-1</f>
        <v>0.22601380478423017</v>
      </c>
      <c r="AB28" s="32">
        <f t="shared" si="97"/>
        <v>0.13379279747881156</v>
      </c>
      <c r="AC28" s="124">
        <f>AC27/Z27-1</f>
        <v>0.29602153481157045</v>
      </c>
      <c r="AD28" s="32">
        <f>AD27/AA27-1</f>
        <v>0.20777124025266103</v>
      </c>
      <c r="AE28" s="32">
        <f t="shared" si="97"/>
        <v>0.37663520506264203</v>
      </c>
      <c r="AF28" s="124">
        <f>AF27/AC27-1</f>
        <v>4.3046940456660909E-2</v>
      </c>
      <c r="AG28" s="32">
        <f>AG27/AD27-1</f>
        <v>0.21339929854541184</v>
      </c>
      <c r="AH28" s="32">
        <f t="shared" si="97"/>
        <v>-8.1181480918798954E-2</v>
      </c>
      <c r="AI28" s="32">
        <f>AI27/AF27-1</f>
        <v>-3.6180768841337918E-2</v>
      </c>
      <c r="AJ28" s="32">
        <f>AJ27/AG27-1</f>
        <v>-6.2252622134391866E-2</v>
      </c>
      <c r="AK28" s="32">
        <f t="shared" si="97"/>
        <v>0.14668985086727404</v>
      </c>
      <c r="AL28" s="32">
        <f>AL27/AI27-1</f>
        <v>0.11275694225583921</v>
      </c>
      <c r="AM28" s="33">
        <f>AM27/AJ27-1</f>
        <v>0.13201965670408056</v>
      </c>
      <c r="AN28" s="33">
        <f t="shared" ref="AN28" si="98">AN27/AK27-1</f>
        <v>-0.18669606392974425</v>
      </c>
      <c r="AO28" s="124">
        <f t="shared" ref="AO28:BB28" si="99">AO27/AL27-1</f>
        <v>0.17312320231614065</v>
      </c>
      <c r="AP28" s="124">
        <f t="shared" si="99"/>
        <v>-3.3782668353522949E-2</v>
      </c>
      <c r="AQ28" s="124">
        <f t="shared" si="99"/>
        <v>-0.12764937234971252</v>
      </c>
      <c r="AR28" s="124">
        <f t="shared" si="99"/>
        <v>7.1002585523130657E-2</v>
      </c>
      <c r="AS28" s="124">
        <f t="shared" si="99"/>
        <v>-2.514963100497225E-2</v>
      </c>
      <c r="AT28" s="124">
        <f t="shared" si="99"/>
        <v>0.19756326903106003</v>
      </c>
      <c r="AU28" s="124">
        <f t="shared" si="99"/>
        <v>-0.12551858550957928</v>
      </c>
      <c r="AV28" s="124">
        <f t="shared" si="99"/>
        <v>1.4418277827319415E-2</v>
      </c>
      <c r="AW28" s="124">
        <f t="shared" si="99"/>
        <v>0.13657417239189384</v>
      </c>
      <c r="AX28" s="124">
        <f t="shared" si="99"/>
        <v>-8.4205934081621026E-2</v>
      </c>
      <c r="AY28" s="124">
        <f t="shared" si="99"/>
        <v>2.8685478612729298E-2</v>
      </c>
      <c r="AZ28" s="124">
        <f t="shared" si="99"/>
        <v>-0.12551858550957906</v>
      </c>
      <c r="BA28" s="124">
        <f t="shared" si="99"/>
        <v>0.23581603545815644</v>
      </c>
      <c r="BB28" s="124">
        <f t="shared" si="99"/>
        <v>3.1677159978760638E-2</v>
      </c>
    </row>
    <row r="29" spans="1:65">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32"/>
      <c r="AB29" s="32"/>
      <c r="AC29" s="124"/>
      <c r="AD29" s="32"/>
      <c r="AE29" s="32"/>
      <c r="AF29" s="124"/>
      <c r="AG29" s="32"/>
      <c r="AH29" s="32"/>
      <c r="AI29" s="32"/>
      <c r="AJ29" s="32"/>
      <c r="AK29" s="32"/>
      <c r="AL29" s="32"/>
      <c r="AM29" s="33"/>
      <c r="AN29" s="33"/>
      <c r="AO29" s="124"/>
      <c r="AP29" s="124"/>
      <c r="AQ29" s="124"/>
      <c r="AR29" s="124"/>
      <c r="AS29" s="124"/>
      <c r="AT29" s="124"/>
      <c r="AU29" s="124"/>
      <c r="AV29" s="124"/>
      <c r="AW29" s="124"/>
      <c r="AX29" s="124"/>
      <c r="AY29" s="124"/>
      <c r="AZ29" s="124"/>
      <c r="BA29" s="124"/>
      <c r="BB29" s="124"/>
    </row>
    <row r="30" spans="1:65">
      <c r="B30" s="7" t="s">
        <v>87</v>
      </c>
      <c r="C30" s="118" t="s">
        <v>419</v>
      </c>
      <c r="D30" s="49"/>
      <c r="E30" s="49"/>
      <c r="F30" s="49"/>
      <c r="G30" s="49"/>
      <c r="H30" s="49"/>
      <c r="I30" s="49"/>
      <c r="J30" s="49"/>
      <c r="K30" s="49"/>
      <c r="L30" s="49"/>
      <c r="M30" s="49"/>
      <c r="N30" s="49"/>
      <c r="O30" s="49"/>
      <c r="P30" s="49"/>
      <c r="Q30" s="49"/>
      <c r="R30" s="49"/>
      <c r="S30" s="49"/>
      <c r="T30" s="49"/>
      <c r="U30" s="49"/>
      <c r="V30" s="49">
        <v>485.4</v>
      </c>
      <c r="W30" s="49">
        <v>428.1</v>
      </c>
      <c r="X30" s="49">
        <v>913.5</v>
      </c>
      <c r="Y30" s="49">
        <v>498.69999999999993</v>
      </c>
      <c r="Z30" s="49">
        <v>532.70000000000005</v>
      </c>
      <c r="AA30" s="49">
        <v>1031.4000000000001</v>
      </c>
      <c r="AB30" s="49">
        <v>605.4</v>
      </c>
      <c r="AC30" s="49">
        <v>532.90000000000009</v>
      </c>
      <c r="AD30" s="49">
        <v>1138.3000000000002</v>
      </c>
      <c r="AE30" s="49">
        <v>545</v>
      </c>
      <c r="AF30" s="49">
        <v>381.6</v>
      </c>
      <c r="AG30" s="49">
        <v>926.6</v>
      </c>
      <c r="AH30" s="49">
        <v>520.5</v>
      </c>
      <c r="AI30" s="49">
        <v>480.20000000000005</v>
      </c>
      <c r="AJ30" s="49">
        <v>1000.7</v>
      </c>
      <c r="AK30" s="49">
        <v>540.79999999999995</v>
      </c>
      <c r="AL30" s="49">
        <v>456.5</v>
      </c>
      <c r="AM30" s="407">
        <v>997.3</v>
      </c>
      <c r="AN30" s="407">
        <v>507.78800000000001</v>
      </c>
      <c r="AO30" s="49">
        <v>472.46100000000007</v>
      </c>
      <c r="AP30" s="49">
        <v>980.24900000000002</v>
      </c>
      <c r="AQ30" s="49">
        <v>517.94376</v>
      </c>
      <c r="AR30" s="49">
        <v>484.24398000000008</v>
      </c>
      <c r="AS30" s="49">
        <v>1002.1877400000001</v>
      </c>
      <c r="AT30" s="49">
        <v>533.48207279999997</v>
      </c>
      <c r="AU30" s="49">
        <v>481.94488980000006</v>
      </c>
      <c r="AV30" s="49">
        <v>1015.4269626</v>
      </c>
      <c r="AW30" s="49">
        <v>512.14278988799992</v>
      </c>
      <c r="AX30" s="49">
        <v>460.35947232000001</v>
      </c>
      <c r="AY30" s="49">
        <v>972.50226220799993</v>
      </c>
      <c r="AZ30" s="49">
        <v>486.53565039360001</v>
      </c>
      <c r="BA30" s="49">
        <v>435.14925791040002</v>
      </c>
      <c r="BB30" s="49">
        <v>921.68490830400003</v>
      </c>
    </row>
    <row r="31" spans="1:65">
      <c r="B31" s="7" t="s">
        <v>180</v>
      </c>
      <c r="C31" s="118" t="s">
        <v>82</v>
      </c>
      <c r="D31" s="124"/>
      <c r="E31" s="124"/>
      <c r="F31" s="124"/>
      <c r="G31" s="124"/>
      <c r="H31" s="124"/>
      <c r="I31" s="124"/>
      <c r="J31" s="124"/>
      <c r="K31" s="124"/>
      <c r="L31" s="124"/>
      <c r="M31" s="124"/>
      <c r="N31" s="124"/>
      <c r="O31" s="124"/>
      <c r="P31" s="124"/>
      <c r="Q31" s="124"/>
      <c r="R31" s="124"/>
      <c r="S31" s="124"/>
      <c r="T31" s="124"/>
      <c r="U31" s="124"/>
      <c r="V31" s="124">
        <v>-1.9195797130733494E-2</v>
      </c>
      <c r="W31" s="124">
        <v>0.14281900694073668</v>
      </c>
      <c r="X31" s="124">
        <v>5.0603795284646313E-2</v>
      </c>
      <c r="Y31" s="124">
        <v>2.7400082406262793E-2</v>
      </c>
      <c r="Z31" s="124">
        <v>0.24433543564587712</v>
      </c>
      <c r="AA31" s="32">
        <v>0.12906403940886713</v>
      </c>
      <c r="AB31" s="32">
        <v>0.21395628634449571</v>
      </c>
      <c r="AC31" s="124">
        <v>3.7544584193738295E-4</v>
      </c>
      <c r="AD31" s="32">
        <v>0.10364553034710111</v>
      </c>
      <c r="AE31" s="32">
        <v>-9.9768747935249369E-2</v>
      </c>
      <c r="AF31" s="124">
        <v>-0.28391818352411347</v>
      </c>
      <c r="AG31" s="32">
        <v>-0.18597909162786619</v>
      </c>
      <c r="AH31" s="32">
        <v>-4.4954128440366947E-2</v>
      </c>
      <c r="AI31" s="32">
        <v>0.25838574423480098</v>
      </c>
      <c r="AJ31" s="32">
        <v>7.9969781998704859E-2</v>
      </c>
      <c r="AK31" s="32">
        <v>3.9000960614793412E-2</v>
      </c>
      <c r="AL31" s="32">
        <v>-4.9354435651811857E-2</v>
      </c>
      <c r="AM31" s="33">
        <v>-3.3976216648347046E-3</v>
      </c>
      <c r="AN31" s="33">
        <v>-6.104289940828389E-2</v>
      </c>
      <c r="AO31" s="124">
        <v>3.4963855421686896E-2</v>
      </c>
      <c r="AP31" s="124">
        <v>-1.7097162338313376E-2</v>
      </c>
      <c r="AQ31" s="124">
        <v>2.0000000000000018E-2</v>
      </c>
      <c r="AR31" s="124">
        <v>2.4939582314730702E-2</v>
      </c>
      <c r="AS31" s="124">
        <v>2.2380782841910696E-2</v>
      </c>
      <c r="AT31" s="124">
        <v>3.0000000000000027E-2</v>
      </c>
      <c r="AU31" s="124">
        <v>-4.7477930443244887E-3</v>
      </c>
      <c r="AV31" s="124">
        <v>1.3210321850474882E-2</v>
      </c>
      <c r="AW31" s="124">
        <v>-4.0000000000000036E-2</v>
      </c>
      <c r="AX31" s="124">
        <v>-4.4788144737788693E-2</v>
      </c>
      <c r="AY31" s="124">
        <v>-4.2272563141411368E-2</v>
      </c>
      <c r="AZ31" s="124">
        <v>-4.9999999999999822E-2</v>
      </c>
      <c r="BA31" s="124">
        <v>-5.4762019520424143E-2</v>
      </c>
      <c r="BB31" s="124">
        <v>-5.2254226934775994E-2</v>
      </c>
    </row>
    <row r="32" spans="1:65">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32"/>
      <c r="AB32" s="32"/>
      <c r="AC32" s="124"/>
      <c r="AD32" s="32"/>
      <c r="AE32" s="32"/>
      <c r="AF32" s="124"/>
      <c r="AG32" s="32"/>
      <c r="AH32" s="32"/>
      <c r="AI32" s="32"/>
      <c r="AJ32" s="32"/>
      <c r="AK32" s="32"/>
      <c r="AL32" s="32"/>
      <c r="AM32" s="33"/>
      <c r="AN32" s="33"/>
      <c r="AO32" s="124"/>
      <c r="AP32" s="124"/>
      <c r="AQ32" s="124"/>
      <c r="AR32" s="124"/>
      <c r="AS32" s="124"/>
      <c r="AT32" s="124"/>
      <c r="AU32" s="124"/>
      <c r="AV32" s="124"/>
      <c r="AW32" s="124"/>
      <c r="AX32" s="124"/>
      <c r="AY32" s="124"/>
      <c r="AZ32" s="124"/>
      <c r="BA32" s="124"/>
      <c r="BB32" s="124"/>
    </row>
    <row r="33" spans="1:54">
      <c r="A33" s="147" t="s">
        <v>416</v>
      </c>
      <c r="B33" s="148"/>
      <c r="C33" s="149"/>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J33" s="148"/>
      <c r="AK33" s="148"/>
      <c r="AM33" s="413"/>
      <c r="AN33" s="413"/>
      <c r="AO33" s="148"/>
      <c r="AP33" s="148"/>
      <c r="AQ33" s="148"/>
      <c r="AR33" s="148"/>
      <c r="AS33" s="148"/>
      <c r="AT33" s="148"/>
      <c r="AU33" s="148"/>
      <c r="AV33" s="148"/>
      <c r="AW33" s="148"/>
      <c r="AX33" s="148"/>
      <c r="AY33" s="148"/>
      <c r="AZ33" s="148"/>
      <c r="BA33" s="148"/>
      <c r="BB33" s="148"/>
    </row>
    <row r="34" spans="1:54">
      <c r="B34" s="7" t="s">
        <v>410</v>
      </c>
      <c r="D34" s="113"/>
      <c r="E34" s="113"/>
      <c r="F34" s="113"/>
      <c r="G34" s="113"/>
      <c r="H34" s="113"/>
      <c r="I34" s="113"/>
      <c r="J34" s="113"/>
      <c r="K34" s="113"/>
      <c r="L34" s="113"/>
      <c r="M34" s="113"/>
      <c r="N34" s="113"/>
      <c r="O34" s="113"/>
      <c r="P34" s="113"/>
      <c r="Q34" s="113"/>
      <c r="R34" s="113"/>
      <c r="S34" s="113"/>
      <c r="T34" s="113"/>
      <c r="U34" s="113"/>
      <c r="V34" s="113">
        <v>0.8</v>
      </c>
      <c r="W34" s="113">
        <v>0.8</v>
      </c>
      <c r="X34" s="113">
        <v>0.8</v>
      </c>
      <c r="Y34" s="113">
        <v>0.8</v>
      </c>
      <c r="Z34" s="113">
        <v>0.8</v>
      </c>
      <c r="AA34" s="113">
        <v>0.8</v>
      </c>
      <c r="AB34" s="113">
        <v>0.8</v>
      </c>
      <c r="AC34" s="113">
        <v>0.8</v>
      </c>
      <c r="AD34" s="113">
        <v>0.8</v>
      </c>
      <c r="AE34" s="113">
        <v>0.8</v>
      </c>
      <c r="AF34" s="113">
        <v>0.8</v>
      </c>
      <c r="AG34" s="113">
        <v>0.8</v>
      </c>
      <c r="AH34" s="113">
        <v>0.8</v>
      </c>
      <c r="AI34" s="113">
        <v>0.8</v>
      </c>
      <c r="AJ34" s="113">
        <v>0.8</v>
      </c>
      <c r="AK34" s="113">
        <v>0.8</v>
      </c>
      <c r="AL34" s="113">
        <v>0.8</v>
      </c>
      <c r="AM34" s="414">
        <v>0.8</v>
      </c>
      <c r="AN34" s="414">
        <v>0.8</v>
      </c>
      <c r="AO34" s="113">
        <v>0.8</v>
      </c>
      <c r="AP34" s="113">
        <v>0.8</v>
      </c>
      <c r="AQ34" s="113">
        <v>0.8</v>
      </c>
      <c r="AR34" s="113">
        <v>0.8</v>
      </c>
      <c r="AS34" s="113">
        <v>0.8</v>
      </c>
      <c r="AT34" s="113">
        <v>0.8</v>
      </c>
      <c r="AU34" s="113">
        <v>0.8</v>
      </c>
      <c r="AV34" s="113">
        <v>0.8</v>
      </c>
      <c r="AW34" s="113">
        <v>0.8</v>
      </c>
      <c r="AX34" s="113">
        <v>0.8</v>
      </c>
      <c r="AY34" s="113">
        <v>0.8</v>
      </c>
      <c r="AZ34" s="113">
        <v>0.8</v>
      </c>
      <c r="BA34" s="113">
        <v>0.8</v>
      </c>
      <c r="BB34" s="113">
        <v>0.8</v>
      </c>
    </row>
    <row r="35" spans="1:54">
      <c r="B35" s="7" t="s">
        <v>412</v>
      </c>
      <c r="D35" s="113"/>
      <c r="E35" s="113"/>
      <c r="F35" s="113"/>
      <c r="G35" s="113"/>
      <c r="H35" s="113"/>
      <c r="I35" s="113"/>
      <c r="J35" s="113"/>
      <c r="K35" s="113"/>
      <c r="L35" s="113"/>
      <c r="M35" s="113"/>
      <c r="N35" s="113"/>
      <c r="O35" s="113"/>
      <c r="P35" s="113"/>
      <c r="Q35" s="113"/>
      <c r="R35" s="113"/>
      <c r="S35" s="113"/>
      <c r="T35" s="113"/>
      <c r="U35" s="113"/>
      <c r="V35" s="113">
        <v>0.2</v>
      </c>
      <c r="W35" s="113">
        <v>0.2</v>
      </c>
      <c r="X35" s="113">
        <v>0.2</v>
      </c>
      <c r="Y35" s="113">
        <v>0.2</v>
      </c>
      <c r="Z35" s="113">
        <v>0.2</v>
      </c>
      <c r="AA35" s="113">
        <v>0.2</v>
      </c>
      <c r="AB35" s="113">
        <v>0.2</v>
      </c>
      <c r="AC35" s="113">
        <v>0.2</v>
      </c>
      <c r="AD35" s="113">
        <v>0.2</v>
      </c>
      <c r="AE35" s="113">
        <v>0.2</v>
      </c>
      <c r="AF35" s="113">
        <v>0.2</v>
      </c>
      <c r="AG35" s="113">
        <v>0.2</v>
      </c>
      <c r="AH35" s="113">
        <v>0.2</v>
      </c>
      <c r="AI35" s="113">
        <v>0.2</v>
      </c>
      <c r="AJ35" s="113">
        <v>0.2</v>
      </c>
      <c r="AK35" s="113">
        <v>0.2</v>
      </c>
      <c r="AL35" s="113">
        <v>0.2</v>
      </c>
      <c r="AM35" s="414">
        <v>0.2</v>
      </c>
      <c r="AN35" s="414">
        <v>0.2</v>
      </c>
      <c r="AO35" s="113">
        <v>0.2</v>
      </c>
      <c r="AP35" s="113">
        <v>0.2</v>
      </c>
      <c r="AQ35" s="113">
        <v>0.2</v>
      </c>
      <c r="AR35" s="113">
        <v>0.2</v>
      </c>
      <c r="AS35" s="113">
        <v>0.2</v>
      </c>
      <c r="AT35" s="113">
        <v>0.2</v>
      </c>
      <c r="AU35" s="113">
        <v>0.2</v>
      </c>
      <c r="AV35" s="113">
        <v>0.2</v>
      </c>
      <c r="AW35" s="113">
        <v>0.2</v>
      </c>
      <c r="AX35" s="113">
        <v>0.2</v>
      </c>
      <c r="AY35" s="113">
        <v>0.2</v>
      </c>
      <c r="AZ35" s="113">
        <v>0.2</v>
      </c>
      <c r="BA35" s="113">
        <v>0.2</v>
      </c>
      <c r="BB35" s="113">
        <v>0.2</v>
      </c>
    </row>
    <row r="36" spans="1:54">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414"/>
      <c r="AN36" s="414"/>
      <c r="AO36" s="113"/>
      <c r="AP36" s="113"/>
      <c r="AQ36" s="113"/>
      <c r="AR36" s="113"/>
      <c r="AS36" s="113"/>
      <c r="AT36" s="113"/>
      <c r="AU36" s="113"/>
      <c r="AV36" s="113"/>
      <c r="AW36" s="113"/>
      <c r="AX36" s="113"/>
      <c r="AY36" s="113"/>
      <c r="AZ36" s="113"/>
      <c r="BA36" s="113"/>
      <c r="BB36" s="113"/>
    </row>
    <row r="37" spans="1:54">
      <c r="A37" s="147" t="s">
        <v>421</v>
      </c>
      <c r="B37" s="148"/>
      <c r="C37" s="149"/>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J37" s="148"/>
      <c r="AK37" s="148"/>
      <c r="AM37" s="413"/>
      <c r="AN37" s="413"/>
      <c r="AO37" s="148"/>
      <c r="AP37" s="148"/>
      <c r="AQ37" s="148"/>
      <c r="AR37" s="148"/>
      <c r="AS37" s="148"/>
      <c r="AT37" s="148"/>
      <c r="AU37" s="148"/>
      <c r="AV37" s="148"/>
      <c r="AW37" s="148"/>
      <c r="AX37" s="148"/>
      <c r="AY37" s="148"/>
      <c r="AZ37" s="148"/>
      <c r="BA37" s="148"/>
      <c r="BB37" s="148"/>
    </row>
    <row r="38" spans="1:54">
      <c r="B38" s="40" t="s">
        <v>491</v>
      </c>
      <c r="D38" s="124"/>
      <c r="E38" s="124"/>
      <c r="F38" s="124"/>
      <c r="G38" s="124"/>
      <c r="H38" s="124"/>
      <c r="I38" s="124"/>
      <c r="J38" s="124"/>
      <c r="K38" s="124"/>
      <c r="L38" s="124"/>
      <c r="M38" s="124"/>
      <c r="N38" s="124"/>
      <c r="O38" s="124"/>
      <c r="P38" s="124"/>
      <c r="Q38" s="124"/>
      <c r="R38" s="124"/>
      <c r="S38" s="124"/>
      <c r="T38" s="124"/>
      <c r="U38" s="124"/>
      <c r="V38" s="124">
        <f t="shared" ref="V38:AH38" si="100">V28*V34+V31*V35</f>
        <v>-3.8391594261466991E-3</v>
      </c>
      <c r="W38" s="124">
        <f>W28*W34+W31*W35</f>
        <v>2.8563801388147337E-2</v>
      </c>
      <c r="X38" s="124">
        <f>X28*X34+X31*X35</f>
        <v>1.0120759056929263E-2</v>
      </c>
      <c r="Y38" s="124">
        <f t="shared" si="100"/>
        <v>0.22989501065323303</v>
      </c>
      <c r="Z38" s="124">
        <f>Z28*Z34+Z31*Z35</f>
        <v>0.18228275478243444</v>
      </c>
      <c r="AA38" s="32">
        <f>AA28*AA34+AA31*AA35</f>
        <v>0.20662385170915756</v>
      </c>
      <c r="AB38" s="32">
        <f t="shared" ref="AB38" si="101">AB28*AB34+AB31*AB35</f>
        <v>0.14982549525194841</v>
      </c>
      <c r="AC38" s="124">
        <f>AC28*AC34+AC31*AC35</f>
        <v>0.23689231701764385</v>
      </c>
      <c r="AD38" s="32">
        <f>AD28*AD34+AD31*AD35</f>
        <v>0.18694609827154904</v>
      </c>
      <c r="AE38" s="32">
        <f t="shared" ref="AE38" si="102">AE28*AE34+AE31*AE35</f>
        <v>0.28135441446306375</v>
      </c>
      <c r="AF38" s="124">
        <f>AF28*AF34+AF31*AF35</f>
        <v>-2.234608433949397E-2</v>
      </c>
      <c r="AG38" s="32">
        <f>AG28*AG34+AG31*AG35</f>
        <v>0.13352362051075622</v>
      </c>
      <c r="AH38" s="32">
        <f t="shared" si="100"/>
        <v>-7.3936010423112555E-2</v>
      </c>
      <c r="AI38" s="32">
        <f>AI28*AI34+AI31*AI35</f>
        <v>2.2732533773889868E-2</v>
      </c>
      <c r="AJ38" s="32">
        <f>AJ28*AJ34+AJ31*AJ35</f>
        <v>-3.3808141307772523E-2</v>
      </c>
      <c r="AK38" s="32">
        <f t="shared" ref="AK38" si="103">AK28*AK34+AK31*AK35</f>
        <v>0.12515207281677793</v>
      </c>
      <c r="AL38" s="32">
        <f>AL28*AL34+AL31*AL35</f>
        <v>8.033466667430901E-2</v>
      </c>
      <c r="AM38" s="33">
        <f>AM28*AM34+AM31*AM35</f>
        <v>0.10493620103029751</v>
      </c>
      <c r="AN38" s="33">
        <f t="shared" ref="AN38" si="104">AN28*AN34+AN31*AN35</f>
        <v>-0.16156543102545218</v>
      </c>
      <c r="AO38" s="124">
        <f t="shared" ref="AO38:BB38" si="105">AO28*AO34+AO31*AO35</f>
        <v>0.14549133293724989</v>
      </c>
      <c r="AP38" s="124">
        <f t="shared" si="105"/>
        <v>-3.0445567150481037E-2</v>
      </c>
      <c r="AQ38" s="124">
        <f t="shared" si="105"/>
        <v>-9.8119497879770021E-2</v>
      </c>
      <c r="AR38" s="124">
        <f t="shared" si="105"/>
        <v>6.1789984881450669E-2</v>
      </c>
      <c r="AS38" s="124">
        <f t="shared" si="105"/>
        <v>-1.5643548235595665E-2</v>
      </c>
      <c r="AT38" s="124">
        <f t="shared" si="105"/>
        <v>0.16405061522484804</v>
      </c>
      <c r="AU38" s="124">
        <f t="shared" si="105"/>
        <v>-0.10136442701652833</v>
      </c>
      <c r="AV38" s="124">
        <f t="shared" si="105"/>
        <v>1.4176686631950508E-2</v>
      </c>
      <c r="AW38" s="124">
        <f t="shared" si="105"/>
        <v>0.10125933791351507</v>
      </c>
      <c r="AX38" s="124">
        <f t="shared" si="105"/>
        <v>-7.6322376212854565E-2</v>
      </c>
      <c r="AY38" s="124">
        <f t="shared" si="105"/>
        <v>1.4493870261901166E-2</v>
      </c>
      <c r="AZ38" s="124">
        <f t="shared" si="105"/>
        <v>-0.11041486840766322</v>
      </c>
      <c r="BA38" s="124">
        <f t="shared" si="105"/>
        <v>0.17770042446244033</v>
      </c>
      <c r="BB38" s="124">
        <f t="shared" si="105"/>
        <v>1.4890882596053314E-2</v>
      </c>
    </row>
  </sheetData>
  <pageMargins left="0.7" right="0.7" top="0.75" bottom="0.75" header="0.3" footer="0.3"/>
  <pageSetup paperSize="8" scale="54" fitToHeight="0"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BL98"/>
  <sheetViews>
    <sheetView zoomScale="130" zoomScaleNormal="130" workbookViewId="0">
      <pane xSplit="3" ySplit="3" topLeftCell="AI16" activePane="bottomRight" state="frozen"/>
      <selection pane="topRight" activeCell="D1" sqref="D1"/>
      <selection pane="bottomLeft" activeCell="A4" sqref="A4"/>
      <selection pane="bottomRight" activeCell="BD88" sqref="BD88"/>
    </sheetView>
  </sheetViews>
  <sheetFormatPr defaultColWidth="9.109375" defaultRowHeight="10.199999999999999" outlineLevelCol="1"/>
  <cols>
    <col min="1" max="1" width="6.33203125" style="7" customWidth="1"/>
    <col min="2" max="2" width="23.44140625" style="7" customWidth="1"/>
    <col min="3" max="3" width="6" style="119" customWidth="1"/>
    <col min="4" max="5" width="9.109375" style="7" hidden="1" customWidth="1" outlineLevel="1"/>
    <col min="6" max="20" width="8.6640625" style="7" hidden="1" customWidth="1" outlineLevel="1"/>
    <col min="21" max="21" width="8.6640625" style="7" customWidth="1" collapsed="1"/>
    <col min="22" max="23" width="8.6640625" style="7" customWidth="1" outlineLevel="1"/>
    <col min="24" max="24" width="8.6640625" style="7" customWidth="1"/>
    <col min="25" max="26" width="8.6640625" style="7" customWidth="1" outlineLevel="1"/>
    <col min="27" max="27" width="8.6640625" style="7" customWidth="1"/>
    <col min="28" max="29" width="8.6640625" style="7" customWidth="1" outlineLevel="1"/>
    <col min="30" max="30" width="8.6640625" style="7" customWidth="1"/>
    <col min="31" max="32" width="8.6640625" style="7" customWidth="1" outlineLevel="1"/>
    <col min="33" max="33" width="8.6640625" style="7" customWidth="1"/>
    <col min="34" max="35" width="8.6640625" style="7" customWidth="1" outlineLevel="1"/>
    <col min="36" max="36" width="8.6640625" style="7" customWidth="1"/>
    <col min="37" max="38" width="8.6640625" style="7" customWidth="1" outlineLevel="1"/>
    <col min="39" max="39" width="8.6640625" style="61" customWidth="1"/>
    <col min="40" max="40" width="8.6640625" style="118" customWidth="1" outlineLevel="1"/>
    <col min="41" max="41" width="8.6640625" style="7" customWidth="1" outlineLevel="1"/>
    <col min="42" max="42" width="8.6640625" style="7" customWidth="1"/>
    <col min="43" max="44" width="8.6640625" style="7" customWidth="1" outlineLevel="1"/>
    <col min="45" max="45" width="8.6640625" style="7" customWidth="1"/>
    <col min="46" max="47" width="8.6640625" style="7" customWidth="1" outlineLevel="1"/>
    <col min="48" max="48" width="8.6640625" style="7" customWidth="1"/>
    <col min="49" max="50" width="8.6640625" style="7" customWidth="1" outlineLevel="1"/>
    <col min="51" max="51" width="8.6640625" style="7" customWidth="1"/>
    <col min="52" max="53" width="8.6640625" style="7" customWidth="1" outlineLevel="1"/>
    <col min="54" max="54" width="8.6640625" style="7" customWidth="1"/>
    <col min="55" max="16384" width="9.109375" style="7"/>
  </cols>
  <sheetData>
    <row r="1" spans="1:59">
      <c r="AE1" s="530"/>
    </row>
    <row r="3" spans="1:59" s="116" customFormat="1">
      <c r="A3" s="15"/>
      <c r="B3" s="16" t="str">
        <f>'BS, CF and P&amp;L'!B6</f>
        <v>Year Ending June 30</v>
      </c>
      <c r="C3" s="156"/>
      <c r="D3" s="15" t="str">
        <f>'BS, CF and P&amp;L'!D6</f>
        <v>1H14A</v>
      </c>
      <c r="E3" s="15" t="str">
        <f>'BS, CF and P&amp;L'!E6</f>
        <v>2H14A</v>
      </c>
      <c r="F3" s="15" t="str">
        <f>'BS, CF and P&amp;L'!F6</f>
        <v/>
      </c>
      <c r="G3" s="15" t="str">
        <f>'BS, CF and P&amp;L'!G6</f>
        <v/>
      </c>
      <c r="H3" s="15" t="str">
        <f>'BS, CF and P&amp;L'!H6</f>
        <v/>
      </c>
      <c r="I3" s="15" t="str">
        <f>'BS, CF and P&amp;L'!I6</f>
        <v/>
      </c>
      <c r="J3" s="15" t="str">
        <f>'BS, CF and P&amp;L'!J6</f>
        <v/>
      </c>
      <c r="K3" s="15" t="str">
        <f>'BS, CF and P&amp;L'!K6</f>
        <v/>
      </c>
      <c r="L3" s="15" t="str">
        <f>'BS, CF and P&amp;L'!L6</f>
        <v/>
      </c>
      <c r="M3" s="15" t="str">
        <f>'BS, CF and P&amp;L'!M6</f>
        <v/>
      </c>
      <c r="N3" s="15" t="str">
        <f>'BS, CF and P&amp;L'!N6</f>
        <v/>
      </c>
      <c r="O3" s="15" t="str">
        <f>'BS, CF and P&amp;L'!O6</f>
        <v/>
      </c>
      <c r="P3" s="15" t="str">
        <f>'BS, CF and P&amp;L'!P6</f>
        <v/>
      </c>
      <c r="Q3" s="15" t="str">
        <f>'BS, CF and P&amp;L'!Q6</f>
        <v/>
      </c>
      <c r="R3" s="15" t="str">
        <f>'BS, CF and P&amp;L'!R6</f>
        <v/>
      </c>
      <c r="S3" s="15" t="str">
        <f>'BS, CF and P&amp;L'!S6</f>
        <v/>
      </c>
      <c r="T3" s="15" t="str">
        <f>'BS, CF and P&amp;L'!T6</f>
        <v/>
      </c>
      <c r="U3" s="15" t="str">
        <f>'BS, CF and P&amp;L'!U6</f>
        <v/>
      </c>
      <c r="V3" s="15" t="str">
        <f>'BS, CF and P&amp;L'!V6</f>
        <v>1H20A</v>
      </c>
      <c r="W3" s="15" t="str">
        <f>'BS, CF and P&amp;L'!W6</f>
        <v>2H20A</v>
      </c>
      <c r="X3" s="15" t="str">
        <f>'BS, CF and P&amp;L'!X6</f>
        <v>FY20A</v>
      </c>
      <c r="Y3" s="15" t="str">
        <f>'BS, CF and P&amp;L'!Y6</f>
        <v>1H21A</v>
      </c>
      <c r="Z3" s="15" t="str">
        <f>'BS, CF and P&amp;L'!Z6</f>
        <v>2H21A</v>
      </c>
      <c r="AA3" s="15" t="str">
        <f>'BS, CF and P&amp;L'!AA6</f>
        <v>FY21A</v>
      </c>
      <c r="AB3" s="15" t="str">
        <f>'BS, CF and P&amp;L'!AB6</f>
        <v>1H22A</v>
      </c>
      <c r="AC3" s="15" t="str">
        <f>'BS, CF and P&amp;L'!AC6</f>
        <v>2H22A</v>
      </c>
      <c r="AD3" s="15" t="str">
        <f>'BS, CF and P&amp;L'!AD6</f>
        <v>FY22A</v>
      </c>
      <c r="AE3" s="15" t="str">
        <f>'BS, CF and P&amp;L'!AE6</f>
        <v>1H23A</v>
      </c>
      <c r="AF3" s="15" t="str">
        <f>'BS, CF and P&amp;L'!AF6</f>
        <v>2H23A</v>
      </c>
      <c r="AG3" s="15" t="str">
        <f>'BS, CF and P&amp;L'!AG6</f>
        <v>FY23A</v>
      </c>
      <c r="AH3" s="15" t="str">
        <f>'BS, CF and P&amp;L'!AH6</f>
        <v>1H24A</v>
      </c>
      <c r="AI3" s="15" t="str">
        <f>'BS, CF and P&amp;L'!AI6</f>
        <v>2H24A</v>
      </c>
      <c r="AJ3" s="15" t="str">
        <f>'BS, CF and P&amp;L'!AJ6</f>
        <v>FY24A</v>
      </c>
      <c r="AK3" s="15" t="str">
        <f>'BS, CF and P&amp;L'!AK6</f>
        <v>1H25A</v>
      </c>
      <c r="AL3" s="15" t="str">
        <f>'BS, CF and P&amp;L'!AL6</f>
        <v>2H25A</v>
      </c>
      <c r="AM3" s="17" t="str">
        <f>'BS, CF and P&amp;L'!AM6</f>
        <v>FY25A</v>
      </c>
      <c r="AN3" s="62" t="str">
        <f>'BS, CF and P&amp;L'!AN6</f>
        <v>1H26A</v>
      </c>
      <c r="AO3" s="15" t="str">
        <f>'BS, CF and P&amp;L'!AO6</f>
        <v>2H26E</v>
      </c>
      <c r="AP3" s="15" t="str">
        <f>'BS, CF and P&amp;L'!AP6</f>
        <v>FY26E</v>
      </c>
      <c r="AQ3" s="15" t="str">
        <f>'BS, CF and P&amp;L'!AQ6</f>
        <v>1H27E</v>
      </c>
      <c r="AR3" s="15" t="str">
        <f>'BS, CF and P&amp;L'!AR6</f>
        <v>2H27E</v>
      </c>
      <c r="AS3" s="15" t="str">
        <f>'BS, CF and P&amp;L'!AS6</f>
        <v>FY27E</v>
      </c>
      <c r="AT3" s="15" t="str">
        <f>'BS, CF and P&amp;L'!AT6</f>
        <v>1H28E</v>
      </c>
      <c r="AU3" s="15" t="str">
        <f>'BS, CF and P&amp;L'!AU6</f>
        <v>2H28E</v>
      </c>
      <c r="AV3" s="15" t="str">
        <f>'BS, CF and P&amp;L'!AV6</f>
        <v>FY28E</v>
      </c>
      <c r="AW3" s="15" t="str">
        <f>'BS, CF and P&amp;L'!AW6</f>
        <v>1H29E</v>
      </c>
      <c r="AX3" s="15" t="str">
        <f>'BS, CF and P&amp;L'!AX6</f>
        <v>2H29E</v>
      </c>
      <c r="AY3" s="15" t="str">
        <f>'BS, CF and P&amp;L'!AY6</f>
        <v>FY29E</v>
      </c>
      <c r="AZ3" s="15" t="str">
        <f>'BS, CF and P&amp;L'!AZ6</f>
        <v>1H30E</v>
      </c>
      <c r="BA3" s="15" t="str">
        <f>'BS, CF and P&amp;L'!BA6</f>
        <v>2H30E</v>
      </c>
      <c r="BB3" s="15" t="str">
        <f>'BS, CF and P&amp;L'!BB6</f>
        <v>FY30E</v>
      </c>
    </row>
    <row r="5" spans="1:59">
      <c r="B5" s="14" t="s">
        <v>267</v>
      </c>
      <c r="C5" s="119" t="s">
        <v>409</v>
      </c>
      <c r="F5" s="31"/>
      <c r="G5" s="31"/>
      <c r="H5" s="30"/>
      <c r="I5" s="31"/>
      <c r="J5" s="31"/>
      <c r="K5" s="30"/>
      <c r="L5" s="30"/>
      <c r="M5" s="31"/>
      <c r="N5" s="30"/>
      <c r="O5" s="31"/>
      <c r="P5" s="31"/>
      <c r="Q5" s="30"/>
      <c r="R5" s="31"/>
      <c r="S5" s="31"/>
      <c r="T5" s="30"/>
      <c r="U5" s="31"/>
      <c r="V5" s="31">
        <v>50.058999999999997</v>
      </c>
      <c r="W5" s="30">
        <f>X5-V5</f>
        <v>95.477000000000004</v>
      </c>
      <c r="X5" s="31">
        <v>145.536</v>
      </c>
      <c r="Y5" s="31">
        <v>57.029000000000003</v>
      </c>
      <c r="Z5" s="30">
        <f>AA5-Y5</f>
        <v>63.823999999999991</v>
      </c>
      <c r="AA5" s="31">
        <v>120.85299999999999</v>
      </c>
      <c r="AB5" s="31">
        <v>66.566999999999993</v>
      </c>
      <c r="AC5" s="30">
        <f>AD5-AB5</f>
        <v>64.560000000000016</v>
      </c>
      <c r="AD5" s="31">
        <v>131.12700000000001</v>
      </c>
      <c r="AE5" s="31">
        <v>62.442999999999998</v>
      </c>
      <c r="AF5" s="30">
        <f>AG5-AE5</f>
        <v>57.83</v>
      </c>
      <c r="AG5" s="31">
        <v>120.273</v>
      </c>
      <c r="AH5" s="31">
        <f>57.984</f>
        <v>57.984000000000002</v>
      </c>
      <c r="AI5" s="30">
        <f>AJ5-AH5</f>
        <v>87.864999999999981</v>
      </c>
      <c r="AJ5" s="31">
        <v>145.84899999999999</v>
      </c>
      <c r="AK5" s="31">
        <v>132.44200000000001</v>
      </c>
      <c r="AL5" s="30">
        <f>AM5-AK5</f>
        <v>103.12699999999998</v>
      </c>
      <c r="AM5" s="402">
        <v>235.56899999999999</v>
      </c>
      <c r="AN5" s="627">
        <v>130.47399999999999</v>
      </c>
      <c r="AO5" s="30">
        <f>AO29*AO25</f>
        <v>108.53581721130374</v>
      </c>
      <c r="AP5" s="30">
        <f t="shared" ref="AP5" si="0">SUM(AN5:AO5)</f>
        <v>239.00981721130373</v>
      </c>
      <c r="AQ5" s="30">
        <f t="shared" ref="AQ5:AR5" si="1">AQ29*AQ25</f>
        <v>160.57472853907177</v>
      </c>
      <c r="AR5" s="30">
        <f t="shared" si="1"/>
        <v>112.44929073709723</v>
      </c>
      <c r="AS5" s="30">
        <f t="shared" ref="AS5" si="2">SUM(AQ5:AR5)</f>
        <v>273.02401927616899</v>
      </c>
      <c r="AT5" s="30">
        <f t="shared" ref="AT5:AU5" si="3">AT29*AT25</f>
        <v>173.44786390195816</v>
      </c>
      <c r="AU5" s="30">
        <f t="shared" si="3"/>
        <v>118.68975116486608</v>
      </c>
      <c r="AV5" s="30">
        <f t="shared" ref="AV5" si="4">SUM(AT5:AU5)</f>
        <v>292.13761506682425</v>
      </c>
      <c r="AW5" s="30">
        <f t="shared" ref="AW5:AX5" si="5">AW29*AW25</f>
        <v>180.27222831477295</v>
      </c>
      <c r="AX5" s="30">
        <f t="shared" si="5"/>
        <v>123.34783896176468</v>
      </c>
      <c r="AY5" s="30">
        <f t="shared" ref="AY5" si="6">SUM(AW5:AX5)</f>
        <v>303.62006727653761</v>
      </c>
      <c r="AZ5" s="30">
        <f t="shared" ref="AZ5:BA5" si="7">AZ29*AZ25</f>
        <v>185.56237735245946</v>
      </c>
      <c r="BA5" s="30">
        <f t="shared" si="7"/>
        <v>127.2664277690228</v>
      </c>
      <c r="BB5" s="30">
        <f t="shared" ref="BB5" si="8">SUM(AZ5:BA5)</f>
        <v>312.82880512148228</v>
      </c>
    </row>
    <row r="6" spans="1:59">
      <c r="B6" s="81" t="s">
        <v>225</v>
      </c>
      <c r="C6" s="121" t="s">
        <v>82</v>
      </c>
      <c r="D6" s="40"/>
      <c r="E6" s="40"/>
      <c r="F6" s="393"/>
      <c r="G6" s="150"/>
      <c r="H6" s="151"/>
      <c r="I6" s="390"/>
      <c r="J6" s="390"/>
      <c r="K6" s="390"/>
      <c r="L6" s="390"/>
      <c r="M6" s="390"/>
      <c r="N6" s="390"/>
      <c r="O6" s="390"/>
      <c r="P6" s="390"/>
      <c r="Q6" s="390"/>
      <c r="R6" s="390"/>
      <c r="S6" s="390"/>
      <c r="T6" s="390"/>
      <c r="U6" s="390"/>
      <c r="V6" s="390"/>
      <c r="W6" s="390"/>
      <c r="X6" s="390"/>
      <c r="Y6" s="390">
        <f t="shared" ref="Y6:AB6" si="9">Y5/V5-1</f>
        <v>0.13923570187179135</v>
      </c>
      <c r="Z6" s="390">
        <f t="shared" si="9"/>
        <v>-0.33152486986394636</v>
      </c>
      <c r="AA6" s="390">
        <f t="shared" si="9"/>
        <v>-0.1696006486367635</v>
      </c>
      <c r="AB6" s="390">
        <f t="shared" si="9"/>
        <v>0.16724824212242884</v>
      </c>
      <c r="AC6" s="390">
        <f t="shared" ref="AC6" si="10">AC5/Z5-1</f>
        <v>1.1531712208574074E-2</v>
      </c>
      <c r="AD6" s="390">
        <f t="shared" ref="AD6" si="11">AD5/AA5-1</f>
        <v>8.5012370400403992E-2</v>
      </c>
      <c r="AE6" s="390">
        <f>AE5/AB5-1</f>
        <v>-6.1952619165652534E-2</v>
      </c>
      <c r="AF6" s="390">
        <f t="shared" ref="AF6" si="12">AF5/AC5-1</f>
        <v>-0.10424411400247857</v>
      </c>
      <c r="AG6" s="390">
        <f t="shared" ref="AG6" si="13">AG5/AD5-1</f>
        <v>-8.2774714589672671E-2</v>
      </c>
      <c r="AH6" s="390">
        <f>AH5/AE5-1</f>
        <v>-7.1409125122111283E-2</v>
      </c>
      <c r="AI6" s="390">
        <f t="shared" ref="AI6" si="14">AI5/AF5-1</f>
        <v>0.51936711049628181</v>
      </c>
      <c r="AJ6" s="390">
        <f t="shared" ref="AJ6" si="15">AJ5/AG5-1</f>
        <v>0.21264955559435617</v>
      </c>
      <c r="AK6" s="390">
        <f>AK5/AH5-1</f>
        <v>1.2841128587196469</v>
      </c>
      <c r="AL6" s="390">
        <f t="shared" ref="AL6" si="16">AL5/AI5-1</f>
        <v>0.17369828714505209</v>
      </c>
      <c r="AM6" s="415">
        <f t="shared" ref="AM6" si="17">AM5/AJ5-1</f>
        <v>0.61515677172966554</v>
      </c>
      <c r="AN6" s="628">
        <f>AN5/AK5-1</f>
        <v>-1.4859334652149725E-2</v>
      </c>
      <c r="AO6" s="144">
        <f t="shared" ref="AO6:BB6" si="18">AO5/AL5-1</f>
        <v>5.2448119418811334E-2</v>
      </c>
      <c r="AP6" s="144">
        <f t="shared" si="18"/>
        <v>1.4606409210480731E-2</v>
      </c>
      <c r="AQ6" s="144">
        <f t="shared" si="18"/>
        <v>0.23070288746471923</v>
      </c>
      <c r="AR6" s="144">
        <f t="shared" si="18"/>
        <v>3.6056977561375048E-2</v>
      </c>
      <c r="AS6" s="144">
        <f t="shared" si="18"/>
        <v>0.14231299141488396</v>
      </c>
      <c r="AT6" s="144">
        <f t="shared" si="18"/>
        <v>8.0169124245189183E-2</v>
      </c>
      <c r="AU6" s="144">
        <f t="shared" si="18"/>
        <v>5.5495774022789046E-2</v>
      </c>
      <c r="AV6" s="144">
        <f t="shared" si="18"/>
        <v>7.0007011988646672E-2</v>
      </c>
      <c r="AW6" s="144">
        <f t="shared" si="18"/>
        <v>3.9345335591289166E-2</v>
      </c>
      <c r="AX6" s="144">
        <f t="shared" si="18"/>
        <v>3.9245914252767022E-2</v>
      </c>
      <c r="AY6" s="144">
        <f t="shared" si="18"/>
        <v>3.9304942662336861E-2</v>
      </c>
      <c r="AZ6" s="144">
        <f t="shared" si="18"/>
        <v>2.9345335591289157E-2</v>
      </c>
      <c r="BA6" s="144">
        <f t="shared" si="18"/>
        <v>3.1768605273034378E-2</v>
      </c>
      <c r="BB6" s="144">
        <f t="shared" si="18"/>
        <v>3.0329806351558908E-2</v>
      </c>
      <c r="BE6" s="7">
        <f>200*0.6*0.66</f>
        <v>79.2</v>
      </c>
    </row>
    <row r="7" spans="1:59">
      <c r="AI7" s="405"/>
      <c r="AJ7" s="405"/>
      <c r="AK7" s="30"/>
      <c r="AL7" s="405"/>
      <c r="AM7" s="405"/>
      <c r="AN7" s="600"/>
      <c r="BE7" s="7">
        <f>BE6+60</f>
        <v>139.19999999999999</v>
      </c>
    </row>
    <row r="8" spans="1:59">
      <c r="B8" s="7" t="s">
        <v>268</v>
      </c>
      <c r="C8" s="119" t="s">
        <v>409</v>
      </c>
      <c r="F8" s="31"/>
      <c r="G8" s="31"/>
      <c r="H8" s="30"/>
      <c r="I8" s="31"/>
      <c r="J8" s="31"/>
      <c r="K8" s="30"/>
      <c r="L8" s="30"/>
      <c r="M8" s="31"/>
      <c r="N8" s="30"/>
      <c r="O8" s="31"/>
      <c r="P8" s="31"/>
      <c r="Q8" s="30"/>
      <c r="R8" s="31"/>
      <c r="S8" s="31"/>
      <c r="T8" s="30"/>
      <c r="U8" s="31"/>
      <c r="V8" s="31">
        <v>35.768999999999998</v>
      </c>
      <c r="W8" s="30">
        <f>X8-V8</f>
        <v>63.451000000000001</v>
      </c>
      <c r="X8" s="31">
        <v>99.22</v>
      </c>
      <c r="Y8" s="31">
        <v>42.718000000000004</v>
      </c>
      <c r="Z8" s="30">
        <f>AA8-Y8</f>
        <v>43.492999999999995</v>
      </c>
      <c r="AA8" s="31">
        <v>86.210999999999999</v>
      </c>
      <c r="AB8" s="31">
        <v>44.360999999999997</v>
      </c>
      <c r="AC8" s="30">
        <f>AD8-AB8</f>
        <v>37.792000000000009</v>
      </c>
      <c r="AD8" s="31">
        <v>82.153000000000006</v>
      </c>
      <c r="AE8" s="31">
        <v>40.664999999999999</v>
      </c>
      <c r="AF8" s="30">
        <f>AG8-AE8</f>
        <v>29.422000000000004</v>
      </c>
      <c r="AG8" s="31">
        <v>70.087000000000003</v>
      </c>
      <c r="AH8" s="31">
        <v>20.954999999999998</v>
      </c>
      <c r="AI8" s="30">
        <f>AJ8-AH8</f>
        <v>49.132000000000005</v>
      </c>
      <c r="AJ8" s="31">
        <v>70.087000000000003</v>
      </c>
      <c r="AK8" s="31">
        <v>17.812999999999999</v>
      </c>
      <c r="AL8" s="30">
        <f>AM8-AK8</f>
        <v>19.125000000000004</v>
      </c>
      <c r="AM8" s="402">
        <v>36.938000000000002</v>
      </c>
      <c r="AN8" s="627">
        <v>18.686</v>
      </c>
      <c r="AO8" s="30">
        <f>+AL8*(1+AO9)</f>
        <v>19.890000000000004</v>
      </c>
      <c r="AP8" s="30">
        <f>SUM(AN8:AO8)</f>
        <v>38.576000000000008</v>
      </c>
      <c r="AQ8" s="30">
        <f>+AN8*(1+AQ9)</f>
        <v>19.246580000000002</v>
      </c>
      <c r="AR8" s="30">
        <f>+AO8*(1+AR9)</f>
        <v>20.486700000000006</v>
      </c>
      <c r="AS8" s="30">
        <f>SUM(AQ8:AR8)</f>
        <v>39.733280000000008</v>
      </c>
      <c r="AT8" s="30">
        <f>+AQ8*(1+AT9)</f>
        <v>19.8239774</v>
      </c>
      <c r="AU8" s="30">
        <f>+AR8*(1+AU9)</f>
        <v>21.101301000000007</v>
      </c>
      <c r="AV8" s="30">
        <f>SUM(AT8:AU8)</f>
        <v>40.92527840000001</v>
      </c>
      <c r="AW8" s="30">
        <f>+AT8*(1+AW9)</f>
        <v>20.220456948000002</v>
      </c>
      <c r="AX8" s="30">
        <f>+AU8*(1+AX9)</f>
        <v>21.523327020000007</v>
      </c>
      <c r="AY8" s="30">
        <f>SUM(AW8:AX8)</f>
        <v>41.74378396800001</v>
      </c>
      <c r="AZ8" s="30">
        <f>+AW8*(1+AZ9)</f>
        <v>20.624866086960004</v>
      </c>
      <c r="BA8" s="30">
        <f>+AX8*(1+BA9)</f>
        <v>21.953793560400008</v>
      </c>
      <c r="BB8" s="30">
        <f>SUM(AZ8:BA8)</f>
        <v>42.578659647360013</v>
      </c>
    </row>
    <row r="9" spans="1:59">
      <c r="B9" s="7" t="s">
        <v>225</v>
      </c>
      <c r="F9" s="391"/>
      <c r="G9" s="391"/>
      <c r="H9" s="392"/>
      <c r="I9" s="390"/>
      <c r="J9" s="390"/>
      <c r="K9" s="390"/>
      <c r="L9" s="390"/>
      <c r="M9" s="390"/>
      <c r="N9" s="390"/>
      <c r="O9" s="390"/>
      <c r="P9" s="390"/>
      <c r="Q9" s="390"/>
      <c r="R9" s="390"/>
      <c r="S9" s="390"/>
      <c r="T9" s="390"/>
      <c r="U9" s="390"/>
      <c r="V9" s="390"/>
      <c r="W9" s="390"/>
      <c r="X9" s="390"/>
      <c r="Y9" s="390">
        <f t="shared" ref="Y9:AD9" si="19">+Y8/V8-1</f>
        <v>0.19427437166261297</v>
      </c>
      <c r="Z9" s="390">
        <f t="shared" si="19"/>
        <v>-0.31454192999322317</v>
      </c>
      <c r="AA9" s="390">
        <f t="shared" si="19"/>
        <v>-0.13111267889538403</v>
      </c>
      <c r="AB9" s="390">
        <f t="shared" si="19"/>
        <v>3.8461538461538325E-2</v>
      </c>
      <c r="AC9" s="390">
        <f t="shared" si="19"/>
        <v>-0.13107856436667942</v>
      </c>
      <c r="AD9" s="390">
        <f t="shared" si="19"/>
        <v>-4.7070559441370508E-2</v>
      </c>
      <c r="AE9" s="390">
        <f>+AE8/AB8-1</f>
        <v>-8.3316426590924419E-2</v>
      </c>
      <c r="AF9" s="390">
        <f t="shared" ref="AF9" si="20">+AF8/AC8-1</f>
        <v>-0.22147544453852674</v>
      </c>
      <c r="AG9" s="390">
        <f t="shared" ref="AG9" si="21">+AG8/AD8-1</f>
        <v>-0.14687229924652789</v>
      </c>
      <c r="AH9" s="390">
        <f>+AH8/AE8-1</f>
        <v>-0.48469199557358911</v>
      </c>
      <c r="AI9" s="390">
        <f t="shared" ref="AI9" si="22">+AI8/AF8-1</f>
        <v>0.66990687240840185</v>
      </c>
      <c r="AJ9" s="390">
        <f t="shared" ref="AJ9" si="23">+AJ8/AG8-1</f>
        <v>0</v>
      </c>
      <c r="AK9" s="390">
        <f>+AK8/AH8-1</f>
        <v>-0.14994034836554515</v>
      </c>
      <c r="AL9" s="390">
        <f t="shared" ref="AL9" si="24">+AL8/AI8-1</f>
        <v>-0.61074248961979971</v>
      </c>
      <c r="AM9" s="415">
        <f t="shared" ref="AM9" si="25">+AM8/AJ8-1</f>
        <v>-0.47296930957238859</v>
      </c>
      <c r="AN9" s="628">
        <f>+AN8/AK8-1</f>
        <v>4.9009150620333619E-2</v>
      </c>
      <c r="AO9" s="145">
        <f>+Americas!AO6</f>
        <v>0.04</v>
      </c>
      <c r="AP9" s="144">
        <f t="shared" ref="AP9" si="26">+AP8/AM8-1</f>
        <v>4.4344577399967555E-2</v>
      </c>
      <c r="AQ9" s="145">
        <f>+Americas!AQ6</f>
        <v>0.03</v>
      </c>
      <c r="AR9" s="145">
        <f>+Americas!AR6</f>
        <v>0.03</v>
      </c>
      <c r="AS9" s="144">
        <f t="shared" ref="AS9" si="27">+AS8/AP8-1</f>
        <v>3.0000000000000027E-2</v>
      </c>
      <c r="AT9" s="145">
        <f>+Americas!AT6</f>
        <v>0.03</v>
      </c>
      <c r="AU9" s="145">
        <f>+Americas!AU6</f>
        <v>0.03</v>
      </c>
      <c r="AV9" s="144">
        <f t="shared" ref="AV9" si="28">+AV8/AS8-1</f>
        <v>3.0000000000000027E-2</v>
      </c>
      <c r="AW9" s="145">
        <f>+Americas!AW6</f>
        <v>0.02</v>
      </c>
      <c r="AX9" s="145">
        <f>+Americas!AX6</f>
        <v>0.02</v>
      </c>
      <c r="AY9" s="144">
        <f t="shared" ref="AY9" si="29">+AY8/AV8-1</f>
        <v>2.0000000000000018E-2</v>
      </c>
      <c r="AZ9" s="145">
        <f>+Americas!AZ6</f>
        <v>0.02</v>
      </c>
      <c r="BA9" s="145">
        <f>+Americas!BA6</f>
        <v>0.02</v>
      </c>
      <c r="BB9" s="144">
        <f t="shared" ref="BB9" si="30">+BB8/AY8-1</f>
        <v>2.0000000000000018E-2</v>
      </c>
      <c r="BG9" s="7">
        <f>22.9</f>
        <v>22.9</v>
      </c>
    </row>
    <row r="10" spans="1:59" s="14" customFormat="1">
      <c r="B10" s="14" t="s">
        <v>160</v>
      </c>
      <c r="C10" s="123" t="s">
        <v>409</v>
      </c>
      <c r="F10" s="28"/>
      <c r="G10" s="28"/>
      <c r="H10" s="28"/>
      <c r="I10" s="28"/>
      <c r="J10" s="28"/>
      <c r="K10" s="28"/>
      <c r="L10" s="29"/>
      <c r="M10" s="28"/>
      <c r="N10" s="28"/>
      <c r="O10" s="28"/>
      <c r="P10" s="28"/>
      <c r="Q10" s="28"/>
      <c r="R10" s="28"/>
      <c r="S10" s="28"/>
      <c r="T10" s="28"/>
      <c r="U10" s="28"/>
      <c r="V10" s="28">
        <f t="shared" ref="V10:AA10" si="31">SUM(V5,V8)</f>
        <v>85.828000000000003</v>
      </c>
      <c r="W10" s="28">
        <f t="shared" si="31"/>
        <v>158.928</v>
      </c>
      <c r="X10" s="28">
        <f t="shared" si="31"/>
        <v>244.756</v>
      </c>
      <c r="Y10" s="28">
        <f t="shared" si="31"/>
        <v>99.747000000000014</v>
      </c>
      <c r="Z10" s="28">
        <f t="shared" si="31"/>
        <v>107.31699999999998</v>
      </c>
      <c r="AA10" s="28">
        <f t="shared" si="31"/>
        <v>207.06399999999999</v>
      </c>
      <c r="AB10" s="28">
        <f t="shared" ref="AB10:AD10" si="32">SUM(AB5,AB8)</f>
        <v>110.928</v>
      </c>
      <c r="AC10" s="28">
        <f t="shared" si="32"/>
        <v>102.35200000000003</v>
      </c>
      <c r="AD10" s="28">
        <f t="shared" si="32"/>
        <v>213.28000000000003</v>
      </c>
      <c r="AE10" s="28">
        <f t="shared" ref="AE10:AG10" si="33">SUM(AE5,AE8)</f>
        <v>103.108</v>
      </c>
      <c r="AF10" s="28">
        <f t="shared" si="33"/>
        <v>87.25200000000001</v>
      </c>
      <c r="AG10" s="28">
        <f t="shared" si="33"/>
        <v>190.36</v>
      </c>
      <c r="AH10" s="28">
        <f t="shared" ref="AH10:BB10" si="34">+AH8+AH5</f>
        <v>78.938999999999993</v>
      </c>
      <c r="AI10" s="28">
        <f t="shared" ref="AI10:AJ10" si="35">SUM(AI5,AI8)</f>
        <v>136.99699999999999</v>
      </c>
      <c r="AJ10" s="28">
        <f t="shared" si="35"/>
        <v>215.93599999999998</v>
      </c>
      <c r="AK10" s="28">
        <f t="shared" ref="AK10" si="36">+AK8+AK5</f>
        <v>150.255</v>
      </c>
      <c r="AL10" s="28">
        <f t="shared" ref="AL10:AM10" si="37">SUM(AL5,AL8)</f>
        <v>122.25199999999998</v>
      </c>
      <c r="AM10" s="412">
        <f t="shared" si="37"/>
        <v>272.50700000000001</v>
      </c>
      <c r="AN10" s="629">
        <f t="shared" ref="AN10" si="38">+AN8+AN5</f>
        <v>149.16</v>
      </c>
      <c r="AO10" s="28">
        <f t="shared" si="34"/>
        <v>128.42581721130375</v>
      </c>
      <c r="AP10" s="28">
        <f t="shared" si="34"/>
        <v>277.58581721130372</v>
      </c>
      <c r="AQ10" s="28">
        <f t="shared" si="34"/>
        <v>179.82130853907177</v>
      </c>
      <c r="AR10" s="28">
        <f t="shared" si="34"/>
        <v>132.93599073709723</v>
      </c>
      <c r="AS10" s="28">
        <f t="shared" si="34"/>
        <v>312.75729927616896</v>
      </c>
      <c r="AT10" s="28">
        <f t="shared" si="34"/>
        <v>193.27184130195815</v>
      </c>
      <c r="AU10" s="28">
        <f t="shared" si="34"/>
        <v>139.79105216486607</v>
      </c>
      <c r="AV10" s="28">
        <f t="shared" si="34"/>
        <v>333.06289346682428</v>
      </c>
      <c r="AW10" s="28">
        <f t="shared" si="34"/>
        <v>200.49268526277294</v>
      </c>
      <c r="AX10" s="28">
        <f t="shared" si="34"/>
        <v>144.87116598176468</v>
      </c>
      <c r="AY10" s="28">
        <f t="shared" si="34"/>
        <v>345.36385124453761</v>
      </c>
      <c r="AZ10" s="28">
        <f t="shared" si="34"/>
        <v>206.18724343941946</v>
      </c>
      <c r="BA10" s="28">
        <f t="shared" si="34"/>
        <v>149.2202213294228</v>
      </c>
      <c r="BB10" s="28">
        <f t="shared" si="34"/>
        <v>355.40746476884226</v>
      </c>
      <c r="BG10" s="14">
        <f>BG9/200</f>
        <v>0.11449999999999999</v>
      </c>
    </row>
    <row r="11" spans="1:59">
      <c r="B11" s="137" t="s">
        <v>445</v>
      </c>
      <c r="F11" s="40"/>
      <c r="G11" s="40"/>
      <c r="H11" s="40"/>
      <c r="I11" s="122"/>
      <c r="J11" s="122"/>
      <c r="K11" s="122"/>
      <c r="L11" s="122"/>
      <c r="M11" s="122"/>
      <c r="N11" s="122"/>
      <c r="O11" s="122"/>
      <c r="P11" s="122"/>
      <c r="Q11" s="122"/>
      <c r="R11" s="122"/>
      <c r="S11" s="122"/>
      <c r="T11" s="122"/>
      <c r="U11" s="122"/>
      <c r="V11" s="122"/>
      <c r="W11" s="122"/>
      <c r="X11" s="122"/>
      <c r="Y11" s="122">
        <f>Y10/V10-1</f>
        <v>0.16217318357645527</v>
      </c>
      <c r="Z11" s="122">
        <f>Z10/W10-1</f>
        <v>-0.3247445384073292</v>
      </c>
      <c r="AA11" s="88">
        <f t="shared" ref="AA11:AK11" si="39">AA10/X10-1</f>
        <v>-0.15399826766248836</v>
      </c>
      <c r="AB11" s="88">
        <f>AB10/Y10-1</f>
        <v>0.11209359679990349</v>
      </c>
      <c r="AC11" s="122">
        <f>AC10/Z10-1</f>
        <v>-4.6264804271456961E-2</v>
      </c>
      <c r="AD11" s="88">
        <f t="shared" ref="AD11" si="40">AD10/AA10-1</f>
        <v>3.0019704052853369E-2</v>
      </c>
      <c r="AE11" s="88">
        <f>AE10/AB10-1</f>
        <v>-7.0496177700850926E-2</v>
      </c>
      <c r="AF11" s="122">
        <f>AF10/AC10-1</f>
        <v>-0.14753009223073332</v>
      </c>
      <c r="AG11" s="88">
        <f t="shared" ref="AG11" si="41">AG10/AD10-1</f>
        <v>-0.10746436609152299</v>
      </c>
      <c r="AH11" s="88">
        <f t="shared" si="39"/>
        <v>-0.23440470186600471</v>
      </c>
      <c r="AI11" s="122">
        <f>AI10/AF10-1</f>
        <v>0.57013019758859351</v>
      </c>
      <c r="AJ11" s="88">
        <f t="shared" ref="AJ11" si="42">AJ10/AG10-1</f>
        <v>0.13435595713385151</v>
      </c>
      <c r="AK11" s="88">
        <f t="shared" si="39"/>
        <v>0.90343176376695933</v>
      </c>
      <c r="AL11" s="88">
        <f>AL10/AI10-1</f>
        <v>-0.10763009408965163</v>
      </c>
      <c r="AM11" s="302">
        <f t="shared" ref="AM11:AN11" si="43">AM10/AJ10-1</f>
        <v>0.26198040160047431</v>
      </c>
      <c r="AN11" s="590">
        <f t="shared" si="43"/>
        <v>-7.2876110611959088E-3</v>
      </c>
      <c r="AO11" s="122">
        <f t="shared" ref="AO11:BB11" si="44">AO10/AL10-1</f>
        <v>5.0500746092528415E-2</v>
      </c>
      <c r="AP11" s="122">
        <f t="shared" si="44"/>
        <v>1.8637382567433969E-2</v>
      </c>
      <c r="AQ11" s="122">
        <f t="shared" si="44"/>
        <v>0.20555985880310912</v>
      </c>
      <c r="AR11" s="122">
        <f t="shared" si="44"/>
        <v>3.511890072984869E-2</v>
      </c>
      <c r="AS11" s="122">
        <f t="shared" si="44"/>
        <v>0.12670489587042555</v>
      </c>
      <c r="AT11" s="122">
        <f t="shared" si="44"/>
        <v>7.4799437687129489E-2</v>
      </c>
      <c r="AU11" s="122">
        <f t="shared" si="44"/>
        <v>5.1566632856604233E-2</v>
      </c>
      <c r="AV11" s="122">
        <f t="shared" si="44"/>
        <v>6.4924445369139772E-2</v>
      </c>
      <c r="AW11" s="122">
        <f t="shared" si="44"/>
        <v>3.7361076047975894E-2</v>
      </c>
      <c r="AX11" s="122">
        <f t="shared" si="44"/>
        <v>3.6340765293813249E-2</v>
      </c>
      <c r="AY11" s="122">
        <f t="shared" si="44"/>
        <v>3.693283766820632E-2</v>
      </c>
      <c r="AZ11" s="122">
        <f t="shared" si="44"/>
        <v>2.840282262259608E-2</v>
      </c>
      <c r="BA11" s="122">
        <f t="shared" si="44"/>
        <v>3.0020158381313333E-2</v>
      </c>
      <c r="BB11" s="122">
        <f t="shared" si="44"/>
        <v>2.9081252968751414E-2</v>
      </c>
    </row>
    <row r="13" spans="1:59">
      <c r="B13" s="7" t="s">
        <v>61</v>
      </c>
      <c r="C13" s="119" t="s">
        <v>409</v>
      </c>
      <c r="F13" s="30"/>
      <c r="G13" s="30"/>
      <c r="H13" s="30"/>
      <c r="I13" s="30"/>
      <c r="J13" s="30"/>
      <c r="K13" s="30"/>
      <c r="L13" s="30"/>
      <c r="M13" s="31"/>
      <c r="N13" s="30"/>
      <c r="O13" s="31"/>
      <c r="P13" s="31"/>
      <c r="Q13" s="30"/>
      <c r="R13" s="31"/>
      <c r="S13" s="31"/>
      <c r="T13" s="30"/>
      <c r="U13" s="31"/>
      <c r="V13" s="31">
        <f>4.451+0.351</f>
        <v>4.8019999999999996</v>
      </c>
      <c r="W13" s="30">
        <f>X13-V13</f>
        <v>9.4</v>
      </c>
      <c r="X13" s="31">
        <f>13.18+1.022</f>
        <v>14.202</v>
      </c>
      <c r="Y13" s="31">
        <f>4.352+0.357</f>
        <v>4.7090000000000005</v>
      </c>
      <c r="Z13" s="30">
        <f>AA13-Y13</f>
        <v>4.9210000000000003</v>
      </c>
      <c r="AA13" s="31">
        <f>8.891+0.739</f>
        <v>9.6300000000000008</v>
      </c>
      <c r="AB13" s="31">
        <f>4.656+0.367</f>
        <v>5.0229999999999997</v>
      </c>
      <c r="AC13" s="30">
        <f>AD13-AB13</f>
        <v>5.2359999999999989</v>
      </c>
      <c r="AD13" s="31">
        <f>9.546+0.713</f>
        <v>10.258999999999999</v>
      </c>
      <c r="AE13" s="31">
        <f>4.448+0.314</f>
        <v>4.7620000000000005</v>
      </c>
      <c r="AF13" s="30">
        <f>AG13-AE13</f>
        <v>4.7680000000000007</v>
      </c>
      <c r="AG13" s="31">
        <f>8.903+0.627</f>
        <v>9.5300000000000011</v>
      </c>
      <c r="AH13" s="31">
        <f>3.912+0.311</f>
        <v>4.2229999999999999</v>
      </c>
      <c r="AI13" s="30">
        <f>AJ13-AH13</f>
        <v>7.242</v>
      </c>
      <c r="AJ13" s="31">
        <f>10.073+1.392</f>
        <v>11.465</v>
      </c>
      <c r="AK13" s="31">
        <f>7.412+1.466</f>
        <v>8.8780000000000001</v>
      </c>
      <c r="AL13" s="30">
        <f>AM13-AK13</f>
        <v>8.2220000000000013</v>
      </c>
      <c r="AM13" s="405">
        <f>AM14-AM17</f>
        <v>17.100000000000001</v>
      </c>
      <c r="AN13" s="405">
        <f>AN14-AN17</f>
        <v>8.5</v>
      </c>
      <c r="AO13" s="125">
        <f>AN13</f>
        <v>8.5</v>
      </c>
      <c r="AP13" s="30">
        <f>SUM(AN13:AO13)</f>
        <v>17</v>
      </c>
      <c r="AQ13" s="125">
        <f>AN13*(1+2%)</f>
        <v>8.67</v>
      </c>
      <c r="AR13" s="125">
        <f>AO13*(1+2%)</f>
        <v>8.67</v>
      </c>
      <c r="AS13" s="30">
        <f>SUM(AQ13:AR13)</f>
        <v>17.34</v>
      </c>
      <c r="AT13" s="125">
        <f>AQ13*(1+2%)</f>
        <v>8.8434000000000008</v>
      </c>
      <c r="AU13" s="125">
        <f>AR13*(1+2%)</f>
        <v>8.8434000000000008</v>
      </c>
      <c r="AV13" s="30">
        <f>SUM(AT13:AU13)</f>
        <v>17.686800000000002</v>
      </c>
      <c r="AW13" s="125">
        <f>AT13*(1+2%)</f>
        <v>9.0202680000000015</v>
      </c>
      <c r="AX13" s="125">
        <f>AU13*(1+2%)</f>
        <v>9.0202680000000015</v>
      </c>
      <c r="AY13" s="30">
        <f>SUM(AW13:AX13)</f>
        <v>18.040536000000003</v>
      </c>
      <c r="AZ13" s="125">
        <f>AW13*(1+2%)</f>
        <v>9.2006733600000015</v>
      </c>
      <c r="BA13" s="125">
        <f>AX13*(1+2%)</f>
        <v>9.2006733600000015</v>
      </c>
      <c r="BB13" s="30">
        <f>SUM(AZ13:BA13)</f>
        <v>18.401346720000003</v>
      </c>
    </row>
    <row r="14" spans="1:59" s="153" customFormat="1">
      <c r="A14" s="126"/>
      <c r="B14" s="126" t="s">
        <v>401</v>
      </c>
      <c r="C14" s="127" t="s">
        <v>409</v>
      </c>
      <c r="F14" s="129"/>
      <c r="G14" s="129"/>
      <c r="H14" s="128"/>
      <c r="I14" s="129"/>
      <c r="J14" s="129"/>
      <c r="K14" s="128"/>
      <c r="L14" s="129"/>
      <c r="M14" s="128"/>
      <c r="N14" s="128"/>
      <c r="O14" s="128"/>
      <c r="P14" s="128"/>
      <c r="Q14" s="128"/>
      <c r="R14" s="128"/>
      <c r="S14" s="129"/>
      <c r="T14" s="128"/>
      <c r="U14" s="129"/>
      <c r="V14" s="129">
        <v>15.585000000000001</v>
      </c>
      <c r="W14" s="128">
        <f>X14-V14</f>
        <v>28.677999999999997</v>
      </c>
      <c r="X14" s="129">
        <v>44.262999999999998</v>
      </c>
      <c r="Y14" s="129">
        <v>21.518999999999998</v>
      </c>
      <c r="Z14" s="128">
        <f>AA14-Y14</f>
        <v>28.005000000000003</v>
      </c>
      <c r="AA14" s="391">
        <v>49.524000000000001</v>
      </c>
      <c r="AB14" s="391">
        <v>23.7</v>
      </c>
      <c r="AC14" s="128">
        <f>AD14-AB14</f>
        <v>19.000000000000004</v>
      </c>
      <c r="AD14" s="391">
        <v>42.7</v>
      </c>
      <c r="AE14" s="391">
        <v>19.100000000000001</v>
      </c>
      <c r="AF14" s="128">
        <f>AG14-AE14</f>
        <v>12.799999999999997</v>
      </c>
      <c r="AG14" s="391">
        <v>31.9</v>
      </c>
      <c r="AH14" s="391">
        <f>8.4</f>
        <v>8.4</v>
      </c>
      <c r="AI14" s="128">
        <f>AJ14-AH14</f>
        <v>13.6</v>
      </c>
      <c r="AJ14" s="391">
        <v>22</v>
      </c>
      <c r="AK14" s="391">
        <v>18.100000000000001</v>
      </c>
      <c r="AL14" s="392">
        <f>AM14-AK14</f>
        <v>7.8999999999999986</v>
      </c>
      <c r="AM14" s="403">
        <v>26</v>
      </c>
      <c r="AN14" s="630">
        <v>12.9</v>
      </c>
      <c r="AO14" s="128">
        <f>+AO15*AO10</f>
        <v>12.793859496526604</v>
      </c>
      <c r="AP14" s="128">
        <f>SUM(AN14:AO14)</f>
        <v>25.693859496526606</v>
      </c>
      <c r="AQ14" s="128">
        <f>+AQ15*AQ10</f>
        <v>17.349935263950826</v>
      </c>
      <c r="AR14" s="128">
        <f>+AR15*AR10</f>
        <v>13.426535064446821</v>
      </c>
      <c r="AS14" s="128">
        <f>SUM(AQ14:AR14)</f>
        <v>30.776470328397647</v>
      </c>
      <c r="AT14" s="128">
        <f>+AT15*AT10</f>
        <v>21.259902543215397</v>
      </c>
      <c r="AU14" s="128">
        <f>+AU15*AU10</f>
        <v>16.774926259783928</v>
      </c>
      <c r="AV14" s="128">
        <f>SUM(AT14:AU14)</f>
        <v>38.034828802999328</v>
      </c>
      <c r="AW14" s="128">
        <f>+AW15*AW10</f>
        <v>22.054195378905025</v>
      </c>
      <c r="AX14" s="128">
        <f>+AX15*AX10</f>
        <v>17.384539917811761</v>
      </c>
      <c r="AY14" s="128">
        <f>SUM(AW14:AX14)</f>
        <v>39.438735296716786</v>
      </c>
      <c r="AZ14" s="128">
        <f>+AZ15*AZ10</f>
        <v>22.680596778336142</v>
      </c>
      <c r="BA14" s="128">
        <f>+BA15*BA10</f>
        <v>17.906426559530736</v>
      </c>
      <c r="BB14" s="128">
        <f>SUM(AZ14:BA14)</f>
        <v>40.587023337866881</v>
      </c>
    </row>
    <row r="15" spans="1:59">
      <c r="B15" s="7" t="s">
        <v>422</v>
      </c>
      <c r="C15" s="119" t="s">
        <v>82</v>
      </c>
      <c r="F15" s="130"/>
      <c r="G15" s="130"/>
      <c r="H15" s="130"/>
      <c r="I15" s="130"/>
      <c r="J15" s="130"/>
      <c r="K15" s="130"/>
      <c r="L15" s="130"/>
      <c r="M15" s="130"/>
      <c r="N15" s="130"/>
      <c r="O15" s="130"/>
      <c r="P15" s="130"/>
      <c r="Q15" s="130"/>
      <c r="R15" s="130"/>
      <c r="S15" s="130"/>
      <c r="T15" s="130"/>
      <c r="U15" s="130"/>
      <c r="V15" s="130">
        <f t="shared" ref="V15:AA15" si="45">V14/V10</f>
        <v>0.18158409842941697</v>
      </c>
      <c r="W15" s="130">
        <f t="shared" si="45"/>
        <v>0.1804464914930031</v>
      </c>
      <c r="X15" s="130">
        <f t="shared" si="45"/>
        <v>0.18084541339129581</v>
      </c>
      <c r="Y15" s="130">
        <f t="shared" si="45"/>
        <v>0.21573581160335645</v>
      </c>
      <c r="Z15" s="130">
        <f t="shared" si="45"/>
        <v>0.26095585974263169</v>
      </c>
      <c r="AA15" s="38">
        <f t="shared" si="45"/>
        <v>0.23917242978016459</v>
      </c>
      <c r="AB15" s="38">
        <f t="shared" ref="AB15:AD15" si="46">AB14/AB10</f>
        <v>0.21365209865858936</v>
      </c>
      <c r="AC15" s="130">
        <f t="shared" si="46"/>
        <v>0.18563389088635296</v>
      </c>
      <c r="AD15" s="38">
        <f t="shared" si="46"/>
        <v>0.20020630157539385</v>
      </c>
      <c r="AE15" s="38">
        <f t="shared" ref="AE15:AH15" si="47">AE14/AE10</f>
        <v>0.1852426581836521</v>
      </c>
      <c r="AF15" s="130">
        <f t="shared" si="47"/>
        <v>0.1467015082748819</v>
      </c>
      <c r="AG15" s="38">
        <f t="shared" si="47"/>
        <v>0.16757722210548431</v>
      </c>
      <c r="AH15" s="38">
        <f t="shared" si="47"/>
        <v>0.10641127959563715</v>
      </c>
      <c r="AI15" s="130">
        <f t="shared" ref="AI15:AK15" si="48">AI14/AI10</f>
        <v>9.9272246837521991E-2</v>
      </c>
      <c r="AJ15" s="38">
        <f t="shared" si="48"/>
        <v>0.10188203912270304</v>
      </c>
      <c r="AK15" s="38">
        <f t="shared" si="48"/>
        <v>0.12046188146817079</v>
      </c>
      <c r="AL15" s="38">
        <f t="shared" ref="AL15:AN15" si="49">AL14/AL10</f>
        <v>6.4620619703563129E-2</v>
      </c>
      <c r="AM15" s="408">
        <f t="shared" si="49"/>
        <v>9.5410393127515994E-2</v>
      </c>
      <c r="AN15" s="586">
        <f t="shared" si="49"/>
        <v>8.6484312148028972E-2</v>
      </c>
      <c r="AO15" s="304">
        <f>AL15+3.5%</f>
        <v>9.9620619703563132E-2</v>
      </c>
      <c r="AP15" s="130">
        <f>AP14/AP10</f>
        <v>9.2561859804847088E-2</v>
      </c>
      <c r="AQ15" s="304">
        <f>AN15+1%</f>
        <v>9.6484312148028967E-2</v>
      </c>
      <c r="AR15" s="304">
        <v>0.10100000000000001</v>
      </c>
      <c r="AS15" s="130">
        <f>AS14/AS10</f>
        <v>9.8403683621854032E-2</v>
      </c>
      <c r="AT15" s="304">
        <v>0.11</v>
      </c>
      <c r="AU15" s="304">
        <v>0.12</v>
      </c>
      <c r="AV15" s="130">
        <f>AV14/AV10</f>
        <v>0.11419713678428095</v>
      </c>
      <c r="AW15" s="304">
        <f>AT15</f>
        <v>0.11</v>
      </c>
      <c r="AX15" s="304">
        <f>AU15</f>
        <v>0.12</v>
      </c>
      <c r="AY15" s="130">
        <f>AY14/AY10</f>
        <v>0.11419474028505629</v>
      </c>
      <c r="AZ15" s="304">
        <f>AW15</f>
        <v>0.11</v>
      </c>
      <c r="BA15" s="304">
        <f>AX15</f>
        <v>0.12</v>
      </c>
      <c r="BB15" s="130">
        <f>BB14/BB10</f>
        <v>0.11419856745064362</v>
      </c>
    </row>
    <row r="16" spans="1:59">
      <c r="M16" s="130"/>
      <c r="O16" s="130"/>
      <c r="Z16" s="30"/>
      <c r="AC16" s="30"/>
      <c r="AF16" s="30"/>
      <c r="AI16" s="30"/>
      <c r="AL16" s="30"/>
      <c r="AO16" s="32"/>
      <c r="AP16" s="32"/>
      <c r="AQ16" s="32"/>
      <c r="AR16" s="32"/>
      <c r="AS16" s="32"/>
      <c r="AT16" s="32"/>
      <c r="AU16" s="32"/>
      <c r="AV16" s="32"/>
      <c r="AW16" s="32"/>
      <c r="AX16" s="32"/>
      <c r="AY16" s="32"/>
      <c r="AZ16" s="32"/>
      <c r="BA16" s="32"/>
      <c r="BB16" s="32"/>
    </row>
    <row r="17" spans="1:64" s="153" customFormat="1">
      <c r="A17" s="126"/>
      <c r="B17" s="126" t="s">
        <v>402</v>
      </c>
      <c r="C17" s="127" t="s">
        <v>409</v>
      </c>
      <c r="F17" s="129"/>
      <c r="G17" s="129"/>
      <c r="H17" s="128"/>
      <c r="I17" s="129"/>
      <c r="J17" s="129"/>
      <c r="K17" s="128"/>
      <c r="L17" s="128"/>
      <c r="M17" s="129"/>
      <c r="N17" s="128"/>
      <c r="O17" s="129"/>
      <c r="P17" s="129"/>
      <c r="Q17" s="128"/>
      <c r="R17" s="157"/>
      <c r="S17" s="128"/>
      <c r="T17" s="128"/>
      <c r="U17" s="128"/>
      <c r="V17" s="128">
        <f>V14-V13</f>
        <v>10.783000000000001</v>
      </c>
      <c r="W17" s="128">
        <f>X17-V17</f>
        <v>19.277999999999999</v>
      </c>
      <c r="X17" s="128">
        <f>X14-X13</f>
        <v>30.061</v>
      </c>
      <c r="Y17" s="128">
        <f>Y14-Y13</f>
        <v>16.809999999999999</v>
      </c>
      <c r="Z17" s="128">
        <f>AA17-Y17</f>
        <v>23.084</v>
      </c>
      <c r="AA17" s="392">
        <f>AA14-AA13</f>
        <v>39.893999999999998</v>
      </c>
      <c r="AB17" s="392">
        <f>AB14-AB13</f>
        <v>18.677</v>
      </c>
      <c r="AC17" s="128">
        <f>AD17-AB17</f>
        <v>13.764000000000003</v>
      </c>
      <c r="AD17" s="392">
        <f>AD14-AD13</f>
        <v>32.441000000000003</v>
      </c>
      <c r="AE17" s="392">
        <f>AE14-AE13</f>
        <v>14.338000000000001</v>
      </c>
      <c r="AF17" s="128">
        <f>AG17-AE17</f>
        <v>8.0319999999999965</v>
      </c>
      <c r="AG17" s="392">
        <f>AG14-AG13</f>
        <v>22.369999999999997</v>
      </c>
      <c r="AH17" s="392">
        <f>AH14-AH13</f>
        <v>4.1770000000000005</v>
      </c>
      <c r="AI17" s="128">
        <f>AJ17-AH17</f>
        <v>6.3579999999999997</v>
      </c>
      <c r="AJ17" s="392">
        <f>AJ14-AJ13</f>
        <v>10.535</v>
      </c>
      <c r="AK17" s="392">
        <f>AK14-AK13</f>
        <v>9.2220000000000013</v>
      </c>
      <c r="AL17" s="392">
        <f>AM17-AK17</f>
        <v>-0.32200000000000095</v>
      </c>
      <c r="AM17" s="403">
        <v>8.9</v>
      </c>
      <c r="AN17" s="630">
        <v>4.4000000000000004</v>
      </c>
      <c r="AO17" s="392">
        <f>AO14-AO13</f>
        <v>4.2938594965266041</v>
      </c>
      <c r="AP17" s="392">
        <f>SUM(AN17:AO17)</f>
        <v>8.6938594965266045</v>
      </c>
      <c r="AQ17" s="392">
        <f>AQ14-AQ13</f>
        <v>8.679935263950826</v>
      </c>
      <c r="AR17" s="392">
        <f>AR14-AR13</f>
        <v>4.7565350644468207</v>
      </c>
      <c r="AS17" s="392">
        <f>SUM(AQ17:AR17)</f>
        <v>13.436470328397647</v>
      </c>
      <c r="AT17" s="392">
        <f>AT14-AT13</f>
        <v>12.416502543215396</v>
      </c>
      <c r="AU17" s="392">
        <f>AU14-AU13</f>
        <v>7.9315262597839276</v>
      </c>
      <c r="AV17" s="392">
        <f>SUM(AT17:AU17)</f>
        <v>20.348028802999323</v>
      </c>
      <c r="AW17" s="392">
        <f>AW14-AW13</f>
        <v>13.033927378905023</v>
      </c>
      <c r="AX17" s="392">
        <f>AX14-AX13</f>
        <v>8.3642719178117595</v>
      </c>
      <c r="AY17" s="392">
        <f>SUM(AW17:AX17)</f>
        <v>21.398199296716783</v>
      </c>
      <c r="AZ17" s="392">
        <f>AZ14-AZ13</f>
        <v>13.47992341833614</v>
      </c>
      <c r="BA17" s="392">
        <f>BA14-BA13</f>
        <v>8.7057531995307347</v>
      </c>
      <c r="BB17" s="392">
        <f>SUM(AZ17:BA17)</f>
        <v>22.185676617866875</v>
      </c>
    </row>
    <row r="18" spans="1:64">
      <c r="B18" s="7" t="s">
        <v>422</v>
      </c>
      <c r="F18" s="130"/>
      <c r="G18" s="130"/>
      <c r="H18" s="130"/>
      <c r="I18" s="130"/>
      <c r="J18" s="130"/>
      <c r="K18" s="130"/>
      <c r="L18" s="130"/>
      <c r="M18" s="130"/>
      <c r="N18" s="130"/>
      <c r="O18" s="130"/>
      <c r="P18" s="130"/>
      <c r="Q18" s="105"/>
      <c r="R18" s="130"/>
      <c r="S18" s="130"/>
      <c r="T18" s="105"/>
      <c r="U18" s="130"/>
      <c r="V18" s="130">
        <f t="shared" ref="V18:AJ18" si="50">V17/V10</f>
        <v>0.12563499091205668</v>
      </c>
      <c r="W18" s="105">
        <f t="shared" si="50"/>
        <v>0.12130021141649049</v>
      </c>
      <c r="X18" s="130">
        <f t="shared" ref="X18:AD18" si="51">X17/X10</f>
        <v>0.12282027815457026</v>
      </c>
      <c r="Y18" s="130">
        <f t="shared" si="51"/>
        <v>0.16852637172045271</v>
      </c>
      <c r="Z18" s="105">
        <f t="shared" si="51"/>
        <v>0.21510105575071986</v>
      </c>
      <c r="AA18" s="38">
        <f t="shared" si="51"/>
        <v>0.19266506973689293</v>
      </c>
      <c r="AB18" s="38">
        <f t="shared" si="51"/>
        <v>0.16837047454204529</v>
      </c>
      <c r="AC18" s="105">
        <f t="shared" si="51"/>
        <v>0.13447709863998747</v>
      </c>
      <c r="AD18" s="38">
        <f t="shared" si="51"/>
        <v>0.15210521380345085</v>
      </c>
      <c r="AE18" s="38">
        <f t="shared" ref="AE18:AG18" si="52">AE17/AE10</f>
        <v>0.13905807502812587</v>
      </c>
      <c r="AF18" s="105">
        <f t="shared" si="52"/>
        <v>9.2055196442488371E-2</v>
      </c>
      <c r="AG18" s="38">
        <f t="shared" si="52"/>
        <v>0.11751418365202772</v>
      </c>
      <c r="AH18" s="38">
        <f t="shared" si="50"/>
        <v>5.2914275579878142E-2</v>
      </c>
      <c r="AI18" s="105">
        <f t="shared" si="50"/>
        <v>4.6409775396541529E-2</v>
      </c>
      <c r="AJ18" s="38">
        <f t="shared" si="50"/>
        <v>4.8787603734439841E-2</v>
      </c>
      <c r="AK18" s="38">
        <f t="shared" ref="AK18:AM18" si="53">AK17/AK10</f>
        <v>6.1375661375661389E-2</v>
      </c>
      <c r="AL18" s="105">
        <f t="shared" si="53"/>
        <v>-2.6339037398161258E-3</v>
      </c>
      <c r="AM18" s="408">
        <f t="shared" si="53"/>
        <v>3.2659711493649705E-2</v>
      </c>
      <c r="AN18" s="586">
        <f t="shared" ref="AN18" si="54">AN17/AN10</f>
        <v>2.9498525073746316E-2</v>
      </c>
      <c r="AO18" s="105">
        <f t="shared" ref="AO18:BB18" si="55">AO17/AO10</f>
        <v>3.3434550698336285E-2</v>
      </c>
      <c r="AP18" s="130">
        <f t="shared" si="55"/>
        <v>3.1319537805883903E-2</v>
      </c>
      <c r="AQ18" s="105">
        <f t="shared" si="55"/>
        <v>4.8269781453986256E-2</v>
      </c>
      <c r="AR18" s="105">
        <f t="shared" si="55"/>
        <v>3.578064178160488E-2</v>
      </c>
      <c r="AS18" s="130">
        <f t="shared" si="55"/>
        <v>4.296133250764856E-2</v>
      </c>
      <c r="AT18" s="105">
        <f t="shared" si="55"/>
        <v>6.4243722518359414E-2</v>
      </c>
      <c r="AU18" s="105">
        <f t="shared" si="55"/>
        <v>5.6738440243154359E-2</v>
      </c>
      <c r="AV18" s="130">
        <f t="shared" si="55"/>
        <v>6.1093652886991895E-2</v>
      </c>
      <c r="AW18" s="105">
        <f t="shared" si="55"/>
        <v>6.5009490804227035E-2</v>
      </c>
      <c r="AX18" s="105">
        <f t="shared" si="55"/>
        <v>5.7735932896851215E-2</v>
      </c>
      <c r="AY18" s="130">
        <f t="shared" si="55"/>
        <v>6.1958422167251136E-2</v>
      </c>
      <c r="AZ18" s="105">
        <f t="shared" si="55"/>
        <v>6.537709701859766E-2</v>
      </c>
      <c r="BA18" s="105">
        <f t="shared" si="55"/>
        <v>5.8341645133414367E-2</v>
      </c>
      <c r="BB18" s="130">
        <f t="shared" si="55"/>
        <v>6.2423215090027677E-2</v>
      </c>
    </row>
    <row r="19" spans="1:64">
      <c r="R19" s="30"/>
      <c r="AH19" s="32"/>
      <c r="AK19" s="32"/>
      <c r="AN19" s="581"/>
      <c r="AO19" s="32"/>
      <c r="AP19" s="32"/>
      <c r="AQ19" s="32"/>
      <c r="AR19" s="32"/>
      <c r="AS19" s="32"/>
      <c r="AT19" s="32"/>
      <c r="AU19" s="32"/>
      <c r="AV19" s="32"/>
      <c r="AW19" s="32"/>
      <c r="AX19" s="32"/>
      <c r="AY19" s="32"/>
      <c r="AZ19" s="32"/>
      <c r="BA19" s="32"/>
      <c r="BB19" s="32"/>
    </row>
    <row r="21" spans="1:64">
      <c r="B21" s="7" t="s">
        <v>399</v>
      </c>
      <c r="C21" s="119" t="s">
        <v>409</v>
      </c>
      <c r="J21" s="30"/>
      <c r="K21" s="30"/>
      <c r="L21" s="30"/>
      <c r="M21" s="30"/>
      <c r="N21" s="30"/>
      <c r="O21" s="30"/>
      <c r="P21" s="30"/>
      <c r="Q21" s="30"/>
      <c r="R21" s="30"/>
      <c r="S21" s="30"/>
      <c r="T21" s="30"/>
      <c r="U21" s="89"/>
      <c r="V21" s="30">
        <f>+V14</f>
        <v>15.585000000000001</v>
      </c>
      <c r="W21" s="30">
        <f>X21-V21</f>
        <v>28.677999999999997</v>
      </c>
      <c r="X21" s="30">
        <f>+X14</f>
        <v>44.262999999999998</v>
      </c>
      <c r="Y21" s="30">
        <f>+Y14</f>
        <v>21.518999999999998</v>
      </c>
      <c r="Z21" s="30">
        <f>AA21-Y21</f>
        <v>28.005000000000003</v>
      </c>
      <c r="AA21" s="30">
        <f>+AA14</f>
        <v>49.524000000000001</v>
      </c>
      <c r="AB21" s="171">
        <v>21.77</v>
      </c>
      <c r="AC21" s="30">
        <f>AD21-AB21</f>
        <v>20.930000000000003</v>
      </c>
      <c r="AD21" s="30">
        <f>+AD14</f>
        <v>42.7</v>
      </c>
      <c r="AE21" s="31">
        <v>19.016999999999999</v>
      </c>
      <c r="AF21" s="30">
        <f>AG21-AE21</f>
        <v>12.882999999999999</v>
      </c>
      <c r="AG21" s="30">
        <f>+AG14</f>
        <v>31.9</v>
      </c>
      <c r="AH21" s="31">
        <v>8.4160000000000004</v>
      </c>
      <c r="AI21" s="30">
        <f>AJ21-AH21</f>
        <v>5.8620000000000001</v>
      </c>
      <c r="AJ21" s="31">
        <v>14.278</v>
      </c>
      <c r="AK21" s="31">
        <v>17.341000000000001</v>
      </c>
      <c r="AL21" s="30">
        <f>AM21-AK21</f>
        <v>5.0739999999999981</v>
      </c>
      <c r="AM21" s="402">
        <v>22.414999999999999</v>
      </c>
      <c r="AN21" s="627">
        <v>11.595000000000001</v>
      </c>
      <c r="BC21" s="124"/>
      <c r="BD21" s="124"/>
      <c r="BE21" s="124"/>
      <c r="BF21" s="124"/>
      <c r="BG21" s="124"/>
      <c r="BH21" s="124"/>
      <c r="BI21" s="124"/>
      <c r="BJ21" s="124"/>
      <c r="BK21" s="124"/>
      <c r="BL21" s="124"/>
    </row>
    <row r="22" spans="1:64">
      <c r="B22" s="7" t="s">
        <v>400</v>
      </c>
      <c r="C22" s="119" t="s">
        <v>409</v>
      </c>
      <c r="J22" s="30"/>
      <c r="K22" s="30"/>
      <c r="L22" s="30"/>
      <c r="M22" s="30"/>
      <c r="N22" s="30"/>
      <c r="O22" s="30"/>
      <c r="P22" s="30"/>
      <c r="Q22" s="30"/>
      <c r="R22" s="30"/>
      <c r="S22" s="30"/>
      <c r="T22" s="30"/>
      <c r="U22" s="30"/>
      <c r="V22" s="30">
        <f t="shared" ref="V22:AA22" si="56">V14-V21</f>
        <v>0</v>
      </c>
      <c r="W22" s="30">
        <f t="shared" si="56"/>
        <v>0</v>
      </c>
      <c r="X22" s="30">
        <f t="shared" si="56"/>
        <v>0</v>
      </c>
      <c r="Y22" s="30">
        <f t="shared" si="56"/>
        <v>0</v>
      </c>
      <c r="Z22" s="30">
        <f t="shared" si="56"/>
        <v>0</v>
      </c>
      <c r="AA22" s="30">
        <f t="shared" si="56"/>
        <v>0</v>
      </c>
      <c r="AB22" s="30">
        <f t="shared" ref="AB22:AD22" si="57">AB14-AB21</f>
        <v>1.9299999999999997</v>
      </c>
      <c r="AC22" s="30">
        <f t="shared" si="57"/>
        <v>-1.9299999999999997</v>
      </c>
      <c r="AD22" s="30">
        <f t="shared" si="57"/>
        <v>0</v>
      </c>
      <c r="AE22" s="30">
        <f t="shared" ref="AE22:AH22" si="58">AE14-AE21</f>
        <v>8.3000000000001961E-2</v>
      </c>
      <c r="AF22" s="30">
        <f t="shared" si="58"/>
        <v>-8.3000000000001961E-2</v>
      </c>
      <c r="AG22" s="30">
        <f t="shared" si="58"/>
        <v>0</v>
      </c>
      <c r="AH22" s="30">
        <f t="shared" si="58"/>
        <v>-1.6000000000000014E-2</v>
      </c>
      <c r="AI22" s="30">
        <f t="shared" ref="AI22:AK22" si="59">AI14-AI21</f>
        <v>7.7379999999999995</v>
      </c>
      <c r="AJ22" s="30">
        <f t="shared" si="59"/>
        <v>7.7219999999999995</v>
      </c>
      <c r="AK22" s="30">
        <f t="shared" si="59"/>
        <v>0.75900000000000034</v>
      </c>
      <c r="AL22" s="30">
        <f t="shared" ref="AL22:AN22" si="60">AL14-AL21</f>
        <v>2.8260000000000005</v>
      </c>
      <c r="AM22" s="405">
        <f t="shared" si="60"/>
        <v>3.5850000000000009</v>
      </c>
      <c r="AN22" s="600">
        <f t="shared" si="60"/>
        <v>1.3049999999999997</v>
      </c>
    </row>
    <row r="25" spans="1:64">
      <c r="B25" s="136" t="s">
        <v>332</v>
      </c>
      <c r="C25" s="118"/>
      <c r="D25" s="91"/>
      <c r="E25" s="91"/>
      <c r="F25" s="91"/>
      <c r="G25" s="91"/>
      <c r="H25" s="91"/>
      <c r="I25" s="91"/>
      <c r="J25" s="91"/>
      <c r="K25" s="91"/>
      <c r="L25" s="91"/>
      <c r="M25" s="91"/>
      <c r="N25" s="91"/>
      <c r="O25" s="91"/>
      <c r="P25" s="91"/>
      <c r="Q25" s="91"/>
      <c r="R25" s="91"/>
      <c r="S25" s="91"/>
      <c r="T25" s="91"/>
      <c r="U25" s="91"/>
      <c r="V25" s="152">
        <v>0.68459876372213035</v>
      </c>
      <c r="W25" s="152">
        <v>0.65724712491896953</v>
      </c>
      <c r="X25" s="152">
        <v>0.6709988062077199</v>
      </c>
      <c r="Y25" s="152">
        <v>0.72155681421888718</v>
      </c>
      <c r="Z25" s="152">
        <v>0.76944107258073324</v>
      </c>
      <c r="AA25" s="152">
        <v>0.74663516609392888</v>
      </c>
      <c r="AB25" s="152">
        <f>1/1.37</f>
        <v>0.72992700729927007</v>
      </c>
      <c r="AC25" s="152">
        <v>0.76944107258073324</v>
      </c>
      <c r="AD25" s="152">
        <v>0.74663516609392888</v>
      </c>
      <c r="AE25" s="152">
        <v>0.67122395833333337</v>
      </c>
      <c r="AF25" s="152">
        <v>0.63088295142193196</v>
      </c>
      <c r="AG25" s="152">
        <v>0.67379999999999995</v>
      </c>
      <c r="AH25" s="152">
        <v>0.65290000000000004</v>
      </c>
      <c r="AI25" s="152">
        <f>AJ25</f>
        <v>0.66066066066066076</v>
      </c>
      <c r="AJ25" s="152">
        <f>AJ14/33.3</f>
        <v>0.66066066066066076</v>
      </c>
      <c r="AK25" s="91">
        <v>0.65</v>
      </c>
      <c r="AL25" s="152">
        <f>AM25</f>
        <v>0.65491183879093195</v>
      </c>
      <c r="AM25" s="570">
        <f>AM14/39.7</f>
        <v>0.65491183879093195</v>
      </c>
      <c r="AN25" s="659">
        <v>0.66</v>
      </c>
      <c r="AO25" s="91">
        <v>0.68</v>
      </c>
      <c r="AP25" s="91">
        <v>0.67</v>
      </c>
      <c r="AQ25" s="91">
        <v>0.67</v>
      </c>
      <c r="AR25" s="91">
        <v>0.67</v>
      </c>
      <c r="AS25" s="91">
        <v>0.67</v>
      </c>
      <c r="AT25" s="91">
        <v>0.67</v>
      </c>
      <c r="AU25" s="91">
        <v>0.67</v>
      </c>
      <c r="AV25" s="91">
        <v>0.67</v>
      </c>
      <c r="AW25" s="91">
        <v>0.67</v>
      </c>
      <c r="AX25" s="91">
        <v>0.67</v>
      </c>
      <c r="AY25" s="91">
        <v>0.67</v>
      </c>
      <c r="AZ25" s="91">
        <v>0.67</v>
      </c>
      <c r="BA25" s="91">
        <v>0.67</v>
      </c>
      <c r="BB25" s="91">
        <v>0.67</v>
      </c>
    </row>
    <row r="26" spans="1:64">
      <c r="AN26" s="660"/>
    </row>
    <row r="27" spans="1:64">
      <c r="AN27" s="660"/>
    </row>
    <row r="28" spans="1:64">
      <c r="A28" s="134" t="s">
        <v>497</v>
      </c>
      <c r="AN28" s="660"/>
    </row>
    <row r="29" spans="1:64">
      <c r="B29" s="7" t="s">
        <v>223</v>
      </c>
      <c r="C29" s="119" t="s">
        <v>171</v>
      </c>
      <c r="V29" s="30">
        <f>V5/V25</f>
        <v>73.121662866920232</v>
      </c>
      <c r="W29" s="30">
        <f>X29-V29</f>
        <v>143.77291079487952</v>
      </c>
      <c r="X29" s="30">
        <f>X5/X25</f>
        <v>216.89457366179974</v>
      </c>
      <c r="Y29" s="30">
        <f>Y5/Y25</f>
        <v>79.036049381275788</v>
      </c>
      <c r="Z29" s="30">
        <f>AA29-Y29</f>
        <v>82.827475788922712</v>
      </c>
      <c r="AA29" s="30">
        <f>AA5/AA25</f>
        <v>161.8635251701985</v>
      </c>
      <c r="AB29" s="30">
        <f>AB5/AB25</f>
        <v>91.196789999999993</v>
      </c>
      <c r="AC29" s="30">
        <f>AD29-AB29</f>
        <v>84.427137126282531</v>
      </c>
      <c r="AD29" s="30">
        <f>AD5/AD25</f>
        <v>175.62392712628252</v>
      </c>
      <c r="AE29" s="30">
        <f>AE5/AE25</f>
        <v>93.028562560620742</v>
      </c>
      <c r="AF29" s="30">
        <f>AG29-AE29</f>
        <v>85.470992203404194</v>
      </c>
      <c r="AG29" s="30">
        <f>AG5/AG25</f>
        <v>178.49955476402494</v>
      </c>
      <c r="AH29" s="30">
        <f>AH5/AH25</f>
        <v>88.809924950222083</v>
      </c>
      <c r="AI29" s="30">
        <f>AJ29-AH29</f>
        <v>131.95242504977784</v>
      </c>
      <c r="AJ29" s="30">
        <f>AJ5/AJ25</f>
        <v>220.76234999999994</v>
      </c>
      <c r="AK29" s="30">
        <f>AK5/AK25</f>
        <v>203.75692307692307</v>
      </c>
      <c r="AL29" s="30">
        <f>AM29-AK29</f>
        <v>155.93881923076921</v>
      </c>
      <c r="AM29" s="405">
        <f>AM5/AM25</f>
        <v>359.69574230769229</v>
      </c>
      <c r="AN29" s="661">
        <v>228.1</v>
      </c>
      <c r="AO29" s="30">
        <f t="shared" ref="AO29" si="61">AL29*(1+AO33)</f>
        <v>159.61149589897607</v>
      </c>
      <c r="AP29" s="30">
        <f t="shared" ref="AP29" si="62">SUM(AN29:AO29)</f>
        <v>387.71149589897607</v>
      </c>
      <c r="AQ29" s="30">
        <f t="shared" ref="AQ29:AR29" si="63">AN29*(1+AQ33)</f>
        <v>239.66377393891307</v>
      </c>
      <c r="AR29" s="30">
        <f t="shared" si="63"/>
        <v>167.83476229417496</v>
      </c>
      <c r="AS29" s="30">
        <f t="shared" ref="AS29" si="64">SUM(AQ29:AR29)</f>
        <v>407.49853623308803</v>
      </c>
      <c r="AT29" s="30">
        <f t="shared" ref="AT29:AU29" si="65">AQ29*(1+AT33)</f>
        <v>258.87740880889277</v>
      </c>
      <c r="AU29" s="30">
        <f t="shared" si="65"/>
        <v>177.14888233562101</v>
      </c>
      <c r="AV29" s="30">
        <f t="shared" ref="AV29" si="66">SUM(AT29:AU29)</f>
        <v>436.02629114451378</v>
      </c>
      <c r="AW29" s="30">
        <f t="shared" ref="AW29:AX29" si="67">AT29*(1+AW33)</f>
        <v>269.06302733548199</v>
      </c>
      <c r="AX29" s="30">
        <f t="shared" si="67"/>
        <v>184.10125218173832</v>
      </c>
      <c r="AY29" s="30">
        <f t="shared" ref="AY29" si="68">SUM(AW29:AX29)</f>
        <v>453.16427951722028</v>
      </c>
      <c r="AZ29" s="30">
        <f t="shared" ref="AZ29:BA29" si="69">AW29*(1+AZ33)</f>
        <v>276.95877216784993</v>
      </c>
      <c r="BA29" s="30">
        <f t="shared" si="69"/>
        <v>189.94989219257133</v>
      </c>
      <c r="BB29" s="30">
        <f t="shared" ref="BB29" si="70">SUM(AZ29:BA29)</f>
        <v>466.90866436042126</v>
      </c>
    </row>
    <row r="30" spans="1:64">
      <c r="B30" s="161" t="s">
        <v>459</v>
      </c>
      <c r="C30" s="119" t="s">
        <v>82</v>
      </c>
      <c r="F30" s="31"/>
      <c r="G30" s="31"/>
      <c r="H30" s="30"/>
      <c r="I30" s="31"/>
      <c r="J30" s="31"/>
      <c r="K30" s="30"/>
      <c r="L30" s="30"/>
      <c r="M30" s="31"/>
      <c r="N30" s="30"/>
      <c r="O30" s="31"/>
      <c r="P30" s="31"/>
      <c r="Q30" s="30"/>
      <c r="R30" s="31"/>
      <c r="S30" s="31"/>
      <c r="T30" s="30"/>
      <c r="U30" s="31"/>
      <c r="V30" s="31"/>
      <c r="W30" s="30"/>
      <c r="X30" s="31"/>
      <c r="Y30" s="31"/>
      <c r="Z30" s="30"/>
      <c r="AA30" s="31"/>
      <c r="AB30" s="31"/>
      <c r="AC30" s="30"/>
      <c r="AD30" s="31"/>
      <c r="AE30" s="31"/>
      <c r="AF30" s="30"/>
      <c r="AG30" s="31"/>
      <c r="AH30" s="65"/>
      <c r="AI30" s="30"/>
      <c r="AJ30" s="31"/>
      <c r="AK30" s="65"/>
      <c r="AL30" s="30"/>
      <c r="AM30" s="402"/>
      <c r="AN30" s="633"/>
      <c r="AO30" s="65">
        <f>+AO58-2%</f>
        <v>2.3552035896666611E-2</v>
      </c>
      <c r="AP30" s="146">
        <f>+AVERAGE(AN30:AO30)</f>
        <v>2.3552035896666611E-2</v>
      </c>
      <c r="AQ30" s="65">
        <f>+AQ58-1.5%</f>
        <v>3.0696071630482435E-2</v>
      </c>
      <c r="AR30" s="65">
        <f>+AR58-1.5%</f>
        <v>3.1520514539903233E-2</v>
      </c>
      <c r="AS30" s="146">
        <f>+AVERAGE(AQ30:AR30)</f>
        <v>3.1108293085192834E-2</v>
      </c>
      <c r="AT30" s="65">
        <f>+AT58</f>
        <v>4.016912424518948E-2</v>
      </c>
      <c r="AU30" s="65">
        <f>+AU58</f>
        <v>1.5495774022788948E-2</v>
      </c>
      <c r="AV30" s="146">
        <f>+AVERAGE(AT30:AU30)</f>
        <v>2.7832449133989214E-2</v>
      </c>
      <c r="AW30" s="65">
        <f>+AW58</f>
        <v>9.3453355912892465E-3</v>
      </c>
      <c r="AX30" s="65">
        <f>+AX58</f>
        <v>9.245914252767079E-3</v>
      </c>
      <c r="AY30" s="146">
        <f>+AVERAGE(AW30:AX30)</f>
        <v>9.2956249220281627E-3</v>
      </c>
      <c r="AZ30" s="65">
        <f>+AZ58</f>
        <v>9.3453355912892465E-3</v>
      </c>
      <c r="BA30" s="65">
        <f>+BA58</f>
        <v>1.1768605273034343E-2</v>
      </c>
      <c r="BB30" s="146">
        <f>+AVERAGE(AZ30:BA30)</f>
        <v>1.0556970432161795E-2</v>
      </c>
    </row>
    <row r="31" spans="1:64">
      <c r="B31" s="161" t="s">
        <v>458</v>
      </c>
      <c r="C31" s="119" t="s">
        <v>82</v>
      </c>
      <c r="F31" s="31"/>
      <c r="G31" s="31"/>
      <c r="H31" s="30"/>
      <c r="I31" s="31"/>
      <c r="J31" s="31"/>
      <c r="K31" s="30"/>
      <c r="L31" s="30"/>
      <c r="M31" s="31"/>
      <c r="N31" s="30"/>
      <c r="O31" s="31"/>
      <c r="P31" s="31"/>
      <c r="Q31" s="30"/>
      <c r="R31" s="31"/>
      <c r="S31" s="31"/>
      <c r="T31" s="30"/>
      <c r="U31" s="31"/>
      <c r="V31" s="31"/>
      <c r="W31" s="30"/>
      <c r="X31" s="31"/>
      <c r="Y31" s="31"/>
      <c r="Z31" s="30"/>
      <c r="AA31" s="31"/>
      <c r="AB31" s="31"/>
      <c r="AC31" s="30"/>
      <c r="AD31" s="31"/>
      <c r="AE31" s="31"/>
      <c r="AF31" s="30"/>
      <c r="AG31" s="31"/>
      <c r="AH31" s="65"/>
      <c r="AI31" s="30"/>
      <c r="AJ31" s="31"/>
      <c r="AK31" s="65"/>
      <c r="AL31" s="30"/>
      <c r="AM31" s="402"/>
      <c r="AN31" s="633"/>
      <c r="AO31" s="65">
        <v>0.02</v>
      </c>
      <c r="AP31" s="146">
        <f>+AVERAGE(AN31:AO31)</f>
        <v>0.02</v>
      </c>
      <c r="AQ31" s="65">
        <v>0.02</v>
      </c>
      <c r="AR31" s="65">
        <v>0.02</v>
      </c>
      <c r="AS31" s="146">
        <f>+AVERAGE(AQ31:AR31)</f>
        <v>0.02</v>
      </c>
      <c r="AT31" s="65">
        <v>0.02</v>
      </c>
      <c r="AU31" s="65">
        <v>0.02</v>
      </c>
      <c r="AV31" s="146">
        <f>+AVERAGE(AT31:AU31)</f>
        <v>0.02</v>
      </c>
      <c r="AW31" s="65">
        <v>0.02</v>
      </c>
      <c r="AX31" s="65">
        <v>0.02</v>
      </c>
      <c r="AY31" s="146">
        <f>+AVERAGE(AW31:AX31)</f>
        <v>0.02</v>
      </c>
      <c r="AZ31" s="65">
        <v>0.02</v>
      </c>
      <c r="BA31" s="65">
        <v>0.02</v>
      </c>
      <c r="BB31" s="146">
        <f>+AVERAGE(AZ31:BA31)</f>
        <v>0.02</v>
      </c>
    </row>
    <row r="32" spans="1:64">
      <c r="B32" s="161" t="s">
        <v>217</v>
      </c>
      <c r="C32" s="119" t="s">
        <v>82</v>
      </c>
      <c r="F32" s="31"/>
      <c r="G32" s="31"/>
      <c r="H32" s="30"/>
      <c r="I32" s="31"/>
      <c r="J32" s="31"/>
      <c r="K32" s="30"/>
      <c r="L32" s="30"/>
      <c r="M32" s="31"/>
      <c r="N32" s="30"/>
      <c r="O32" s="31"/>
      <c r="P32" s="31"/>
      <c r="Q32" s="30"/>
      <c r="R32" s="31"/>
      <c r="S32" s="31"/>
      <c r="T32" s="30"/>
      <c r="U32" s="31"/>
      <c r="V32" s="31"/>
      <c r="W32" s="30"/>
      <c r="X32" s="31"/>
      <c r="Y32" s="31"/>
      <c r="Z32" s="30"/>
      <c r="AA32" s="31"/>
      <c r="AB32" s="31"/>
      <c r="AC32" s="30"/>
      <c r="AD32" s="31"/>
      <c r="AE32" s="31"/>
      <c r="AF32" s="30"/>
      <c r="AG32" s="31"/>
      <c r="AH32" s="65"/>
      <c r="AI32" s="30"/>
      <c r="AJ32" s="31"/>
      <c r="AK32" s="65"/>
      <c r="AL32" s="30"/>
      <c r="AM32" s="402"/>
      <c r="AN32" s="633"/>
      <c r="AO32" s="65">
        <v>-0.02</v>
      </c>
      <c r="AP32" s="146">
        <f>+AVERAGE(AN32:AO32)</f>
        <v>-0.02</v>
      </c>
      <c r="AQ32" s="65">
        <v>0</v>
      </c>
      <c r="AR32" s="65">
        <v>0</v>
      </c>
      <c r="AS32" s="146">
        <f>+AVERAGE(AQ32:AR32)</f>
        <v>0</v>
      </c>
      <c r="AT32" s="65">
        <v>0.02</v>
      </c>
      <c r="AU32" s="65">
        <v>0.02</v>
      </c>
      <c r="AV32" s="146">
        <f>+AVERAGE(AT32:AU32)</f>
        <v>0.02</v>
      </c>
      <c r="AW32" s="65">
        <v>0.01</v>
      </c>
      <c r="AX32" s="65">
        <v>0.01</v>
      </c>
      <c r="AY32" s="146">
        <f>+AVERAGE(AW32:AX32)</f>
        <v>0.01</v>
      </c>
      <c r="AZ32" s="65">
        <v>0</v>
      </c>
      <c r="BA32" s="65">
        <v>0</v>
      </c>
      <c r="BB32" s="146">
        <f>+AVERAGE(AZ32:BA32)</f>
        <v>0</v>
      </c>
    </row>
    <row r="33" spans="1:54">
      <c r="A33" s="134"/>
      <c r="B33" s="140" t="s">
        <v>430</v>
      </c>
      <c r="C33" s="141"/>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142"/>
      <c r="AC33" s="142"/>
      <c r="AD33" s="142"/>
      <c r="AE33" s="142"/>
      <c r="AF33" s="142"/>
      <c r="AG33" s="142"/>
      <c r="AH33" s="451"/>
      <c r="AI33" s="142"/>
      <c r="AJ33" s="142"/>
      <c r="AK33" s="451"/>
      <c r="AL33" s="142"/>
      <c r="AM33" s="544"/>
      <c r="AN33" s="634"/>
      <c r="AO33" s="451">
        <f t="shared" ref="AO33" si="71">SUM(AO30:AO32)</f>
        <v>2.3552035896666611E-2</v>
      </c>
      <c r="AP33" s="143">
        <f t="shared" ref="AP33" si="72">AP29/AM29-1</f>
        <v>7.788736505899041E-2</v>
      </c>
      <c r="AQ33" s="451">
        <f t="shared" ref="AQ33:AR33" si="73">SUM(AQ30:AQ32)</f>
        <v>5.0696071630482439E-2</v>
      </c>
      <c r="AR33" s="451">
        <f t="shared" si="73"/>
        <v>5.1520514539903237E-2</v>
      </c>
      <c r="AS33" s="143">
        <f t="shared" ref="AS33" si="74">AS29/AP29-1</f>
        <v>5.1035474943120551E-2</v>
      </c>
      <c r="AT33" s="451">
        <f t="shared" ref="AT33:AU33" si="75">SUM(AT30:AT32)</f>
        <v>8.0169124245189488E-2</v>
      </c>
      <c r="AU33" s="451">
        <f t="shared" si="75"/>
        <v>5.5495774022788949E-2</v>
      </c>
      <c r="AV33" s="143">
        <f t="shared" ref="AV33" si="76">AV29/AS29-1</f>
        <v>7.0007011988646672E-2</v>
      </c>
      <c r="AW33" s="451">
        <f t="shared" ref="AW33:AX33" si="77">SUM(AW30:AW32)</f>
        <v>3.9345335591289249E-2</v>
      </c>
      <c r="AX33" s="451">
        <f t="shared" si="77"/>
        <v>3.9245914252767078E-2</v>
      </c>
      <c r="AY33" s="143">
        <f t="shared" ref="AY33" si="78">AY29/AV29-1</f>
        <v>3.9304942662336861E-2</v>
      </c>
      <c r="AZ33" s="451">
        <f t="shared" ref="AZ33:BA33" si="79">SUM(AZ30:AZ32)</f>
        <v>2.9345335591289247E-2</v>
      </c>
      <c r="BA33" s="451">
        <f t="shared" si="79"/>
        <v>3.1768605273034344E-2</v>
      </c>
      <c r="BB33" s="143">
        <f t="shared" ref="BB33" si="80">BB29/AY29-1</f>
        <v>3.0329806351558908E-2</v>
      </c>
    </row>
    <row r="34" spans="1:54">
      <c r="B34" s="40"/>
      <c r="AH34" s="32"/>
      <c r="AK34" s="32"/>
      <c r="AN34" s="581"/>
    </row>
    <row r="35" spans="1:54">
      <c r="B35" s="7" t="s">
        <v>465</v>
      </c>
      <c r="AK35" s="30"/>
      <c r="AN35" s="600"/>
    </row>
    <row r="36" spans="1:54">
      <c r="B36" s="40" t="s">
        <v>422</v>
      </c>
    </row>
    <row r="39" spans="1:54">
      <c r="A39" s="14" t="s">
        <v>417</v>
      </c>
      <c r="B39" s="1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69"/>
      <c r="AN39" s="573"/>
      <c r="AO39" s="4"/>
      <c r="AP39" s="4"/>
      <c r="AQ39" s="4"/>
      <c r="AR39" s="4"/>
      <c r="AS39" s="4"/>
      <c r="AT39" s="4"/>
      <c r="AU39" s="4"/>
      <c r="AV39" s="4"/>
      <c r="AW39" s="4"/>
      <c r="AX39" s="4"/>
      <c r="AY39" s="4"/>
      <c r="AZ39" s="4"/>
      <c r="BA39" s="4"/>
      <c r="BB39" s="4"/>
    </row>
    <row r="40" spans="1:54">
      <c r="B40" s="61" t="s">
        <v>426</v>
      </c>
      <c r="C40" s="73" t="s">
        <v>419</v>
      </c>
      <c r="E40" s="158"/>
      <c r="F40" s="159"/>
      <c r="G40" s="159"/>
      <c r="H40" s="159"/>
      <c r="I40" s="159"/>
      <c r="J40" s="159"/>
      <c r="K40" s="159"/>
      <c r="L40" s="159"/>
      <c r="M40" s="159"/>
      <c r="N40" s="159"/>
      <c r="O40" s="159"/>
      <c r="P40" s="159"/>
      <c r="Q40" s="159"/>
      <c r="R40" s="159"/>
      <c r="S40" s="159"/>
      <c r="T40" s="159"/>
      <c r="U40" s="159"/>
      <c r="V40" s="159">
        <v>53090</v>
      </c>
      <c r="W40" s="159">
        <v>49344</v>
      </c>
      <c r="X40" s="159">
        <v>102434</v>
      </c>
      <c r="Y40" s="159">
        <v>54811</v>
      </c>
      <c r="Z40" s="159">
        <v>68467</v>
      </c>
      <c r="AA40" s="461">
        <v>123278</v>
      </c>
      <c r="AB40" s="461">
        <v>81053</v>
      </c>
      <c r="AC40" s="159">
        <v>63385</v>
      </c>
      <c r="AD40" s="461">
        <v>144438</v>
      </c>
      <c r="AE40" s="461">
        <v>61504</v>
      </c>
      <c r="AF40" s="159">
        <v>53754</v>
      </c>
      <c r="AG40" s="461">
        <v>115258</v>
      </c>
      <c r="AH40" s="461">
        <v>49864</v>
      </c>
      <c r="AI40" s="159">
        <v>48202</v>
      </c>
      <c r="AJ40" s="461">
        <v>98066</v>
      </c>
      <c r="AK40" s="461">
        <v>45401.060000000005</v>
      </c>
      <c r="AL40" s="461">
        <v>46871.279999999992</v>
      </c>
      <c r="AM40" s="416">
        <v>92272.34</v>
      </c>
      <c r="AN40" s="635">
        <v>46434.108900000007</v>
      </c>
      <c r="AO40" s="159">
        <v>50993.683999999994</v>
      </c>
      <c r="AP40" s="159">
        <v>97427.7929</v>
      </c>
      <c r="AQ40" s="159">
        <v>51077.519790000006</v>
      </c>
      <c r="AR40" s="159">
        <v>56093.052400000015</v>
      </c>
      <c r="AS40" s="159">
        <v>107170.57219000002</v>
      </c>
      <c r="AT40" s="159">
        <v>54890.436529500017</v>
      </c>
      <c r="AU40" s="159">
        <v>57509.525260000009</v>
      </c>
      <c r="AV40" s="159">
        <v>112399.96178950003</v>
      </c>
      <c r="AW40" s="159">
        <v>54890.436529500017</v>
      </c>
      <c r="AX40" s="159">
        <v>57509.525260000009</v>
      </c>
      <c r="AY40" s="159">
        <v>112399.96178950003</v>
      </c>
      <c r="AZ40" s="159">
        <v>54890.436529500017</v>
      </c>
      <c r="BA40" s="159">
        <v>57787.161212000006</v>
      </c>
      <c r="BB40" s="159">
        <v>112677.59774150002</v>
      </c>
    </row>
    <row r="41" spans="1:54">
      <c r="B41" s="61" t="s">
        <v>180</v>
      </c>
      <c r="C41" s="73" t="s">
        <v>82</v>
      </c>
      <c r="F41" s="130"/>
      <c r="G41" s="130"/>
      <c r="H41" s="130"/>
      <c r="I41" s="130"/>
      <c r="J41" s="130"/>
      <c r="K41" s="130"/>
      <c r="L41" s="130"/>
      <c r="M41" s="130"/>
      <c r="N41" s="130"/>
      <c r="O41" s="130"/>
      <c r="P41" s="130"/>
      <c r="Q41" s="130"/>
      <c r="R41" s="130"/>
      <c r="S41" s="130"/>
      <c r="T41" s="130"/>
      <c r="U41" s="130"/>
      <c r="V41" s="130">
        <v>-0.15395770585329316</v>
      </c>
      <c r="W41" s="130">
        <v>-9.0131287800560567E-2</v>
      </c>
      <c r="X41" s="130">
        <v>-0.12436849798688698</v>
      </c>
      <c r="Y41" s="130">
        <v>3.2416650970050753E-2</v>
      </c>
      <c r="Z41" s="130">
        <v>0.38754458495460442</v>
      </c>
      <c r="AA41" s="38">
        <v>0.20348712341605335</v>
      </c>
      <c r="AB41" s="38">
        <v>0.47877250916786784</v>
      </c>
      <c r="AC41" s="130">
        <v>-7.4225539310908917E-2</v>
      </c>
      <c r="AD41" s="38">
        <v>0.17164457567449176</v>
      </c>
      <c r="AE41" s="38">
        <v>-0.24118786473048504</v>
      </c>
      <c r="AF41" s="130">
        <v>-0.15194446635639347</v>
      </c>
      <c r="AG41" s="38">
        <v>-0.20202439801160355</v>
      </c>
      <c r="AH41" s="38">
        <v>-0.18925598335067639</v>
      </c>
      <c r="AI41" s="130">
        <v>-0.10328533690516051</v>
      </c>
      <c r="AJ41" s="38">
        <v>-0.14916101268458593</v>
      </c>
      <c r="AK41" s="38">
        <v>-8.9502246109417483E-2</v>
      </c>
      <c r="AL41" s="38">
        <v>-2.7607153230156611E-2</v>
      </c>
      <c r="AM41" s="408">
        <v>-5.9079191564864519E-2</v>
      </c>
      <c r="AN41" s="586">
        <v>2.2753849799982628E-2</v>
      </c>
      <c r="AO41" s="130">
        <v>8.7951598505524142E-2</v>
      </c>
      <c r="AP41" s="130">
        <v>5.5872137847593484E-2</v>
      </c>
      <c r="AQ41" s="130">
        <v>9.9999999999999867E-2</v>
      </c>
      <c r="AR41" s="130">
        <v>0.10000000000000053</v>
      </c>
      <c r="AS41" s="130">
        <v>0.10000000000000031</v>
      </c>
      <c r="AT41" s="130">
        <v>7.4649606229441501E-2</v>
      </c>
      <c r="AU41" s="130">
        <v>2.5252197899645612E-2</v>
      </c>
      <c r="AV41" s="130">
        <v>4.8795014271538539E-2</v>
      </c>
      <c r="AW41" s="130">
        <v>0</v>
      </c>
      <c r="AX41" s="130">
        <v>0</v>
      </c>
      <c r="AY41" s="130">
        <v>0</v>
      </c>
      <c r="AZ41" s="130">
        <v>0</v>
      </c>
      <c r="BA41" s="130">
        <v>4.8276516063174846E-3</v>
      </c>
      <c r="BB41" s="130">
        <v>2.4700715870344947E-3</v>
      </c>
    </row>
    <row r="42" spans="1:54">
      <c r="B42" s="61"/>
      <c r="C42" s="73"/>
    </row>
    <row r="43" spans="1:54">
      <c r="B43" s="61" t="s">
        <v>425</v>
      </c>
      <c r="C43" s="73" t="s">
        <v>419</v>
      </c>
      <c r="E43" s="158"/>
      <c r="F43" s="159"/>
      <c r="G43" s="159"/>
      <c r="H43" s="159"/>
      <c r="I43" s="159"/>
      <c r="J43" s="159"/>
      <c r="K43" s="159"/>
      <c r="L43" s="159"/>
      <c r="M43" s="159"/>
      <c r="N43" s="159"/>
      <c r="O43" s="159"/>
      <c r="P43" s="159"/>
      <c r="Q43" s="159"/>
      <c r="R43" s="159"/>
      <c r="S43" s="159"/>
      <c r="T43" s="159"/>
      <c r="U43" s="159"/>
      <c r="V43" s="159">
        <v>36226</v>
      </c>
      <c r="W43" s="159">
        <v>37587</v>
      </c>
      <c r="X43" s="159">
        <v>73813</v>
      </c>
      <c r="Y43" s="159">
        <v>31922</v>
      </c>
      <c r="Z43" s="159">
        <v>32810</v>
      </c>
      <c r="AA43" s="461">
        <v>64732</v>
      </c>
      <c r="AB43" s="461">
        <v>46810</v>
      </c>
      <c r="AC43" s="159">
        <v>36377</v>
      </c>
      <c r="AD43" s="461">
        <v>83187</v>
      </c>
      <c r="AE43" s="461">
        <v>33352</v>
      </c>
      <c r="AF43" s="159">
        <v>30928</v>
      </c>
      <c r="AG43" s="461">
        <v>64280</v>
      </c>
      <c r="AH43" s="461">
        <v>31550</v>
      </c>
      <c r="AI43" s="159">
        <v>28932</v>
      </c>
      <c r="AJ43" s="461">
        <v>60482</v>
      </c>
      <c r="AK43" s="461">
        <v>27931.26</v>
      </c>
      <c r="AL43" s="461">
        <v>28493.280000000002</v>
      </c>
      <c r="AM43" s="416">
        <v>56424.54</v>
      </c>
      <c r="AN43" s="635">
        <v>28112.8236</v>
      </c>
      <c r="AO43" s="159">
        <v>30166.054399999997</v>
      </c>
      <c r="AP43" s="159">
        <v>58278.877999999997</v>
      </c>
      <c r="AQ43" s="159">
        <v>29827.764960000004</v>
      </c>
      <c r="AR43" s="159">
        <v>32085.873840000004</v>
      </c>
      <c r="AS43" s="159">
        <v>61913.638800000008</v>
      </c>
      <c r="AT43" s="159">
        <v>31500.365208000007</v>
      </c>
      <c r="AU43" s="159">
        <v>32311.577802000003</v>
      </c>
      <c r="AV43" s="159">
        <v>63811.94301000001</v>
      </c>
      <c r="AW43" s="159">
        <v>31500.365208000007</v>
      </c>
      <c r="AX43" s="159">
        <v>32311.577802000003</v>
      </c>
      <c r="AY43" s="159">
        <v>63811.94301000001</v>
      </c>
      <c r="AZ43" s="159">
        <v>31500.365208000007</v>
      </c>
      <c r="BA43" s="159">
        <v>32477.617148000008</v>
      </c>
      <c r="BB43" s="159">
        <v>63977.982356000015</v>
      </c>
    </row>
    <row r="44" spans="1:54">
      <c r="B44" s="61" t="s">
        <v>180</v>
      </c>
      <c r="C44" s="73" t="s">
        <v>82</v>
      </c>
      <c r="F44" s="130"/>
      <c r="G44" s="130"/>
      <c r="H44" s="130"/>
      <c r="I44" s="130"/>
      <c r="J44" s="130"/>
      <c r="K44" s="130"/>
      <c r="L44" s="130"/>
      <c r="M44" s="130"/>
      <c r="N44" s="130"/>
      <c r="O44" s="130"/>
      <c r="P44" s="130"/>
      <c r="Q44" s="130"/>
      <c r="R44" s="130"/>
      <c r="S44" s="130"/>
      <c r="T44" s="130"/>
      <c r="U44" s="130"/>
      <c r="V44" s="130">
        <v>-0.32177559770093422</v>
      </c>
      <c r="W44" s="130">
        <v>-7.2632190586867651E-3</v>
      </c>
      <c r="X44" s="130">
        <v>-0.19131196932347305</v>
      </c>
      <c r="Y44" s="130">
        <v>-0.11880969469441838</v>
      </c>
      <c r="Z44" s="130">
        <v>-0.12709181365897781</v>
      </c>
      <c r="AA44" s="38">
        <v>-0.12302710904583203</v>
      </c>
      <c r="AB44" s="38">
        <v>0.46638681786855463</v>
      </c>
      <c r="AC44" s="130">
        <v>0.10871685461749458</v>
      </c>
      <c r="AD44" s="38">
        <v>0.28509856021751223</v>
      </c>
      <c r="AE44" s="38">
        <v>-0.28750267036957911</v>
      </c>
      <c r="AF44" s="130">
        <v>-0.14979245127415675</v>
      </c>
      <c r="AG44" s="38">
        <v>-0.22728310913964922</v>
      </c>
      <c r="AH44" s="38">
        <v>-5.4029743343727565E-2</v>
      </c>
      <c r="AI44" s="130">
        <v>-6.4536989136057987E-2</v>
      </c>
      <c r="AJ44" s="38">
        <v>-5.9085252022402002E-2</v>
      </c>
      <c r="AK44" s="38">
        <v>-0.11469857369255154</v>
      </c>
      <c r="AL44" s="38">
        <v>-1.516383243467434E-2</v>
      </c>
      <c r="AM44" s="408">
        <v>-6.7085413842134844E-2</v>
      </c>
      <c r="AN44" s="586">
        <v>6.5003727006944789E-3</v>
      </c>
      <c r="AO44" s="130">
        <v>5.8707681249754229E-2</v>
      </c>
      <c r="AP44" s="130">
        <v>3.2864033982377139E-2</v>
      </c>
      <c r="AQ44" s="130">
        <v>6.1002102969123451E-2</v>
      </c>
      <c r="AR44" s="130">
        <v>6.3641715106103058E-2</v>
      </c>
      <c r="AS44" s="130">
        <v>6.2368407298438511E-2</v>
      </c>
      <c r="AT44" s="130">
        <v>5.6075279198525729E-2</v>
      </c>
      <c r="AU44" s="130">
        <v>7.0343716716427807E-3</v>
      </c>
      <c r="AV44" s="130">
        <v>3.0660517565961554E-2</v>
      </c>
      <c r="AW44" s="130">
        <v>0</v>
      </c>
      <c r="AX44" s="130">
        <v>0</v>
      </c>
      <c r="AY44" s="130">
        <v>0</v>
      </c>
      <c r="AZ44" s="130">
        <v>0</v>
      </c>
      <c r="BA44" s="130">
        <v>5.138695083770406E-3</v>
      </c>
      <c r="BB44" s="130">
        <v>2.6020105041149044E-3</v>
      </c>
    </row>
    <row r="45" spans="1:54">
      <c r="B45" s="61"/>
      <c r="C45" s="73"/>
    </row>
    <row r="46" spans="1:54">
      <c r="B46" s="61" t="s">
        <v>88</v>
      </c>
      <c r="C46" s="73"/>
      <c r="F46" s="159"/>
      <c r="G46" s="159"/>
      <c r="H46" s="159"/>
      <c r="I46" s="159"/>
      <c r="J46" s="159"/>
      <c r="K46" s="159"/>
      <c r="L46" s="159"/>
      <c r="M46" s="159"/>
      <c r="N46" s="159"/>
      <c r="O46" s="159"/>
      <c r="P46" s="159"/>
      <c r="Q46" s="159"/>
      <c r="R46" s="159"/>
      <c r="S46" s="159"/>
      <c r="T46" s="159"/>
      <c r="U46" s="159"/>
      <c r="V46" s="159">
        <v>23953.869680694763</v>
      </c>
      <c r="W46" s="159">
        <v>21483.635073103644</v>
      </c>
      <c r="X46" s="159">
        <v>45437.504753798406</v>
      </c>
      <c r="Y46" s="159">
        <v>22878.634293372721</v>
      </c>
      <c r="Z46" s="159">
        <v>21540.047114979498</v>
      </c>
      <c r="AA46" s="461">
        <v>44418.681408352219</v>
      </c>
      <c r="AB46" s="461">
        <v>22081.048694482</v>
      </c>
      <c r="AC46" s="159">
        <v>22226.844608865831</v>
      </c>
      <c r="AD46" s="461">
        <v>44307.893303347832</v>
      </c>
      <c r="AE46" s="461">
        <v>22554.066589500377</v>
      </c>
      <c r="AF46" s="159">
        <v>22702.985728576943</v>
      </c>
      <c r="AG46" s="461">
        <v>45257.052318077316</v>
      </c>
      <c r="AH46" s="461">
        <v>23067.219336217284</v>
      </c>
      <c r="AI46" s="159">
        <v>23219.526700869603</v>
      </c>
      <c r="AJ46" s="461">
        <v>46286.746037086887</v>
      </c>
      <c r="AK46" s="461">
        <v>23564.891497279044</v>
      </c>
      <c r="AL46" s="461">
        <v>23720.484872880814</v>
      </c>
      <c r="AM46" s="416">
        <v>47285.376370159858</v>
      </c>
      <c r="AN46" s="635">
        <v>23853.862429508452</v>
      </c>
      <c r="AO46" s="159">
        <v>24011.363811467963</v>
      </c>
      <c r="AP46" s="159">
        <v>47865.226240976415</v>
      </c>
      <c r="AQ46" s="159">
        <v>24092.401053803536</v>
      </c>
      <c r="AR46" s="159">
        <v>24251.477449582642</v>
      </c>
      <c r="AS46" s="159">
        <v>48343.878503386179</v>
      </c>
      <c r="AT46" s="159">
        <v>24333.32506434157</v>
      </c>
      <c r="AU46" s="159">
        <v>24493.992224078473</v>
      </c>
      <c r="AV46" s="159">
        <v>48827.317288420047</v>
      </c>
      <c r="AW46" s="159">
        <v>24576.658314984987</v>
      </c>
      <c r="AX46" s="159">
        <v>24738.932146319257</v>
      </c>
      <c r="AY46" s="159">
        <v>49315.590461304244</v>
      </c>
      <c r="AZ46" s="159">
        <v>24822.424898134836</v>
      </c>
      <c r="BA46" s="159">
        <v>24986.321467782451</v>
      </c>
      <c r="BB46" s="159">
        <v>49808.746365917286</v>
      </c>
    </row>
    <row r="47" spans="1:54">
      <c r="B47" s="61" t="s">
        <v>180</v>
      </c>
      <c r="C47" s="73" t="s">
        <v>82</v>
      </c>
      <c r="F47" s="130"/>
      <c r="G47" s="130"/>
      <c r="H47" s="130"/>
      <c r="I47" s="130"/>
      <c r="J47" s="130"/>
      <c r="K47" s="130"/>
      <c r="L47" s="130"/>
      <c r="M47" s="130"/>
      <c r="N47" s="130"/>
      <c r="O47" s="130"/>
      <c r="P47" s="130"/>
      <c r="Q47" s="130"/>
      <c r="R47" s="130"/>
      <c r="S47" s="130"/>
      <c r="T47" s="130"/>
      <c r="U47" s="130"/>
      <c r="V47" s="130">
        <v>2.7989749430523903E-2</v>
      </c>
      <c r="W47" s="130">
        <v>-4.7847998738140385E-2</v>
      </c>
      <c r="X47" s="130">
        <v>-9.3186340370456922E-3</v>
      </c>
      <c r="Y47" s="130">
        <v>-4.4887753071004233E-2</v>
      </c>
      <c r="Z47" s="130">
        <v>2.6258145646160802E-3</v>
      </c>
      <c r="AA47" s="38">
        <v>-2.2422519699676458E-2</v>
      </c>
      <c r="AB47" s="38">
        <v>-3.4861591328541719E-2</v>
      </c>
      <c r="AC47" s="130">
        <v>3.188467927763794E-2</v>
      </c>
      <c r="AD47" s="38">
        <v>-2.4941781586419465E-3</v>
      </c>
      <c r="AE47" s="38">
        <v>2.1421894474449532E-2</v>
      </c>
      <c r="AF47" s="130">
        <v>2.1421894474449532E-2</v>
      </c>
      <c r="AG47" s="38">
        <v>2.1421894474449532E-2</v>
      </c>
      <c r="AH47" s="38">
        <v>2.2752116328139005E-2</v>
      </c>
      <c r="AI47" s="130">
        <v>2.2752116328138783E-2</v>
      </c>
      <c r="AJ47" s="38">
        <v>2.2752116328139005E-2</v>
      </c>
      <c r="AK47" s="38">
        <v>2.1574865778484886E-2</v>
      </c>
      <c r="AL47" s="38">
        <v>2.1574865778485108E-2</v>
      </c>
      <c r="AM47" s="408">
        <v>2.1574865778484886E-2</v>
      </c>
      <c r="AN47" s="586">
        <v>1.226277372262774E-2</v>
      </c>
      <c r="AO47" s="130">
        <v>1.226277372262774E-2</v>
      </c>
      <c r="AP47" s="130">
        <v>1.226277372262774E-2</v>
      </c>
      <c r="AQ47" s="130">
        <v>1.0000000000000009E-2</v>
      </c>
      <c r="AR47" s="130">
        <v>1.0000000000000009E-2</v>
      </c>
      <c r="AS47" s="130">
        <v>1.0000000000000009E-2</v>
      </c>
      <c r="AT47" s="130">
        <v>1.0000000000000009E-2</v>
      </c>
      <c r="AU47" s="130">
        <v>1.0000000000000231E-2</v>
      </c>
      <c r="AV47" s="130">
        <v>1.0000000000000231E-2</v>
      </c>
      <c r="AW47" s="130">
        <v>1.0000000000000009E-2</v>
      </c>
      <c r="AX47" s="130">
        <v>1.0000000000000009E-2</v>
      </c>
      <c r="AY47" s="130">
        <v>1.0000000000000009E-2</v>
      </c>
      <c r="AZ47" s="130">
        <v>1.0000000000000009E-2</v>
      </c>
      <c r="BA47" s="130">
        <v>1.0000000000000009E-2</v>
      </c>
      <c r="BB47" s="130">
        <v>1.0000000000000009E-2</v>
      </c>
    </row>
    <row r="48" spans="1:54">
      <c r="B48" s="61"/>
      <c r="C48" s="73"/>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417"/>
      <c r="AN48" s="636"/>
      <c r="AO48" s="105"/>
      <c r="AP48" s="105"/>
      <c r="AQ48" s="105"/>
      <c r="AR48" s="105"/>
      <c r="AS48" s="105"/>
      <c r="AT48" s="105"/>
      <c r="AU48" s="105"/>
      <c r="AV48" s="105"/>
      <c r="AW48" s="105"/>
      <c r="AX48" s="105"/>
      <c r="AY48" s="105"/>
      <c r="AZ48" s="105"/>
      <c r="BA48" s="105"/>
      <c r="BB48" s="105"/>
    </row>
    <row r="49" spans="1:54">
      <c r="B49" s="61" t="s">
        <v>413</v>
      </c>
      <c r="C49" s="73" t="s">
        <v>82</v>
      </c>
      <c r="F49" s="130"/>
      <c r="G49" s="130"/>
      <c r="H49" s="130"/>
      <c r="I49" s="130"/>
      <c r="J49" s="130"/>
      <c r="K49" s="130"/>
      <c r="L49" s="130"/>
      <c r="M49" s="130"/>
      <c r="N49" s="130"/>
      <c r="O49" s="130"/>
      <c r="P49" s="130"/>
      <c r="Q49" s="130"/>
      <c r="R49" s="130"/>
      <c r="S49" s="130"/>
      <c r="T49" s="130"/>
      <c r="U49" s="130"/>
      <c r="V49" s="130">
        <v>2.2171041625616398E-2</v>
      </c>
      <c r="W49" s="130">
        <v>2.6983657011068304E-2</v>
      </c>
      <c r="X49" s="130">
        <v>2.4577349318342351E-2</v>
      </c>
      <c r="Y49" s="130">
        <v>2.7381342365156981E-2</v>
      </c>
      <c r="Z49" s="130">
        <v>2.6983657011068304E-2</v>
      </c>
      <c r="AA49" s="38">
        <v>2.7182499688112642E-2</v>
      </c>
      <c r="AB49" s="38">
        <v>2.7381342365156981E-2</v>
      </c>
      <c r="AC49" s="130">
        <v>2.6983657011068304E-2</v>
      </c>
      <c r="AD49" s="38">
        <v>2.7182499688112642E-2</v>
      </c>
      <c r="AE49" s="38">
        <v>2.7381342365156981E-2</v>
      </c>
      <c r="AF49" s="130">
        <v>2.6983657011068304E-2</v>
      </c>
      <c r="AG49" s="38">
        <v>2.7182499688112642E-2</v>
      </c>
      <c r="AH49" s="38">
        <v>2.7381342365156981E-2</v>
      </c>
      <c r="AI49" s="130">
        <v>2.6983657011068304E-2</v>
      </c>
      <c r="AJ49" s="38">
        <v>2.7182499688112642E-2</v>
      </c>
      <c r="AK49" s="38">
        <v>2.7381342365156981E-2</v>
      </c>
      <c r="AL49" s="38">
        <v>2.6983657011068304E-2</v>
      </c>
      <c r="AM49" s="408">
        <v>2.7182499688112642E-2</v>
      </c>
      <c r="AN49" s="586">
        <v>2.7381342365156981E-2</v>
      </c>
      <c r="AO49" s="130">
        <v>2.6983657011068304E-2</v>
      </c>
      <c r="AP49" s="130">
        <v>2.7182499688112642E-2</v>
      </c>
      <c r="AQ49" s="130">
        <v>2.7381342365156981E-2</v>
      </c>
      <c r="AR49" s="130">
        <v>2.6983657011068304E-2</v>
      </c>
      <c r="AS49" s="130">
        <v>2.7182499688112642E-2</v>
      </c>
      <c r="AT49" s="130">
        <v>2.7381342365156981E-2</v>
      </c>
      <c r="AU49" s="130">
        <v>2.6983657011068304E-2</v>
      </c>
      <c r="AV49" s="130">
        <v>2.7182499688112642E-2</v>
      </c>
      <c r="AW49" s="130">
        <v>2.7381342365156981E-2</v>
      </c>
      <c r="AX49" s="130">
        <v>2.6983657011068304E-2</v>
      </c>
      <c r="AY49" s="130">
        <v>2.7182499688112642E-2</v>
      </c>
      <c r="AZ49" s="130">
        <v>2.7381342365156981E-2</v>
      </c>
      <c r="BA49" s="130">
        <v>2.6983657011068304E-2</v>
      </c>
      <c r="BB49" s="130">
        <v>2.7182499688112642E-2</v>
      </c>
    </row>
    <row r="51" spans="1:54">
      <c r="A51" s="147" t="s">
        <v>416</v>
      </c>
      <c r="B51" s="148"/>
      <c r="C51" s="160"/>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c r="AJ51" s="148"/>
      <c r="AK51" s="148"/>
      <c r="AL51" s="148"/>
      <c r="AM51" s="413"/>
      <c r="AN51" s="149"/>
      <c r="AO51" s="148"/>
      <c r="AP51" s="148"/>
      <c r="AQ51" s="148"/>
      <c r="AR51" s="148"/>
      <c r="AS51" s="148"/>
      <c r="AT51" s="148"/>
      <c r="AU51" s="148"/>
      <c r="AV51" s="148"/>
      <c r="AW51" s="148"/>
      <c r="AX51" s="148"/>
      <c r="AY51" s="148"/>
      <c r="AZ51" s="148"/>
      <c r="BA51" s="148"/>
      <c r="BB51" s="148"/>
    </row>
    <row r="52" spans="1:54">
      <c r="B52" s="7" t="s">
        <v>423</v>
      </c>
      <c r="C52" s="119" t="s">
        <v>82</v>
      </c>
      <c r="G52" s="113"/>
      <c r="H52" s="113"/>
      <c r="I52" s="113"/>
      <c r="J52" s="113"/>
      <c r="K52" s="113"/>
      <c r="L52" s="113"/>
      <c r="M52" s="113"/>
      <c r="N52" s="113"/>
      <c r="O52" s="113"/>
      <c r="P52" s="113"/>
      <c r="Q52" s="113"/>
      <c r="R52" s="113"/>
      <c r="S52" s="113"/>
      <c r="T52" s="113"/>
      <c r="U52" s="113"/>
      <c r="V52" s="113">
        <f t="shared" ref="V52:BB52" si="81">0.5*0.3</f>
        <v>0.15</v>
      </c>
      <c r="W52" s="113">
        <f t="shared" si="81"/>
        <v>0.15</v>
      </c>
      <c r="X52" s="113">
        <f t="shared" si="81"/>
        <v>0.15</v>
      </c>
      <c r="Y52" s="113">
        <f t="shared" si="81"/>
        <v>0.15</v>
      </c>
      <c r="Z52" s="113">
        <f t="shared" si="81"/>
        <v>0.15</v>
      </c>
      <c r="AA52" s="113">
        <f t="shared" si="81"/>
        <v>0.15</v>
      </c>
      <c r="AB52" s="113">
        <f t="shared" si="81"/>
        <v>0.15</v>
      </c>
      <c r="AC52" s="113">
        <f t="shared" si="81"/>
        <v>0.15</v>
      </c>
      <c r="AD52" s="113">
        <f t="shared" si="81"/>
        <v>0.15</v>
      </c>
      <c r="AE52" s="113">
        <f t="shared" si="81"/>
        <v>0.15</v>
      </c>
      <c r="AF52" s="113">
        <f t="shared" si="81"/>
        <v>0.15</v>
      </c>
      <c r="AG52" s="113">
        <f t="shared" si="81"/>
        <v>0.15</v>
      </c>
      <c r="AH52" s="113">
        <f t="shared" si="81"/>
        <v>0.15</v>
      </c>
      <c r="AI52" s="113">
        <f t="shared" si="81"/>
        <v>0.15</v>
      </c>
      <c r="AJ52" s="113">
        <f t="shared" si="81"/>
        <v>0.15</v>
      </c>
      <c r="AK52" s="113">
        <f t="shared" si="81"/>
        <v>0.15</v>
      </c>
      <c r="AL52" s="113">
        <f t="shared" si="81"/>
        <v>0.15</v>
      </c>
      <c r="AM52" s="414">
        <f t="shared" si="81"/>
        <v>0.15</v>
      </c>
      <c r="AN52" s="599">
        <f t="shared" si="81"/>
        <v>0.15</v>
      </c>
      <c r="AO52" s="113">
        <f t="shared" si="81"/>
        <v>0.15</v>
      </c>
      <c r="AP52" s="113">
        <f t="shared" si="81"/>
        <v>0.15</v>
      </c>
      <c r="AQ52" s="113">
        <f t="shared" si="81"/>
        <v>0.15</v>
      </c>
      <c r="AR52" s="113">
        <f t="shared" si="81"/>
        <v>0.15</v>
      </c>
      <c r="AS52" s="113">
        <f t="shared" si="81"/>
        <v>0.15</v>
      </c>
      <c r="AT52" s="113">
        <f t="shared" si="81"/>
        <v>0.15</v>
      </c>
      <c r="AU52" s="113">
        <f t="shared" si="81"/>
        <v>0.15</v>
      </c>
      <c r="AV52" s="113">
        <f t="shared" si="81"/>
        <v>0.15</v>
      </c>
      <c r="AW52" s="113">
        <f t="shared" si="81"/>
        <v>0.15</v>
      </c>
      <c r="AX52" s="113">
        <f t="shared" si="81"/>
        <v>0.15</v>
      </c>
      <c r="AY52" s="113">
        <f t="shared" si="81"/>
        <v>0.15</v>
      </c>
      <c r="AZ52" s="113">
        <f t="shared" si="81"/>
        <v>0.15</v>
      </c>
      <c r="BA52" s="113">
        <f t="shared" si="81"/>
        <v>0.15</v>
      </c>
      <c r="BB52" s="113">
        <f t="shared" si="81"/>
        <v>0.15</v>
      </c>
    </row>
    <row r="53" spans="1:54">
      <c r="A53" s="14"/>
      <c r="B53" s="7" t="s">
        <v>424</v>
      </c>
      <c r="C53" s="119" t="s">
        <v>82</v>
      </c>
      <c r="I53" s="113"/>
      <c r="J53" s="113"/>
      <c r="K53" s="113"/>
      <c r="L53" s="113"/>
      <c r="M53" s="113"/>
      <c r="N53" s="113"/>
      <c r="O53" s="113"/>
      <c r="P53" s="113"/>
      <c r="Q53" s="113"/>
      <c r="R53" s="113"/>
      <c r="S53" s="113"/>
      <c r="T53" s="113"/>
      <c r="U53" s="113"/>
      <c r="V53" s="113">
        <f t="shared" ref="V53:BB53" si="82">0.5*0.7</f>
        <v>0.35</v>
      </c>
      <c r="W53" s="113">
        <f t="shared" si="82"/>
        <v>0.35</v>
      </c>
      <c r="X53" s="113">
        <f t="shared" si="82"/>
        <v>0.35</v>
      </c>
      <c r="Y53" s="113">
        <f t="shared" si="82"/>
        <v>0.35</v>
      </c>
      <c r="Z53" s="113">
        <f t="shared" si="82"/>
        <v>0.35</v>
      </c>
      <c r="AA53" s="113">
        <f t="shared" si="82"/>
        <v>0.35</v>
      </c>
      <c r="AB53" s="113">
        <f t="shared" si="82"/>
        <v>0.35</v>
      </c>
      <c r="AC53" s="113">
        <f t="shared" si="82"/>
        <v>0.35</v>
      </c>
      <c r="AD53" s="113">
        <f t="shared" si="82"/>
        <v>0.35</v>
      </c>
      <c r="AE53" s="113">
        <f t="shared" si="82"/>
        <v>0.35</v>
      </c>
      <c r="AF53" s="113">
        <f t="shared" si="82"/>
        <v>0.35</v>
      </c>
      <c r="AG53" s="113">
        <f t="shared" si="82"/>
        <v>0.35</v>
      </c>
      <c r="AH53" s="113">
        <f t="shared" si="82"/>
        <v>0.35</v>
      </c>
      <c r="AI53" s="113">
        <f t="shared" si="82"/>
        <v>0.35</v>
      </c>
      <c r="AJ53" s="113">
        <f t="shared" si="82"/>
        <v>0.35</v>
      </c>
      <c r="AK53" s="113">
        <f t="shared" si="82"/>
        <v>0.35</v>
      </c>
      <c r="AL53" s="113">
        <f t="shared" si="82"/>
        <v>0.35</v>
      </c>
      <c r="AM53" s="414">
        <f t="shared" si="82"/>
        <v>0.35</v>
      </c>
      <c r="AN53" s="599">
        <f t="shared" si="82"/>
        <v>0.35</v>
      </c>
      <c r="AO53" s="113">
        <f t="shared" si="82"/>
        <v>0.35</v>
      </c>
      <c r="AP53" s="113">
        <f t="shared" si="82"/>
        <v>0.35</v>
      </c>
      <c r="AQ53" s="113">
        <f t="shared" si="82"/>
        <v>0.35</v>
      </c>
      <c r="AR53" s="113">
        <f t="shared" si="82"/>
        <v>0.35</v>
      </c>
      <c r="AS53" s="113">
        <f t="shared" si="82"/>
        <v>0.35</v>
      </c>
      <c r="AT53" s="113">
        <f t="shared" si="82"/>
        <v>0.35</v>
      </c>
      <c r="AU53" s="113">
        <f t="shared" si="82"/>
        <v>0.35</v>
      </c>
      <c r="AV53" s="113">
        <f t="shared" si="82"/>
        <v>0.35</v>
      </c>
      <c r="AW53" s="113">
        <f t="shared" si="82"/>
        <v>0.35</v>
      </c>
      <c r="AX53" s="113">
        <f t="shared" si="82"/>
        <v>0.35</v>
      </c>
      <c r="AY53" s="113">
        <f t="shared" si="82"/>
        <v>0.35</v>
      </c>
      <c r="AZ53" s="113">
        <f t="shared" si="82"/>
        <v>0.35</v>
      </c>
      <c r="BA53" s="113">
        <f t="shared" si="82"/>
        <v>0.35</v>
      </c>
      <c r="BB53" s="113">
        <f t="shared" si="82"/>
        <v>0.35</v>
      </c>
    </row>
    <row r="54" spans="1:54">
      <c r="B54" s="7" t="s">
        <v>411</v>
      </c>
      <c r="C54" s="119" t="s">
        <v>82</v>
      </c>
      <c r="G54" s="113"/>
      <c r="H54" s="113"/>
      <c r="I54" s="113"/>
      <c r="J54" s="113"/>
      <c r="K54" s="113"/>
      <c r="L54" s="113"/>
      <c r="M54" s="113"/>
      <c r="N54" s="113"/>
      <c r="O54" s="113"/>
      <c r="P54" s="113"/>
      <c r="Q54" s="113"/>
      <c r="R54" s="113"/>
      <c r="S54" s="113"/>
      <c r="T54" s="113"/>
      <c r="U54" s="113"/>
      <c r="V54" s="113">
        <v>0.25</v>
      </c>
      <c r="W54" s="113">
        <v>0.25</v>
      </c>
      <c r="X54" s="113">
        <v>0.25</v>
      </c>
      <c r="Y54" s="113">
        <v>0.25</v>
      </c>
      <c r="Z54" s="113">
        <v>0.25</v>
      </c>
      <c r="AA54" s="113">
        <v>0.25</v>
      </c>
      <c r="AB54" s="113">
        <v>0.25</v>
      </c>
      <c r="AC54" s="113">
        <v>0.25</v>
      </c>
      <c r="AD54" s="113">
        <v>0.25</v>
      </c>
      <c r="AE54" s="113">
        <v>0.25</v>
      </c>
      <c r="AF54" s="113">
        <v>0.25</v>
      </c>
      <c r="AG54" s="113">
        <v>0.25</v>
      </c>
      <c r="AH54" s="113">
        <v>0.25</v>
      </c>
      <c r="AI54" s="113">
        <v>0.25</v>
      </c>
      <c r="AJ54" s="113">
        <v>0.25</v>
      </c>
      <c r="AK54" s="113">
        <v>0.25</v>
      </c>
      <c r="AL54" s="113">
        <v>0.25</v>
      </c>
      <c r="AM54" s="414">
        <v>0.25</v>
      </c>
      <c r="AN54" s="599">
        <v>0.25</v>
      </c>
      <c r="AO54" s="113">
        <v>0.25</v>
      </c>
      <c r="AP54" s="113">
        <v>0.25</v>
      </c>
      <c r="AQ54" s="113">
        <v>0.25</v>
      </c>
      <c r="AR54" s="113">
        <v>0.25</v>
      </c>
      <c r="AS54" s="113">
        <v>0.25</v>
      </c>
      <c r="AT54" s="113">
        <v>0.25</v>
      </c>
      <c r="AU54" s="113">
        <v>0.25</v>
      </c>
      <c r="AV54" s="113">
        <v>0.25</v>
      </c>
      <c r="AW54" s="113">
        <v>0.25</v>
      </c>
      <c r="AX54" s="113">
        <v>0.25</v>
      </c>
      <c r="AY54" s="113">
        <v>0.25</v>
      </c>
      <c r="AZ54" s="113">
        <v>0.25</v>
      </c>
      <c r="BA54" s="113">
        <v>0.25</v>
      </c>
      <c r="BB54" s="113">
        <v>0.25</v>
      </c>
    </row>
    <row r="55" spans="1:54">
      <c r="B55" s="7" t="s">
        <v>414</v>
      </c>
      <c r="C55" s="119" t="s">
        <v>82</v>
      </c>
      <c r="G55" s="113"/>
      <c r="H55" s="113"/>
      <c r="I55" s="113"/>
      <c r="J55" s="113"/>
      <c r="K55" s="113"/>
      <c r="L55" s="113"/>
      <c r="M55" s="113"/>
      <c r="N55" s="113"/>
      <c r="O55" s="113"/>
      <c r="P55" s="113"/>
      <c r="Q55" s="113"/>
      <c r="R55" s="113"/>
      <c r="S55" s="113"/>
      <c r="T55" s="113"/>
      <c r="U55" s="113"/>
      <c r="V55" s="113">
        <v>0.25</v>
      </c>
      <c r="W55" s="113">
        <v>0.25</v>
      </c>
      <c r="X55" s="113">
        <v>0.25</v>
      </c>
      <c r="Y55" s="113">
        <v>0.25</v>
      </c>
      <c r="Z55" s="113">
        <v>0.25</v>
      </c>
      <c r="AA55" s="113">
        <v>0.25</v>
      </c>
      <c r="AB55" s="113">
        <v>0.25</v>
      </c>
      <c r="AC55" s="113">
        <v>0.25</v>
      </c>
      <c r="AD55" s="113">
        <v>0.25</v>
      </c>
      <c r="AE55" s="113">
        <v>0.25</v>
      </c>
      <c r="AF55" s="113">
        <v>0.25</v>
      </c>
      <c r="AG55" s="113">
        <v>0.25</v>
      </c>
      <c r="AH55" s="113">
        <v>0.25</v>
      </c>
      <c r="AI55" s="113">
        <v>0.25</v>
      </c>
      <c r="AJ55" s="113">
        <v>0.25</v>
      </c>
      <c r="AK55" s="113">
        <v>0.25</v>
      </c>
      <c r="AL55" s="113">
        <v>0.25</v>
      </c>
      <c r="AM55" s="414">
        <v>0.25</v>
      </c>
      <c r="AN55" s="599">
        <v>0.25</v>
      </c>
      <c r="AO55" s="113">
        <v>0.25</v>
      </c>
      <c r="AP55" s="113">
        <v>0.25</v>
      </c>
      <c r="AQ55" s="113">
        <v>0.25</v>
      </c>
      <c r="AR55" s="113">
        <v>0.25</v>
      </c>
      <c r="AS55" s="113">
        <v>0.25</v>
      </c>
      <c r="AT55" s="113">
        <v>0.25</v>
      </c>
      <c r="AU55" s="113">
        <v>0.25</v>
      </c>
      <c r="AV55" s="113">
        <v>0.25</v>
      </c>
      <c r="AW55" s="113">
        <v>0.25</v>
      </c>
      <c r="AX55" s="113">
        <v>0.25</v>
      </c>
      <c r="AY55" s="113">
        <v>0.25</v>
      </c>
      <c r="AZ55" s="113">
        <v>0.25</v>
      </c>
      <c r="BA55" s="113">
        <v>0.25</v>
      </c>
      <c r="BB55" s="113">
        <v>0.25</v>
      </c>
    </row>
    <row r="57" spans="1:54">
      <c r="A57" s="147" t="s">
        <v>418</v>
      </c>
      <c r="B57" s="148"/>
      <c r="C57" s="160"/>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413"/>
      <c r="AN57" s="149"/>
      <c r="AO57" s="148"/>
      <c r="AP57" s="148"/>
      <c r="AQ57" s="148"/>
      <c r="AR57" s="148"/>
      <c r="AS57" s="148"/>
      <c r="AT57" s="148"/>
      <c r="AU57" s="148"/>
      <c r="AV57" s="148"/>
      <c r="AW57" s="148"/>
      <c r="AX57" s="148"/>
      <c r="AY57" s="148"/>
      <c r="AZ57" s="148"/>
      <c r="BA57" s="148"/>
      <c r="BB57" s="148"/>
    </row>
    <row r="58" spans="1:54">
      <c r="B58" s="40" t="s">
        <v>415</v>
      </c>
      <c r="C58" s="119" t="s">
        <v>82</v>
      </c>
      <c r="G58" s="130"/>
      <c r="H58" s="130"/>
      <c r="I58" s="130"/>
      <c r="J58" s="130"/>
      <c r="K58" s="130"/>
      <c r="L58" s="130"/>
      <c r="M58" s="130"/>
      <c r="N58" s="130"/>
      <c r="O58" s="130"/>
      <c r="P58" s="130"/>
      <c r="Q58" s="130"/>
      <c r="R58" s="130"/>
      <c r="S58" s="130"/>
      <c r="T58" s="130"/>
      <c r="U58" s="130"/>
      <c r="V58" s="130">
        <f t="shared" ref="V58:AJ58" si="83">V41*V52+V44*V53+V47*V54+V49*V55</f>
        <v>-0.12317491730928588</v>
      </c>
      <c r="W58" s="130">
        <f t="shared" si="83"/>
        <v>-2.1277905272392473E-2</v>
      </c>
      <c r="X58" s="130">
        <f t="shared" si="83"/>
        <v>-8.1799785140924453E-2</v>
      </c>
      <c r="Y58" s="130">
        <f t="shared" si="83"/>
        <v>-4.109749817400063E-2</v>
      </c>
      <c r="Z58" s="130">
        <f t="shared" si="83"/>
        <v>2.1051920856469529E-2</v>
      </c>
      <c r="AA58" s="38">
        <f t="shared" si="83"/>
        <v>-1.134642465652416E-2</v>
      </c>
      <c r="AB58" s="38">
        <f t="shared" ref="AB58:AD58" si="84">AB41*AB52+AB44*AB53+AB47*AB54+AB49*AB55</f>
        <v>0.23318120038832812</v>
      </c>
      <c r="AC58" s="130">
        <f t="shared" si="84"/>
        <v>4.1634152291663326E-2</v>
      </c>
      <c r="AD58" s="38">
        <f t="shared" si="84"/>
        <v>0.13170326280967071</v>
      </c>
      <c r="AE58" s="38">
        <f>AE41*AE52+AE44*AE53+AE47*AE54+AE49*AE55</f>
        <v>-0.12460330512902379</v>
      </c>
      <c r="AF58" s="130">
        <f t="shared" ref="AF58:AG58" si="85">AF41*AF52+AF44*AF53+AF47*AF54+AF49*AF55</f>
        <v>-6.3117640028034411E-2</v>
      </c>
      <c r="AG58" s="38">
        <f t="shared" si="85"/>
        <v>-9.7701649359977202E-2</v>
      </c>
      <c r="AH58" s="38">
        <f t="shared" si="83"/>
        <v>-3.4765442999582105E-2</v>
      </c>
      <c r="AI58" s="130">
        <f t="shared" si="83"/>
        <v>-2.5646803398592599E-2</v>
      </c>
      <c r="AJ58" s="38">
        <f t="shared" si="83"/>
        <v>-3.0570336106465673E-2</v>
      </c>
      <c r="AK58" s="38">
        <f t="shared" ref="AK58:AM58" si="86">AK41*AK52+AK44*AK53+AK47*AK54+AK49*AK55</f>
        <v>-4.1330785672895193E-2</v>
      </c>
      <c r="AL58" s="38">
        <f t="shared" si="86"/>
        <v>2.6912163607288432E-3</v>
      </c>
      <c r="AM58" s="408">
        <f t="shared" si="86"/>
        <v>-2.015243221282749E-2</v>
      </c>
      <c r="AN58" s="586">
        <f t="shared" ref="AN58" si="87">AN41*AN52+AN44*AN53+AN47*AN54+AN49*AN55</f>
        <v>1.5599236937186643E-2</v>
      </c>
      <c r="AO58" s="130">
        <f t="shared" ref="AO58:BB58" si="88">AO41*AO52+AO44*AO53+AO47*AO54+AO49*AO55</f>
        <v>4.3552035896666612E-2</v>
      </c>
      <c r="AP58" s="130">
        <f t="shared" si="88"/>
        <v>2.9744550923656118E-2</v>
      </c>
      <c r="AQ58" s="130">
        <f t="shared" si="88"/>
        <v>4.5696071630482435E-2</v>
      </c>
      <c r="AR58" s="130">
        <f t="shared" si="88"/>
        <v>4.6520514539903232E-2</v>
      </c>
      <c r="AS58" s="130">
        <f t="shared" si="88"/>
        <v>4.6124567476481686E-2</v>
      </c>
      <c r="AT58" s="130">
        <f t="shared" si="88"/>
        <v>4.016912424518948E-2</v>
      </c>
      <c r="AU58" s="130">
        <f t="shared" si="88"/>
        <v>1.5495774022788948E-2</v>
      </c>
      <c r="AV58" s="130">
        <f t="shared" si="88"/>
        <v>2.7346058210845542E-2</v>
      </c>
      <c r="AW58" s="130">
        <f t="shared" si="88"/>
        <v>9.3453355912892465E-3</v>
      </c>
      <c r="AX58" s="130">
        <f t="shared" si="88"/>
        <v>9.245914252767079E-3</v>
      </c>
      <c r="AY58" s="130">
        <f t="shared" si="88"/>
        <v>9.2956249220281627E-3</v>
      </c>
      <c r="AZ58" s="130">
        <f t="shared" si="88"/>
        <v>9.3453355912892465E-3</v>
      </c>
      <c r="BA58" s="130">
        <f t="shared" si="88"/>
        <v>1.1768605273034343E-2</v>
      </c>
      <c r="BB58" s="130">
        <f t="shared" si="88"/>
        <v>1.0576839336523553E-2</v>
      </c>
    </row>
    <row r="60" spans="1:54" ht="19.95" customHeight="1"/>
    <row r="63" spans="1:54" s="541" customFormat="1">
      <c r="A63" s="537" t="s">
        <v>517</v>
      </c>
      <c r="B63" s="538"/>
      <c r="C63" s="539"/>
      <c r="D63" s="538"/>
      <c r="E63" s="538"/>
      <c r="F63" s="538"/>
      <c r="G63" s="538"/>
      <c r="H63" s="538"/>
      <c r="I63" s="538"/>
      <c r="J63" s="538"/>
      <c r="K63" s="538"/>
      <c r="L63" s="538"/>
      <c r="M63" s="538"/>
      <c r="N63" s="538"/>
      <c r="O63" s="538"/>
      <c r="P63" s="538"/>
      <c r="Q63" s="538"/>
      <c r="R63" s="538"/>
      <c r="S63" s="538"/>
      <c r="T63" s="538"/>
      <c r="U63" s="538"/>
      <c r="V63" s="538"/>
      <c r="W63" s="538"/>
      <c r="X63" s="538"/>
      <c r="Y63" s="538"/>
      <c r="Z63" s="538"/>
      <c r="AA63" s="538"/>
      <c r="AB63" s="538"/>
      <c r="AC63" s="538"/>
      <c r="AD63" s="538"/>
      <c r="AE63" s="538"/>
      <c r="AF63" s="538"/>
      <c r="AG63" s="538"/>
      <c r="AH63" s="538"/>
      <c r="AI63" s="538"/>
      <c r="AJ63" s="538"/>
      <c r="AK63" s="538"/>
      <c r="AL63" s="538"/>
      <c r="AM63" s="540"/>
      <c r="AN63" s="637"/>
      <c r="AO63" s="538"/>
      <c r="AP63" s="538"/>
      <c r="AQ63" s="538"/>
      <c r="AR63" s="538"/>
      <c r="AS63" s="538"/>
      <c r="AT63" s="538"/>
      <c r="AU63" s="538"/>
      <c r="AV63" s="538"/>
      <c r="AW63" s="538"/>
      <c r="AX63" s="538"/>
      <c r="AY63" s="538"/>
      <c r="AZ63" s="538"/>
      <c r="BA63" s="538"/>
      <c r="BB63" s="538"/>
    </row>
    <row r="64" spans="1:54">
      <c r="B64" s="7" t="s">
        <v>223</v>
      </c>
      <c r="C64" s="119" t="s">
        <v>171</v>
      </c>
      <c r="AA64" s="89">
        <v>139</v>
      </c>
      <c r="AB64" s="7">
        <f>AD64*AB66</f>
        <v>121.5</v>
      </c>
      <c r="AC64" s="7">
        <f>AD64-AB64</f>
        <v>40.5</v>
      </c>
      <c r="AD64" s="89">
        <v>162</v>
      </c>
      <c r="AE64" s="7">
        <f>AG64*AE66</f>
        <v>135</v>
      </c>
      <c r="AF64" s="7">
        <f>AG64-AE64</f>
        <v>45</v>
      </c>
      <c r="AG64" s="89">
        <v>180</v>
      </c>
      <c r="AH64" s="535">
        <v>147</v>
      </c>
      <c r="AI64" s="7">
        <f>AJ64-AH64</f>
        <v>-98.2</v>
      </c>
      <c r="AJ64" s="89">
        <v>48.8</v>
      </c>
      <c r="AK64" s="89">
        <v>110.8</v>
      </c>
      <c r="AL64" s="7">
        <f>AM64-AK64</f>
        <v>74.100000000000009</v>
      </c>
      <c r="AM64" s="536">
        <v>184.9</v>
      </c>
      <c r="AN64" s="638"/>
      <c r="AO64" s="49">
        <f>AL64*(1+AO65)</f>
        <v>77.064000000000007</v>
      </c>
      <c r="AP64" s="49">
        <f>AN64+AO64</f>
        <v>77.064000000000007</v>
      </c>
      <c r="AQ64" s="49">
        <f t="shared" ref="AQ64:AR64" si="89">AN64*(1+AQ65)</f>
        <v>0</v>
      </c>
      <c r="AR64" s="49">
        <f t="shared" si="89"/>
        <v>80.917200000000008</v>
      </c>
      <c r="AS64" s="49">
        <f t="shared" ref="AS64" si="90">AQ64+AR64</f>
        <v>80.917200000000008</v>
      </c>
      <c r="AT64" s="49">
        <f t="shared" ref="AT64:AU64" si="91">AQ64*(1+AT65)</f>
        <v>0</v>
      </c>
      <c r="AU64" s="49">
        <f t="shared" si="91"/>
        <v>84.963060000000013</v>
      </c>
      <c r="AV64" s="49">
        <f t="shared" ref="AV64" si="92">AT64+AU64</f>
        <v>84.963060000000013</v>
      </c>
      <c r="AW64" s="7">
        <f t="shared" ref="AW64:AX64" si="93">AT64*(1+AW65)</f>
        <v>0</v>
      </c>
      <c r="AX64" s="7">
        <f t="shared" si="93"/>
        <v>88.361582400000017</v>
      </c>
      <c r="AY64" s="49">
        <f t="shared" ref="AY64" si="94">AW64+AX64</f>
        <v>88.361582400000017</v>
      </c>
      <c r="AZ64" s="7">
        <f t="shared" ref="AZ64:BA64" si="95">AW64*(1+AZ65)</f>
        <v>0</v>
      </c>
      <c r="BA64" s="7">
        <f t="shared" si="95"/>
        <v>91.896045696000016</v>
      </c>
      <c r="BB64" s="49">
        <f t="shared" ref="BB64" si="96">AZ64+BA64</f>
        <v>91.896045696000016</v>
      </c>
    </row>
    <row r="65" spans="2:54">
      <c r="B65" s="40" t="s">
        <v>225</v>
      </c>
      <c r="C65" s="119" t="s">
        <v>82</v>
      </c>
      <c r="AC65" s="32"/>
      <c r="AD65" s="32">
        <f t="shared" ref="AD65:AH65" si="97">AD64/AA64-1</f>
        <v>0.16546762589928066</v>
      </c>
      <c r="AE65" s="32">
        <f t="shared" si="97"/>
        <v>0.11111111111111116</v>
      </c>
      <c r="AF65" s="32">
        <f t="shared" si="97"/>
        <v>0.11111111111111116</v>
      </c>
      <c r="AG65" s="32">
        <f t="shared" si="97"/>
        <v>0.11111111111111116</v>
      </c>
      <c r="AH65" s="32">
        <f t="shared" si="97"/>
        <v>8.8888888888888795E-2</v>
      </c>
      <c r="AI65" s="32">
        <f t="shared" ref="AI65" si="98">AI64/AF64-1</f>
        <v>-3.1822222222222223</v>
      </c>
      <c r="AJ65" s="32">
        <f t="shared" ref="AJ65:AK65" si="99">AJ64/AG64-1</f>
        <v>-0.72888888888888892</v>
      </c>
      <c r="AK65" s="32">
        <f t="shared" si="99"/>
        <v>-0.24625850340136057</v>
      </c>
      <c r="AL65" s="32">
        <f t="shared" ref="AL65" si="100">AL64/AI64-1</f>
        <v>-1.7545824847250509</v>
      </c>
      <c r="AM65" s="33">
        <f t="shared" ref="AM65:AN65" si="101">AM64/AJ64-1</f>
        <v>2.7889344262295084</v>
      </c>
      <c r="AN65" s="581">
        <f t="shared" si="101"/>
        <v>-1</v>
      </c>
      <c r="AO65" s="114">
        <v>0.04</v>
      </c>
      <c r="AP65" s="124">
        <f>AP64/AM64-1</f>
        <v>-0.5832125473228772</v>
      </c>
      <c r="AQ65" s="114">
        <v>0.05</v>
      </c>
      <c r="AR65" s="114">
        <v>0.05</v>
      </c>
      <c r="AS65" s="124">
        <f t="shared" ref="AS65" si="102">AS64/AP64-1</f>
        <v>5.0000000000000044E-2</v>
      </c>
      <c r="AT65" s="114">
        <v>0.05</v>
      </c>
      <c r="AU65" s="114">
        <v>0.05</v>
      </c>
      <c r="AV65" s="124">
        <f t="shared" ref="AV65" si="103">AV64/AS64-1</f>
        <v>5.0000000000000044E-2</v>
      </c>
      <c r="AW65" s="114">
        <v>0.04</v>
      </c>
      <c r="AX65" s="114">
        <v>0.04</v>
      </c>
      <c r="AY65" s="124">
        <f t="shared" ref="AY65" si="104">AY64/AV64-1</f>
        <v>4.0000000000000036E-2</v>
      </c>
      <c r="AZ65" s="114">
        <v>0.04</v>
      </c>
      <c r="BA65" s="114">
        <v>0.04</v>
      </c>
      <c r="BB65" s="124">
        <f t="shared" ref="BB65" si="105">BB64/AY64-1</f>
        <v>4.0000000000000036E-2</v>
      </c>
    </row>
    <row r="66" spans="2:54">
      <c r="B66" s="40" t="s">
        <v>518</v>
      </c>
      <c r="AB66" s="114">
        <v>0.75</v>
      </c>
      <c r="AC66" s="113">
        <f>AC64/AD64</f>
        <v>0.25</v>
      </c>
      <c r="AD66" s="32"/>
      <c r="AE66" s="114">
        <v>0.75</v>
      </c>
      <c r="AF66" s="113">
        <f>AF64/AG64</f>
        <v>0.25</v>
      </c>
      <c r="AG66" s="32"/>
      <c r="AH66" s="32">
        <f>AH64/AJ64</f>
        <v>3.0122950819672134</v>
      </c>
      <c r="AI66" s="113">
        <f>AI64/AJ64</f>
        <v>-2.0122950819672134</v>
      </c>
      <c r="AJ66" s="32"/>
      <c r="AK66" s="32">
        <f>AK64/AM64</f>
        <v>0.599242833964305</v>
      </c>
      <c r="AL66" s="113">
        <f>AL64/AM64</f>
        <v>0.400757166035695</v>
      </c>
      <c r="AM66" s="33"/>
      <c r="AN66" s="581">
        <f>AN64/AP64</f>
        <v>0</v>
      </c>
      <c r="AO66" s="113">
        <f>AO64/AP64</f>
        <v>1</v>
      </c>
      <c r="AQ66" s="113">
        <f t="shared" ref="AQ66" si="106">AQ64/AS64</f>
        <v>0</v>
      </c>
      <c r="AR66" s="113">
        <f t="shared" ref="AR66" si="107">AR64/AS64</f>
        <v>1</v>
      </c>
      <c r="AT66" s="113">
        <f t="shared" ref="AT66" si="108">AT64/AV64</f>
        <v>0</v>
      </c>
      <c r="AU66" s="113">
        <f t="shared" ref="AU66" si="109">AU64/AV64</f>
        <v>1</v>
      </c>
      <c r="AW66" s="113">
        <f t="shared" ref="AW66" si="110">AW64/AY64</f>
        <v>0</v>
      </c>
      <c r="AX66" s="113">
        <f t="shared" ref="AX66" si="111">AX64/AY64</f>
        <v>1</v>
      </c>
      <c r="AZ66" s="113">
        <f t="shared" ref="AZ66" si="112">AZ64/BB64</f>
        <v>0</v>
      </c>
      <c r="BA66" s="113">
        <f t="shared" ref="BA66" si="113">BA64/BB64</f>
        <v>1</v>
      </c>
    </row>
    <row r="67" spans="2:54">
      <c r="S67" s="159"/>
      <c r="V67" s="159"/>
      <c r="Y67" s="159"/>
    </row>
    <row r="68" spans="2:54">
      <c r="B68" s="7" t="s">
        <v>183</v>
      </c>
      <c r="C68" s="119" t="s">
        <v>171</v>
      </c>
      <c r="AH68" s="49">
        <f>AH64*AH69</f>
        <v>17.532812499999999</v>
      </c>
      <c r="AK68" s="49">
        <f>AK64*AK69</f>
        <v>13.215208333333333</v>
      </c>
      <c r="AN68" s="588">
        <f>AN64*AN69</f>
        <v>0</v>
      </c>
      <c r="AO68" s="49">
        <f>AO64*AO69</f>
        <v>9.2476800000000008</v>
      </c>
      <c r="AP68" s="49">
        <f>AN68+AO68</f>
        <v>9.2476800000000008</v>
      </c>
      <c r="AQ68" s="49">
        <f t="shared" ref="AQ68:AR68" si="114">AQ64*AQ69</f>
        <v>0</v>
      </c>
      <c r="AR68" s="49">
        <f t="shared" si="114"/>
        <v>9.7100640000000009</v>
      </c>
      <c r="AS68" s="49">
        <f t="shared" ref="AS68" si="115">AQ68+AR68</f>
        <v>9.7100640000000009</v>
      </c>
      <c r="AT68" s="49">
        <f t="shared" ref="AT68:AU68" si="116">AT64*AT69</f>
        <v>0</v>
      </c>
      <c r="AU68" s="49">
        <f t="shared" si="116"/>
        <v>10.195567200000001</v>
      </c>
      <c r="AV68" s="49">
        <f t="shared" ref="AV68" si="117">AT68+AU68</f>
        <v>10.195567200000001</v>
      </c>
      <c r="AW68" s="49">
        <f t="shared" ref="AW68:AX68" si="118">AW64*AW69</f>
        <v>0</v>
      </c>
      <c r="AX68" s="49">
        <f t="shared" si="118"/>
        <v>10.603389888000002</v>
      </c>
      <c r="AY68" s="49">
        <f t="shared" ref="AY68" si="119">AW68+AX68</f>
        <v>10.603389888000002</v>
      </c>
      <c r="AZ68" s="49">
        <f t="shared" ref="AZ68:BA68" si="120">AZ64*AZ69</f>
        <v>0</v>
      </c>
      <c r="BA68" s="49">
        <f t="shared" si="120"/>
        <v>11.027525483520002</v>
      </c>
      <c r="BB68" s="49">
        <f t="shared" ref="BB68" si="121">AZ68+BA68</f>
        <v>11.027525483520002</v>
      </c>
    </row>
    <row r="69" spans="2:54">
      <c r="B69" s="40" t="s">
        <v>422</v>
      </c>
      <c r="C69" s="119" t="s">
        <v>82</v>
      </c>
      <c r="AH69" s="87">
        <f>22.9/192</f>
        <v>0.11927083333333333</v>
      </c>
      <c r="AI69" s="130"/>
      <c r="AJ69" s="38"/>
      <c r="AK69" s="87">
        <f>22.9/192</f>
        <v>0.11927083333333333</v>
      </c>
      <c r="AL69" s="38"/>
      <c r="AM69" s="408"/>
      <c r="AN69" s="639">
        <f>22.9/192</f>
        <v>0.11927083333333333</v>
      </c>
      <c r="AO69" s="130">
        <v>0.12</v>
      </c>
      <c r="AP69" s="130">
        <f>AP68/AP64</f>
        <v>0.12</v>
      </c>
      <c r="AQ69" s="130">
        <v>0.12</v>
      </c>
      <c r="AR69" s="130">
        <v>0.12</v>
      </c>
      <c r="AS69" s="130">
        <f t="shared" ref="AS69" si="122">AS68/AS64</f>
        <v>0.12</v>
      </c>
      <c r="AT69" s="130">
        <v>0.12</v>
      </c>
      <c r="AU69" s="130">
        <v>0.12</v>
      </c>
      <c r="AV69" s="130">
        <f t="shared" ref="AV69" si="123">AV68/AV64</f>
        <v>0.12</v>
      </c>
      <c r="AW69" s="130">
        <v>0.12</v>
      </c>
      <c r="AX69" s="130">
        <v>0.12</v>
      </c>
      <c r="AY69" s="130">
        <f t="shared" ref="AY69" si="124">AY68/AY64</f>
        <v>0.12000000000000001</v>
      </c>
      <c r="AZ69" s="130">
        <v>0.12</v>
      </c>
      <c r="BA69" s="130">
        <v>0.12</v>
      </c>
      <c r="BB69" s="130">
        <f t="shared" ref="BB69" si="125">BB68/BB64</f>
        <v>0.12</v>
      </c>
    </row>
    <row r="70" spans="2:54">
      <c r="B70" s="40"/>
      <c r="AH70" s="34"/>
      <c r="AK70" s="34"/>
      <c r="AN70" s="582"/>
    </row>
    <row r="71" spans="2:54">
      <c r="B71" s="7" t="s">
        <v>61</v>
      </c>
      <c r="AH71" s="7">
        <f>AH72*AH64</f>
        <v>10.290000000000001</v>
      </c>
      <c r="AK71" s="7">
        <f>AK72*AK64</f>
        <v>7.7560000000000002</v>
      </c>
      <c r="AN71" s="118">
        <f>AN72*AN64</f>
        <v>0</v>
      </c>
      <c r="AO71" s="49">
        <f>AO72*AO64</f>
        <v>5.3944800000000006</v>
      </c>
      <c r="AP71" s="49">
        <f>AN71+AO71</f>
        <v>5.3944800000000006</v>
      </c>
      <c r="AQ71" s="49">
        <f t="shared" ref="AQ71:AR71" si="126">AQ72*AQ64</f>
        <v>0</v>
      </c>
      <c r="AR71" s="49">
        <f t="shared" si="126"/>
        <v>5.6642040000000007</v>
      </c>
      <c r="AS71" s="49">
        <f t="shared" ref="AS71" si="127">AQ71+AR71</f>
        <v>5.6642040000000007</v>
      </c>
      <c r="AT71" s="49">
        <f t="shared" ref="AT71:AU71" si="128">AT72*AT64</f>
        <v>0</v>
      </c>
      <c r="AU71" s="49">
        <f t="shared" si="128"/>
        <v>5.9474142000000016</v>
      </c>
      <c r="AV71" s="49">
        <f t="shared" ref="AV71" si="129">AT71+AU71</f>
        <v>5.9474142000000016</v>
      </c>
      <c r="AW71" s="7">
        <f t="shared" ref="AW71:AX71" si="130">AW72*AW64</f>
        <v>0</v>
      </c>
      <c r="AX71" s="7">
        <f t="shared" si="130"/>
        <v>6.1853107680000017</v>
      </c>
      <c r="AY71" s="49">
        <f t="shared" ref="AY71" si="131">AW71+AX71</f>
        <v>6.1853107680000017</v>
      </c>
      <c r="AZ71" s="7">
        <f t="shared" ref="AZ71:BA71" si="132">AZ72*AZ64</f>
        <v>0</v>
      </c>
      <c r="BA71" s="7">
        <f t="shared" si="132"/>
        <v>6.4327231987200015</v>
      </c>
      <c r="BB71" s="49">
        <f t="shared" ref="BB71" si="133">AZ71+BA71</f>
        <v>6.4327231987200015</v>
      </c>
    </row>
    <row r="72" spans="2:54">
      <c r="B72" s="40" t="s">
        <v>519</v>
      </c>
      <c r="AH72" s="87">
        <v>7.0000000000000007E-2</v>
      </c>
      <c r="AI72" s="105"/>
      <c r="AJ72" s="105"/>
      <c r="AK72" s="87">
        <v>7.0000000000000007E-2</v>
      </c>
      <c r="AL72" s="105"/>
      <c r="AM72" s="417"/>
      <c r="AN72" s="639">
        <v>1.07</v>
      </c>
      <c r="AO72" s="547">
        <v>7.0000000000000007E-2</v>
      </c>
      <c r="AP72" s="130">
        <f>AP71/AP64</f>
        <v>7.0000000000000007E-2</v>
      </c>
      <c r="AQ72" s="547">
        <v>7.0000000000000007E-2</v>
      </c>
      <c r="AR72" s="547">
        <v>7.0000000000000007E-2</v>
      </c>
      <c r="AS72" s="130">
        <f t="shared" ref="AS72" si="134">AS71/AS64</f>
        <v>7.0000000000000007E-2</v>
      </c>
      <c r="AT72" s="547">
        <v>7.0000000000000007E-2</v>
      </c>
      <c r="AU72" s="547">
        <v>7.0000000000000007E-2</v>
      </c>
      <c r="AV72" s="130">
        <f t="shared" ref="AV72" si="135">AV71/AV64</f>
        <v>7.0000000000000007E-2</v>
      </c>
      <c r="AW72" s="547">
        <v>7.0000000000000007E-2</v>
      </c>
      <c r="AX72" s="547">
        <v>7.0000000000000007E-2</v>
      </c>
      <c r="AY72" s="130">
        <f t="shared" ref="AY72" si="136">AY71/AY64</f>
        <v>7.0000000000000007E-2</v>
      </c>
      <c r="AZ72" s="547">
        <v>7.0000000000000007E-2</v>
      </c>
      <c r="BA72" s="547">
        <v>7.0000000000000007E-2</v>
      </c>
      <c r="BB72" s="130">
        <f t="shared" ref="BB72" si="137">BB71/BB64</f>
        <v>7.0000000000000007E-2</v>
      </c>
    </row>
    <row r="73" spans="2:54">
      <c r="B73" s="40"/>
      <c r="AH73" s="34"/>
      <c r="AK73" s="34"/>
      <c r="AN73" s="582"/>
    </row>
    <row r="74" spans="2:54">
      <c r="B74" s="7" t="s">
        <v>184</v>
      </c>
      <c r="C74" s="119" t="s">
        <v>171</v>
      </c>
      <c r="AH74" s="30">
        <f>AH68-AH71</f>
        <v>7.2428124999999977</v>
      </c>
      <c r="AK74" s="30">
        <f>AK68-AK71</f>
        <v>5.4592083333333328</v>
      </c>
      <c r="AN74" s="600">
        <f>AN68-AN71</f>
        <v>0</v>
      </c>
      <c r="AO74" s="30">
        <f>AO68-AO71</f>
        <v>3.8532000000000002</v>
      </c>
      <c r="AP74" s="30">
        <f>AN74+AO74</f>
        <v>3.8532000000000002</v>
      </c>
      <c r="AQ74" s="30">
        <f t="shared" ref="AQ74:AR74" si="138">AQ68-AQ71</f>
        <v>0</v>
      </c>
      <c r="AR74" s="30">
        <f t="shared" si="138"/>
        <v>4.0458600000000002</v>
      </c>
      <c r="AS74" s="30">
        <f t="shared" ref="AS74" si="139">AQ74+AR74</f>
        <v>4.0458600000000002</v>
      </c>
      <c r="AT74" s="30">
        <f t="shared" ref="AT74:AU74" si="140">AT68-AT71</f>
        <v>0</v>
      </c>
      <c r="AU74" s="30">
        <f t="shared" si="140"/>
        <v>4.2481529999999994</v>
      </c>
      <c r="AV74" s="30">
        <f t="shared" ref="AV74" si="141">AT74+AU74</f>
        <v>4.2481529999999994</v>
      </c>
      <c r="AW74" s="30">
        <f t="shared" ref="AW74:AX74" si="142">AW68-AW71</f>
        <v>0</v>
      </c>
      <c r="AX74" s="30">
        <f t="shared" si="142"/>
        <v>4.4180791200000007</v>
      </c>
      <c r="AY74" s="30">
        <f t="shared" ref="AY74" si="143">AW74+AX74</f>
        <v>4.4180791200000007</v>
      </c>
      <c r="AZ74" s="30">
        <f t="shared" ref="AZ74:BA74" si="144">AZ68-AZ71</f>
        <v>0</v>
      </c>
      <c r="BA74" s="30">
        <f t="shared" si="144"/>
        <v>4.5948022848000001</v>
      </c>
      <c r="BB74" s="30">
        <f t="shared" ref="BB74" si="145">AZ74+BA74</f>
        <v>4.5948022848000001</v>
      </c>
    </row>
    <row r="76" spans="2:54">
      <c r="B76" s="7" t="s">
        <v>223</v>
      </c>
      <c r="C76" s="119" t="s">
        <v>269</v>
      </c>
      <c r="AA76" s="49">
        <f>AA64*AA25</f>
        <v>103.78228808705612</v>
      </c>
      <c r="AB76" s="49">
        <f>AB64*AB25</f>
        <v>88.686131386861319</v>
      </c>
      <c r="AC76" s="49">
        <f>AC64*AC25</f>
        <v>31.162363439519698</v>
      </c>
      <c r="AD76" s="49">
        <f>AB76+AC76</f>
        <v>119.84849482638101</v>
      </c>
      <c r="AE76" s="49">
        <f>AE64*AE25</f>
        <v>90.615234375</v>
      </c>
      <c r="AF76" s="49">
        <f>AF64*AF25</f>
        <v>28.389732813986939</v>
      </c>
      <c r="AG76" s="49">
        <f>AE76+AF76</f>
        <v>119.00496718898694</v>
      </c>
      <c r="AH76" s="49">
        <f>AH64*AH25</f>
        <v>95.976300000000009</v>
      </c>
      <c r="AI76" s="49">
        <f>AJ76-AH76</f>
        <v>-63.736059759759769</v>
      </c>
      <c r="AJ76" s="49">
        <f>AJ64*AJ25</f>
        <v>32.24024024024024</v>
      </c>
      <c r="AK76" s="49">
        <f>AK64*AK25</f>
        <v>72.02</v>
      </c>
      <c r="AL76" s="49">
        <f>AM76-AK76</f>
        <v>49.073198992443324</v>
      </c>
      <c r="AM76" s="407">
        <f>AM64*AM25</f>
        <v>121.09319899244332</v>
      </c>
      <c r="AN76" s="588">
        <f>AN64*AN25</f>
        <v>0</v>
      </c>
      <c r="AO76" s="49">
        <f>AO64*AO25</f>
        <v>52.403520000000007</v>
      </c>
      <c r="AP76" s="49">
        <f>AN76+AO76</f>
        <v>52.403520000000007</v>
      </c>
      <c r="AQ76" s="49">
        <f t="shared" ref="AQ76:AR76" si="146">AQ64*AQ25</f>
        <v>0</v>
      </c>
      <c r="AR76" s="49">
        <f t="shared" si="146"/>
        <v>54.214524000000011</v>
      </c>
      <c r="AS76" s="49">
        <f t="shared" ref="AS76" si="147">AQ76+AR76</f>
        <v>54.214524000000011</v>
      </c>
      <c r="AT76" s="49">
        <f t="shared" ref="AT76:AU76" si="148">AT64*AT25</f>
        <v>0</v>
      </c>
      <c r="AU76" s="49">
        <f t="shared" si="148"/>
        <v>56.925250200000015</v>
      </c>
      <c r="AV76" s="49">
        <f t="shared" ref="AV76" si="149">AT76+AU76</f>
        <v>56.925250200000015</v>
      </c>
      <c r="AW76" s="49">
        <f t="shared" ref="AW76:AX76" si="150">AW64*AW25</f>
        <v>0</v>
      </c>
      <c r="AX76" s="49">
        <f t="shared" si="150"/>
        <v>59.202260208000013</v>
      </c>
      <c r="AY76" s="49">
        <f t="shared" ref="AY76" si="151">AW76+AX76</f>
        <v>59.202260208000013</v>
      </c>
      <c r="AZ76" s="49">
        <f t="shared" ref="AZ76:BA76" si="152">AZ64*AZ25</f>
        <v>0</v>
      </c>
      <c r="BA76" s="49">
        <f t="shared" si="152"/>
        <v>61.570350616320013</v>
      </c>
      <c r="BB76" s="49">
        <f t="shared" ref="BB76" si="153">AZ76+BA76</f>
        <v>61.570350616320013</v>
      </c>
    </row>
    <row r="77" spans="2:54">
      <c r="B77" s="40" t="s">
        <v>225</v>
      </c>
      <c r="C77" s="119" t="s">
        <v>82</v>
      </c>
      <c r="AD77" s="32">
        <f t="shared" ref="AD77:AK77" si="154">AD76/AA76-1</f>
        <v>0.15480682720974515</v>
      </c>
      <c r="AE77" s="32">
        <f t="shared" si="154"/>
        <v>2.1752025462962843E-2</v>
      </c>
      <c r="AF77" s="32">
        <f t="shared" si="154"/>
        <v>-8.8973695172829714E-2</v>
      </c>
      <c r="AG77" s="32">
        <f t="shared" si="154"/>
        <v>-7.0382831141605484E-3</v>
      </c>
      <c r="AH77" s="32">
        <f t="shared" si="154"/>
        <v>5.9162961526026514E-2</v>
      </c>
      <c r="AI77" s="32">
        <f t="shared" ref="AI77" si="155">AI76/AF76-1</f>
        <v>-3.2450390842832642</v>
      </c>
      <c r="AJ77" s="32">
        <f t="shared" ref="AJ77" si="156">AJ76/AG76-1</f>
        <v>-0.72908491971565503</v>
      </c>
      <c r="AK77" s="32">
        <f t="shared" si="154"/>
        <v>-0.24960641324993782</v>
      </c>
      <c r="AL77" s="32">
        <f t="shared" ref="AL77" si="157">AL76/AI76-1</f>
        <v>-1.7699440344667501</v>
      </c>
      <c r="AM77" s="33">
        <f t="shared" ref="AM77:AN77" si="158">AM76/AJ76-1</f>
        <v>2.7559645365577148</v>
      </c>
      <c r="AN77" s="581">
        <f t="shared" si="158"/>
        <v>-1</v>
      </c>
      <c r="AO77" s="32">
        <f t="shared" ref="AO77" si="159">AO76/AL76-1</f>
        <v>6.786435520679035E-2</v>
      </c>
      <c r="AP77" s="32">
        <f t="shared" ref="AP77" si="160">AP76/AM76-1</f>
        <v>-0.56724638182801512</v>
      </c>
      <c r="AQ77" s="32"/>
      <c r="AR77" s="32">
        <f t="shared" ref="AR77" si="161">AR76/AO76-1</f>
        <v>3.4558823529411864E-2</v>
      </c>
      <c r="AS77" s="32">
        <f t="shared" ref="AS77" si="162">AS76/AP76-1</f>
        <v>3.4558823529411864E-2</v>
      </c>
      <c r="AT77" s="32"/>
      <c r="AU77" s="32">
        <f t="shared" ref="AU77" si="163">AU76/AR76-1</f>
        <v>5.0000000000000044E-2</v>
      </c>
      <c r="AV77" s="32">
        <f t="shared" ref="AV77" si="164">AV76/AS76-1</f>
        <v>5.0000000000000044E-2</v>
      </c>
      <c r="AW77" s="32"/>
      <c r="AX77" s="32">
        <f t="shared" ref="AX77" si="165">AX76/AU76-1</f>
        <v>4.0000000000000036E-2</v>
      </c>
      <c r="AY77" s="32">
        <f t="shared" ref="AY77" si="166">AY76/AV76-1</f>
        <v>4.0000000000000036E-2</v>
      </c>
      <c r="AZ77" s="32"/>
      <c r="BA77" s="32">
        <f t="shared" ref="BA77" si="167">BA76/AX76-1</f>
        <v>4.0000000000000036E-2</v>
      </c>
      <c r="BB77" s="32">
        <f t="shared" ref="BB77" si="168">BB76/AY76-1</f>
        <v>4.0000000000000036E-2</v>
      </c>
    </row>
    <row r="78" spans="2:54">
      <c r="B78" s="40"/>
    </row>
    <row r="80" spans="2:54">
      <c r="B80" s="7" t="s">
        <v>183</v>
      </c>
      <c r="C80" s="119" t="s">
        <v>269</v>
      </c>
      <c r="AH80" s="49">
        <f>AH68*AH25</f>
        <v>11.44717328125</v>
      </c>
      <c r="AK80" s="49">
        <f>AK68*AK25</f>
        <v>8.5898854166666663</v>
      </c>
      <c r="AN80" s="588">
        <f>AN68*AN25</f>
        <v>0</v>
      </c>
      <c r="AO80" s="49">
        <f>AO68*AO25</f>
        <v>6.2884224000000009</v>
      </c>
      <c r="AP80" s="49">
        <f>AN80+AO80</f>
        <v>6.2884224000000009</v>
      </c>
      <c r="AQ80" s="49">
        <f t="shared" ref="AQ80:AR80" si="169">AQ68*AQ25</f>
        <v>0</v>
      </c>
      <c r="AR80" s="49">
        <f t="shared" si="169"/>
        <v>6.5057428800000006</v>
      </c>
      <c r="AS80" s="49">
        <f t="shared" ref="AS80" si="170">AQ80+AR80</f>
        <v>6.5057428800000006</v>
      </c>
      <c r="AT80" s="49">
        <f t="shared" ref="AT80:AU80" si="171">AT68*AT25</f>
        <v>0</v>
      </c>
      <c r="AU80" s="49">
        <f t="shared" si="171"/>
        <v>6.8310300240000013</v>
      </c>
      <c r="AV80" s="49">
        <f t="shared" ref="AV80" si="172">AT80+AU80</f>
        <v>6.8310300240000013</v>
      </c>
      <c r="AW80" s="49">
        <f t="shared" ref="AW80:AX80" si="173">AW68*AW25</f>
        <v>0</v>
      </c>
      <c r="AX80" s="49">
        <f t="shared" si="173"/>
        <v>7.1042712249600024</v>
      </c>
      <c r="AY80" s="49">
        <f t="shared" ref="AY80" si="174">AW80+AX80</f>
        <v>7.1042712249600024</v>
      </c>
      <c r="AZ80" s="49">
        <f t="shared" ref="AZ80:BA80" si="175">AZ68*AZ25</f>
        <v>0</v>
      </c>
      <c r="BA80" s="49">
        <f t="shared" si="175"/>
        <v>7.3884420739584016</v>
      </c>
      <c r="BB80" s="49">
        <f t="shared" ref="BB80" si="176">AZ80+BA80</f>
        <v>7.3884420739584016</v>
      </c>
    </row>
    <row r="81" spans="2:54">
      <c r="B81" s="40" t="s">
        <v>422</v>
      </c>
      <c r="AH81" s="32">
        <f t="shared" ref="AH81:AP81" si="177">AH80/AH76</f>
        <v>0.11927083333333333</v>
      </c>
      <c r="AK81" s="32">
        <f t="shared" ref="AK81" si="178">AK80/AK76</f>
        <v>0.11927083333333334</v>
      </c>
      <c r="AN81" s="581"/>
      <c r="AO81" s="32">
        <f t="shared" si="177"/>
        <v>0.12</v>
      </c>
      <c r="AP81" s="32">
        <f t="shared" si="177"/>
        <v>0.12</v>
      </c>
      <c r="AQ81" s="32"/>
      <c r="AR81" s="32">
        <f t="shared" ref="AQ81:BB81" si="179">AR80/AR76</f>
        <v>0.11999999999999998</v>
      </c>
      <c r="AS81" s="32">
        <f t="shared" si="179"/>
        <v>0.11999999999999998</v>
      </c>
      <c r="AT81" s="32"/>
      <c r="AU81" s="32">
        <f t="shared" si="179"/>
        <v>0.12</v>
      </c>
      <c r="AV81" s="32">
        <f t="shared" si="179"/>
        <v>0.12</v>
      </c>
      <c r="AW81" s="32"/>
      <c r="AX81" s="32">
        <f t="shared" si="179"/>
        <v>0.12000000000000001</v>
      </c>
      <c r="AY81" s="32">
        <f t="shared" si="179"/>
        <v>0.12000000000000001</v>
      </c>
      <c r="AZ81" s="32"/>
      <c r="BA81" s="32">
        <f t="shared" si="179"/>
        <v>0.12</v>
      </c>
      <c r="BB81" s="32">
        <f t="shared" si="179"/>
        <v>0.12</v>
      </c>
    </row>
    <row r="82" spans="2:54">
      <c r="B82" s="40"/>
      <c r="AH82" s="32"/>
      <c r="AK82" s="32"/>
      <c r="AN82" s="581"/>
    </row>
    <row r="83" spans="2:54">
      <c r="B83" s="7" t="s">
        <v>61</v>
      </c>
      <c r="AH83" s="30">
        <f>AH71*AH25</f>
        <v>6.7183410000000006</v>
      </c>
      <c r="AK83" s="30">
        <f>AK71*AK25</f>
        <v>5.0414000000000003</v>
      </c>
      <c r="AN83" s="600">
        <f>AN71*AN25</f>
        <v>0</v>
      </c>
      <c r="AO83" s="30">
        <f>AO71*AO25</f>
        <v>3.6682464000000006</v>
      </c>
      <c r="AP83" s="30">
        <f>AN83+AO83</f>
        <v>3.6682464000000006</v>
      </c>
      <c r="AQ83" s="30">
        <f t="shared" ref="AQ83:AR83" si="180">AQ71*AQ25</f>
        <v>0</v>
      </c>
      <c r="AR83" s="30">
        <f t="shared" si="180"/>
        <v>3.7950166800000007</v>
      </c>
      <c r="AS83" s="30">
        <f t="shared" ref="AS83" si="181">AQ83+AR83</f>
        <v>3.7950166800000007</v>
      </c>
      <c r="AT83" s="30">
        <f t="shared" ref="AT83:AU83" si="182">AT71*AT25</f>
        <v>0</v>
      </c>
      <c r="AU83" s="30">
        <f t="shared" si="182"/>
        <v>3.9847675140000014</v>
      </c>
      <c r="AV83" s="30">
        <f t="shared" ref="AV83" si="183">AT83+AU83</f>
        <v>3.9847675140000014</v>
      </c>
      <c r="AW83" s="30">
        <f t="shared" ref="AW83:AX83" si="184">AW71*AW25</f>
        <v>0</v>
      </c>
      <c r="AX83" s="30">
        <f t="shared" si="184"/>
        <v>4.1441582145600018</v>
      </c>
      <c r="AY83" s="30">
        <f t="shared" ref="AY83" si="185">AW83+AX83</f>
        <v>4.1441582145600018</v>
      </c>
      <c r="AZ83" s="30">
        <f t="shared" ref="AZ83:BA83" si="186">AZ71*AZ25</f>
        <v>0</v>
      </c>
      <c r="BA83" s="30">
        <f t="shared" si="186"/>
        <v>4.3099245431424009</v>
      </c>
      <c r="BB83" s="30">
        <f t="shared" ref="BB83" si="187">AZ83+BA83</f>
        <v>4.3099245431424009</v>
      </c>
    </row>
    <row r="85" spans="2:54">
      <c r="B85" s="7" t="s">
        <v>184</v>
      </c>
      <c r="AH85" s="91">
        <f>AH74*AH25</f>
        <v>4.728832281249999</v>
      </c>
      <c r="AK85" s="91">
        <f>AK74*AK25</f>
        <v>3.5484854166666664</v>
      </c>
      <c r="AN85" s="632">
        <f>AN74*AN25</f>
        <v>0</v>
      </c>
      <c r="AO85" s="91">
        <f>AO74*AO25</f>
        <v>2.6201760000000003</v>
      </c>
      <c r="AP85" s="30">
        <f>AN85+AO85</f>
        <v>2.6201760000000003</v>
      </c>
      <c r="AQ85" s="91">
        <f t="shared" ref="AQ85:AR85" si="188">AQ74*AQ25</f>
        <v>0</v>
      </c>
      <c r="AR85" s="91">
        <f t="shared" si="188"/>
        <v>2.7107262000000003</v>
      </c>
      <c r="AS85" s="30">
        <f t="shared" ref="AS85" si="189">AQ85+AR85</f>
        <v>2.7107262000000003</v>
      </c>
      <c r="AT85" s="91">
        <f t="shared" ref="AT85:AU85" si="190">AT74*AT25</f>
        <v>0</v>
      </c>
      <c r="AU85" s="91">
        <f t="shared" si="190"/>
        <v>2.8462625099999999</v>
      </c>
      <c r="AV85" s="30">
        <f t="shared" ref="AV85" si="191">AT85+AU85</f>
        <v>2.8462625099999999</v>
      </c>
      <c r="AW85" s="91">
        <f t="shared" ref="AW85:AX85" si="192">AW74*AW25</f>
        <v>0</v>
      </c>
      <c r="AX85" s="91">
        <f t="shared" si="192"/>
        <v>2.9601130104000006</v>
      </c>
      <c r="AY85" s="30">
        <f t="shared" ref="AY85" si="193">AW85+AX85</f>
        <v>2.9601130104000006</v>
      </c>
      <c r="AZ85" s="91">
        <f t="shared" ref="AZ85:BA85" si="194">AZ74*AZ25</f>
        <v>0</v>
      </c>
      <c r="BA85" s="91">
        <f t="shared" si="194"/>
        <v>3.0785175308160002</v>
      </c>
      <c r="BB85" s="30">
        <f t="shared" ref="BB85" si="195">AZ85+BA85</f>
        <v>3.0785175308160002</v>
      </c>
    </row>
    <row r="98" spans="41:41">
      <c r="AO98" s="7">
        <f>AK64*0.25</f>
        <v>27.7</v>
      </c>
    </row>
  </sheetData>
  <pageMargins left="0.7" right="0.7" top="0.75" bottom="0.75" header="0.3" footer="0.3"/>
  <pageSetup paperSize="8" scale="97" fitToHeight="0" orientation="landscape" horizontalDpi="90" verticalDpi="9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3:BB36"/>
  <sheetViews>
    <sheetView zoomScale="115" zoomScaleNormal="115" workbookViewId="0">
      <pane xSplit="3" ySplit="3" topLeftCell="AE4" activePane="bottomRight" state="frozen"/>
      <selection pane="topRight" activeCell="D1" sqref="D1"/>
      <selection pane="bottomLeft" activeCell="A4" sqref="A4"/>
      <selection pane="bottomRight" activeCell="BA28" sqref="BA28"/>
    </sheetView>
  </sheetViews>
  <sheetFormatPr defaultColWidth="9.109375" defaultRowHeight="10.199999999999999" outlineLevelCol="1"/>
  <cols>
    <col min="1" max="1" width="3" style="7" customWidth="1"/>
    <col min="2" max="2" width="19.5546875" style="7" customWidth="1"/>
    <col min="3" max="3" width="6" style="118" customWidth="1"/>
    <col min="4" max="5" width="9.109375" style="7" hidden="1" customWidth="1" outlineLevel="1"/>
    <col min="6" max="6" width="8.6640625" style="7" customWidth="1" collapsed="1"/>
    <col min="7" max="8" width="8.6640625" style="7" hidden="1" customWidth="1" outlineLevel="1"/>
    <col min="9" max="9" width="8.6640625" style="7" customWidth="1" collapsed="1"/>
    <col min="10" max="11" width="8.6640625" style="7" hidden="1" customWidth="1" outlineLevel="1"/>
    <col min="12" max="12" width="8.6640625" style="7" customWidth="1" collapsed="1"/>
    <col min="13" max="14" width="8.6640625" style="7" hidden="1" customWidth="1" outlineLevel="1"/>
    <col min="15" max="15" width="8.6640625" style="7" customWidth="1" collapsed="1"/>
    <col min="16" max="17" width="8.6640625" style="7" hidden="1" customWidth="1" outlineLevel="1"/>
    <col min="18" max="18" width="8.6640625" style="7" customWidth="1" collapsed="1"/>
    <col min="19" max="20" width="8.6640625" style="7" hidden="1" customWidth="1" outlineLevel="1"/>
    <col min="21" max="21" width="8.6640625" style="7" customWidth="1" collapsed="1"/>
    <col min="22" max="23" width="8.6640625" style="7" hidden="1" customWidth="1" outlineLevel="1"/>
    <col min="24" max="24" width="8.6640625" style="7" customWidth="1" collapsed="1"/>
    <col min="25" max="26" width="8.6640625" style="7" customWidth="1" outlineLevel="1"/>
    <col min="27" max="27" width="8.6640625" style="7" customWidth="1"/>
    <col min="28" max="29" width="8.6640625" style="7" customWidth="1" outlineLevel="1"/>
    <col min="30" max="30" width="8.6640625" style="7" customWidth="1"/>
    <col min="31" max="32" width="8.6640625" style="7" customWidth="1" outlineLevel="1"/>
    <col min="33" max="33" width="8.6640625" style="7" customWidth="1"/>
    <col min="34" max="35" width="8.6640625" style="7" customWidth="1" outlineLevel="1"/>
    <col min="36" max="36" width="8.6640625" style="7" customWidth="1"/>
    <col min="37" max="38" width="8.6640625" style="7" customWidth="1" outlineLevel="1"/>
    <col min="39" max="39" width="8.6640625" style="61" customWidth="1"/>
    <col min="40" max="40" width="8.6640625" style="61" customWidth="1" outlineLevel="1"/>
    <col min="41" max="41" width="8.6640625" style="7" customWidth="1" outlineLevel="1"/>
    <col min="42" max="42" width="8.6640625" style="7" customWidth="1"/>
    <col min="43" max="44" width="8.6640625" style="7" customWidth="1" outlineLevel="1"/>
    <col min="45" max="45" width="8.6640625" style="7" customWidth="1"/>
    <col min="46" max="47" width="8.6640625" style="7" customWidth="1" outlineLevel="1"/>
    <col min="48" max="48" width="8.6640625" style="7" customWidth="1"/>
    <col min="49" max="50" width="8.6640625" style="7" customWidth="1" outlineLevel="1"/>
    <col min="51" max="51" width="8.6640625" style="7" customWidth="1"/>
    <col min="52" max="53" width="8.6640625" style="7" customWidth="1" outlineLevel="1"/>
    <col min="54" max="54" width="8.6640625" style="7" customWidth="1"/>
    <col min="55" max="16384" width="9.109375" style="7"/>
  </cols>
  <sheetData>
    <row r="3" spans="1:54" s="19" customFormat="1">
      <c r="A3" s="15"/>
      <c r="B3" s="16" t="str">
        <f>'BS, CF and P&amp;L'!B6</f>
        <v>Year Ending June 30</v>
      </c>
      <c r="C3" s="62"/>
      <c r="D3" s="15" t="str">
        <f>'BS, CF and P&amp;L'!D6</f>
        <v>1H14A</v>
      </c>
      <c r="E3" s="15" t="str">
        <f>'BS, CF and P&amp;L'!E6</f>
        <v>2H14A</v>
      </c>
      <c r="F3" s="15" t="str">
        <f>'BS, CF and P&amp;L'!F6</f>
        <v/>
      </c>
      <c r="G3" s="15" t="str">
        <f>'BS, CF and P&amp;L'!G6</f>
        <v/>
      </c>
      <c r="H3" s="15" t="str">
        <f>'BS, CF and P&amp;L'!H6</f>
        <v/>
      </c>
      <c r="I3" s="15" t="str">
        <f>'BS, CF and P&amp;L'!I6</f>
        <v/>
      </c>
      <c r="J3" s="15" t="str">
        <f>'BS, CF and P&amp;L'!J6</f>
        <v/>
      </c>
      <c r="K3" s="15" t="str">
        <f>'BS, CF and P&amp;L'!K6</f>
        <v/>
      </c>
      <c r="L3" s="15" t="str">
        <f>'BS, CF and P&amp;L'!L6</f>
        <v/>
      </c>
      <c r="M3" s="15" t="str">
        <f>'BS, CF and P&amp;L'!M6</f>
        <v/>
      </c>
      <c r="N3" s="15" t="str">
        <f>'BS, CF and P&amp;L'!N6</f>
        <v/>
      </c>
      <c r="O3" s="15" t="str">
        <f>'BS, CF and P&amp;L'!O6</f>
        <v/>
      </c>
      <c r="P3" s="15" t="str">
        <f>'BS, CF and P&amp;L'!P6</f>
        <v/>
      </c>
      <c r="Q3" s="15" t="str">
        <f>'BS, CF and P&amp;L'!Q6</f>
        <v/>
      </c>
      <c r="R3" s="15" t="str">
        <f>'BS, CF and P&amp;L'!R6</f>
        <v/>
      </c>
      <c r="S3" s="15" t="str">
        <f>'BS, CF and P&amp;L'!S6</f>
        <v/>
      </c>
      <c r="T3" s="15" t="str">
        <f>'BS, CF and P&amp;L'!T6</f>
        <v/>
      </c>
      <c r="U3" s="15" t="str">
        <f>'BS, CF and P&amp;L'!U6</f>
        <v/>
      </c>
      <c r="V3" s="15" t="str">
        <f>'BS, CF and P&amp;L'!V6</f>
        <v>1H20A</v>
      </c>
      <c r="W3" s="15" t="str">
        <f>'BS, CF and P&amp;L'!W6</f>
        <v>2H20A</v>
      </c>
      <c r="X3" s="15" t="str">
        <f>'BS, CF and P&amp;L'!X6</f>
        <v>FY20A</v>
      </c>
      <c r="Y3" s="15" t="str">
        <f>'BS, CF and P&amp;L'!Y6</f>
        <v>1H21A</v>
      </c>
      <c r="Z3" s="15" t="str">
        <f>'BS, CF and P&amp;L'!Z6</f>
        <v>2H21A</v>
      </c>
      <c r="AA3" s="15" t="str">
        <f>'BS, CF and P&amp;L'!AA6</f>
        <v>FY21A</v>
      </c>
      <c r="AB3" s="15" t="str">
        <f>'BS, CF and P&amp;L'!AB6</f>
        <v>1H22A</v>
      </c>
      <c r="AC3" s="15" t="str">
        <f>'BS, CF and P&amp;L'!AC6</f>
        <v>2H22A</v>
      </c>
      <c r="AD3" s="15" t="str">
        <f>'BS, CF and P&amp;L'!AD6</f>
        <v>FY22A</v>
      </c>
      <c r="AE3" s="15" t="str">
        <f>'BS, CF and P&amp;L'!AE6</f>
        <v>1H23A</v>
      </c>
      <c r="AF3" s="15" t="str">
        <f>'BS, CF and P&amp;L'!AF6</f>
        <v>2H23A</v>
      </c>
      <c r="AG3" s="15" t="str">
        <f>'BS, CF and P&amp;L'!AG6</f>
        <v>FY23A</v>
      </c>
      <c r="AH3" s="15" t="str">
        <f>'BS, CF and P&amp;L'!AH6</f>
        <v>1H24A</v>
      </c>
      <c r="AI3" s="15" t="str">
        <f>'BS, CF and P&amp;L'!AI6</f>
        <v>2H24A</v>
      </c>
      <c r="AJ3" s="15" t="str">
        <f>'BS, CF and P&amp;L'!AJ6</f>
        <v>FY24A</v>
      </c>
      <c r="AK3" s="15" t="str">
        <f>'BS, CF and P&amp;L'!AK6</f>
        <v>1H25A</v>
      </c>
      <c r="AL3" s="15" t="str">
        <f>'BS, CF and P&amp;L'!AL6</f>
        <v>2H25A</v>
      </c>
      <c r="AM3" s="17" t="str">
        <f>'BS, CF and P&amp;L'!AM6</f>
        <v>FY25A</v>
      </c>
      <c r="AN3" s="17" t="str">
        <f>'BS, CF and P&amp;L'!AN6</f>
        <v>1H26A</v>
      </c>
      <c r="AO3" s="15" t="str">
        <f>'BS, CF and P&amp;L'!AO6</f>
        <v>2H26E</v>
      </c>
      <c r="AP3" s="15" t="str">
        <f>'BS, CF and P&amp;L'!AP6</f>
        <v>FY26E</v>
      </c>
      <c r="AQ3" s="15" t="str">
        <f>'BS, CF and P&amp;L'!AQ6</f>
        <v>1H27E</v>
      </c>
      <c r="AR3" s="15" t="str">
        <f>'BS, CF and P&amp;L'!AR6</f>
        <v>2H27E</v>
      </c>
      <c r="AS3" s="15" t="str">
        <f>'BS, CF and P&amp;L'!AS6</f>
        <v>FY27E</v>
      </c>
      <c r="AT3" s="15" t="str">
        <f>'BS, CF and P&amp;L'!AT6</f>
        <v>1H28E</v>
      </c>
      <c r="AU3" s="15" t="str">
        <f>'BS, CF and P&amp;L'!AU6</f>
        <v>2H28E</v>
      </c>
      <c r="AV3" s="15" t="str">
        <f>'BS, CF and P&amp;L'!AV6</f>
        <v>FY28E</v>
      </c>
      <c r="AW3" s="15" t="str">
        <f>'BS, CF and P&amp;L'!AW6</f>
        <v>1H29E</v>
      </c>
      <c r="AX3" s="15" t="str">
        <f>'BS, CF and P&amp;L'!AX6</f>
        <v>2H29E</v>
      </c>
      <c r="AY3" s="15" t="str">
        <f>'BS, CF and P&amp;L'!AY6</f>
        <v>FY29E</v>
      </c>
      <c r="AZ3" s="15" t="str">
        <f>'BS, CF and P&amp;L'!AZ6</f>
        <v>1H30E</v>
      </c>
      <c r="BA3" s="15" t="str">
        <f>'BS, CF and P&amp;L'!BA6</f>
        <v>2H30E</v>
      </c>
      <c r="BB3" s="15" t="str">
        <f>'BS, CF and P&amp;L'!BB6</f>
        <v>FY30E</v>
      </c>
    </row>
    <row r="5" spans="1:54">
      <c r="B5" s="14" t="s">
        <v>267</v>
      </c>
      <c r="C5" s="119" t="s">
        <v>409</v>
      </c>
      <c r="F5" s="31"/>
      <c r="G5" s="31"/>
      <c r="H5" s="30"/>
      <c r="I5" s="31"/>
      <c r="J5" s="31"/>
      <c r="K5" s="30"/>
      <c r="L5" s="30"/>
      <c r="M5" s="31"/>
      <c r="N5" s="30"/>
      <c r="O5" s="31"/>
      <c r="P5" s="31"/>
      <c r="Q5" s="30"/>
      <c r="R5" s="31"/>
      <c r="S5" s="31"/>
      <c r="T5" s="30"/>
      <c r="U5" s="31"/>
      <c r="V5" s="171">
        <v>103.226</v>
      </c>
      <c r="W5" s="30">
        <f>X5-V5</f>
        <v>177.16800000000001</v>
      </c>
      <c r="X5" s="171">
        <v>280.39400000000001</v>
      </c>
      <c r="Y5" s="171">
        <v>118.285</v>
      </c>
      <c r="Z5" s="30">
        <f>AA5-Y5</f>
        <v>134.839</v>
      </c>
      <c r="AA5" s="171">
        <v>253.124</v>
      </c>
      <c r="AB5" s="31">
        <v>122.889</v>
      </c>
      <c r="AC5" s="30">
        <f>AD5-AB5</f>
        <v>129.97500000000002</v>
      </c>
      <c r="AD5" s="171">
        <v>252.864</v>
      </c>
      <c r="AE5" s="31">
        <v>113.536</v>
      </c>
      <c r="AF5" s="30">
        <f>AG5-AE5</f>
        <v>123.386</v>
      </c>
      <c r="AG5" s="171">
        <v>236.922</v>
      </c>
      <c r="AH5" s="31">
        <v>106.08</v>
      </c>
      <c r="AI5" s="30">
        <f>AJ5-AH5</f>
        <v>117.991</v>
      </c>
      <c r="AJ5" s="171">
        <v>224.071</v>
      </c>
      <c r="AK5" s="31">
        <v>104.398</v>
      </c>
      <c r="AL5" s="30">
        <f>AM5-AK5</f>
        <v>117.84</v>
      </c>
      <c r="AM5" s="425">
        <v>222.238</v>
      </c>
      <c r="AN5" s="402">
        <v>106.84</v>
      </c>
      <c r="AO5" s="30">
        <f>AO9-AO8</f>
        <v>121.29202587773497</v>
      </c>
      <c r="AP5" s="30">
        <f>SUM(AN5:AO5)</f>
        <v>228.13202587773497</v>
      </c>
      <c r="AQ5" s="30">
        <f>AQ9-AQ8</f>
        <v>110.51650224885955</v>
      </c>
      <c r="AR5" s="30">
        <f>AR9-AR8</f>
        <v>127.9630873010104</v>
      </c>
      <c r="AS5" s="30">
        <f>SUM(AQ5:AR5)</f>
        <v>238.47958954986996</v>
      </c>
      <c r="AT5" s="30">
        <f>AT9-AT8</f>
        <v>118.80523991752399</v>
      </c>
      <c r="AU5" s="30">
        <f>AU9-AU8</f>
        <v>136.28068797557606</v>
      </c>
      <c r="AV5" s="30">
        <f>SUM(AT5:AU5)</f>
        <v>255.08592789310006</v>
      </c>
      <c r="AW5" s="30">
        <f>AW9-AW8</f>
        <v>124.15147571381257</v>
      </c>
      <c r="AX5" s="30">
        <f>AX9-AX8</f>
        <v>142.41331893447699</v>
      </c>
      <c r="AY5" s="30">
        <f>SUM(AW5:AX5)</f>
        <v>266.56479464828953</v>
      </c>
      <c r="AZ5" s="30">
        <f>AZ9-AZ8</f>
        <v>129.11753474236508</v>
      </c>
      <c r="BA5" s="30">
        <f>BA9-BA8</f>
        <v>148.10985169185608</v>
      </c>
      <c r="BB5" s="30">
        <f>SUM(AZ5:BA5)</f>
        <v>277.22738643422116</v>
      </c>
    </row>
    <row r="6" spans="1:54">
      <c r="B6" s="120" t="s">
        <v>225</v>
      </c>
      <c r="C6" s="121" t="s">
        <v>82</v>
      </c>
      <c r="D6" s="40"/>
      <c r="E6" s="40"/>
      <c r="F6" s="150"/>
      <c r="G6" s="150"/>
      <c r="H6" s="151"/>
      <c r="I6" s="122"/>
      <c r="J6" s="122"/>
      <c r="K6" s="122"/>
      <c r="L6" s="122"/>
      <c r="M6" s="122"/>
      <c r="N6" s="122"/>
      <c r="O6" s="122"/>
      <c r="P6" s="122"/>
      <c r="Q6" s="122"/>
      <c r="R6" s="122"/>
      <c r="S6" s="122"/>
      <c r="T6" s="122"/>
      <c r="U6" s="122"/>
      <c r="V6" s="88"/>
      <c r="W6" s="88"/>
      <c r="X6" s="88"/>
      <c r="Y6" s="88">
        <f t="shared" ref="Y6:AK6" si="0">Y5/V5-1</f>
        <v>0.14588378896789567</v>
      </c>
      <c r="Z6" s="122">
        <f t="shared" si="0"/>
        <v>-0.23892012101508175</v>
      </c>
      <c r="AA6" s="88">
        <f t="shared" si="0"/>
        <v>-9.7256004051441969E-2</v>
      </c>
      <c r="AB6" s="88">
        <f t="shared" si="0"/>
        <v>3.8922940355919922E-2</v>
      </c>
      <c r="AC6" s="122">
        <f t="shared" ref="AC6" si="1">AC5/Z5-1</f>
        <v>-3.6072649604342755E-2</v>
      </c>
      <c r="AD6" s="88">
        <f t="shared" ref="AD6" si="2">AD5/AA5-1</f>
        <v>-1.0271645517611061E-3</v>
      </c>
      <c r="AE6" s="88">
        <f t="shared" si="0"/>
        <v>-7.6109334440023102E-2</v>
      </c>
      <c r="AF6" s="122">
        <f t="shared" ref="AF6" si="3">AF5/AC5-1</f>
        <v>-5.0694364300827299E-2</v>
      </c>
      <c r="AG6" s="88">
        <f t="shared" ref="AG6" si="4">AG5/AD5-1</f>
        <v>-6.304574791192108E-2</v>
      </c>
      <c r="AH6" s="88">
        <f t="shared" si="0"/>
        <v>-6.56708004509583E-2</v>
      </c>
      <c r="AI6" s="88">
        <f t="shared" ref="AI6" si="5">AI5/AF5-1</f>
        <v>-4.3724571669395251E-2</v>
      </c>
      <c r="AJ6" s="88">
        <f t="shared" ref="AJ6" si="6">AJ5/AG5-1</f>
        <v>-5.4241480318417024E-2</v>
      </c>
      <c r="AK6" s="88">
        <f t="shared" si="0"/>
        <v>-1.5855957767722528E-2</v>
      </c>
      <c r="AL6" s="88">
        <f t="shared" ref="AL6" si="7">AL5/AI5-1</f>
        <v>-1.2797586256578786E-3</v>
      </c>
      <c r="AM6" s="302">
        <f t="shared" ref="AM6:AN6" si="8">AM5/AJ5-1</f>
        <v>-8.1804428060748835E-3</v>
      </c>
      <c r="AN6" s="302">
        <f t="shared" si="8"/>
        <v>2.3391252705990517E-2</v>
      </c>
      <c r="AO6" s="122">
        <f t="shared" ref="AO6:BB6" si="9">AO5/AL5-1</f>
        <v>2.9294177509631369E-2</v>
      </c>
      <c r="AP6" s="122">
        <f t="shared" si="9"/>
        <v>2.6521233442232894E-2</v>
      </c>
      <c r="AQ6" s="122">
        <f t="shared" si="9"/>
        <v>3.4411290236423975E-2</v>
      </c>
      <c r="AR6" s="122">
        <f t="shared" si="9"/>
        <v>5.500000000000016E-2</v>
      </c>
      <c r="AS6" s="122">
        <f t="shared" si="9"/>
        <v>4.5357786274517364E-2</v>
      </c>
      <c r="AT6" s="122">
        <f t="shared" si="9"/>
        <v>7.4999999999999734E-2</v>
      </c>
      <c r="AU6" s="122">
        <f t="shared" si="9"/>
        <v>6.4999999999999725E-2</v>
      </c>
      <c r="AV6" s="122">
        <f t="shared" si="9"/>
        <v>6.9634212196417078E-2</v>
      </c>
      <c r="AW6" s="122">
        <f t="shared" si="9"/>
        <v>4.4999999999999929E-2</v>
      </c>
      <c r="AX6" s="122">
        <f t="shared" si="9"/>
        <v>4.5000000000000151E-2</v>
      </c>
      <c r="AY6" s="122">
        <f t="shared" si="9"/>
        <v>4.4999999999999929E-2</v>
      </c>
      <c r="AZ6" s="122">
        <f t="shared" si="9"/>
        <v>4.0000000000000036E-2</v>
      </c>
      <c r="BA6" s="122">
        <f t="shared" si="9"/>
        <v>4.0000000000000036E-2</v>
      </c>
      <c r="BB6" s="122">
        <f t="shared" si="9"/>
        <v>4.0000000000000258E-2</v>
      </c>
    </row>
    <row r="7" spans="1:54">
      <c r="C7" s="119"/>
    </row>
    <row r="8" spans="1:54">
      <c r="B8" s="7" t="s">
        <v>268</v>
      </c>
      <c r="C8" s="119" t="s">
        <v>409</v>
      </c>
      <c r="F8" s="31"/>
      <c r="G8" s="31"/>
      <c r="H8" s="30"/>
      <c r="I8" s="31"/>
      <c r="J8" s="152"/>
      <c r="K8" s="30"/>
      <c r="L8" s="91"/>
      <c r="M8" s="31"/>
      <c r="N8" s="30"/>
      <c r="O8" s="31"/>
      <c r="P8" s="31"/>
      <c r="Q8" s="30"/>
      <c r="R8" s="31"/>
      <c r="S8" s="31"/>
      <c r="T8" s="30"/>
      <c r="U8" s="31"/>
      <c r="V8" s="31">
        <v>15.608000000000001</v>
      </c>
      <c r="W8" s="30">
        <f>X8-V8</f>
        <v>28.297000000000001</v>
      </c>
      <c r="X8" s="31">
        <v>43.905000000000001</v>
      </c>
      <c r="Y8" s="31">
        <v>18.207999999999998</v>
      </c>
      <c r="Z8" s="30">
        <f>AA8-Y8</f>
        <v>20.660000000000004</v>
      </c>
      <c r="AA8" s="31">
        <v>38.868000000000002</v>
      </c>
      <c r="AB8" s="31">
        <v>21.693000000000001</v>
      </c>
      <c r="AC8" s="30">
        <f>AD8-AB8</f>
        <v>16.783999999999995</v>
      </c>
      <c r="AD8" s="31">
        <v>38.476999999999997</v>
      </c>
      <c r="AE8" s="31">
        <v>14.147</v>
      </c>
      <c r="AF8" s="30">
        <f>AG8-AE8</f>
        <v>21.073</v>
      </c>
      <c r="AG8" s="31">
        <v>35.22</v>
      </c>
      <c r="AH8" s="31">
        <v>20.908999999999999</v>
      </c>
      <c r="AI8" s="30">
        <f>AJ8-AH8</f>
        <v>18.664000000000001</v>
      </c>
      <c r="AJ8" s="31">
        <v>39.573</v>
      </c>
      <c r="AK8" s="31">
        <v>17.452999999999999</v>
      </c>
      <c r="AL8" s="30">
        <f>AM8-AK8</f>
        <v>19.73</v>
      </c>
      <c r="AM8" s="402">
        <v>37.183</v>
      </c>
      <c r="AN8" s="402">
        <v>17.963999999999999</v>
      </c>
      <c r="AO8" s="30">
        <f>AL8/AL9*AO9</f>
        <v>20.30797412226503</v>
      </c>
      <c r="AP8" s="30">
        <f>SUM(AN8:AO8)</f>
        <v>38.271974122265028</v>
      </c>
      <c r="AQ8" s="30">
        <f>AN8/AN9*AQ9</f>
        <v>18.582164417807121</v>
      </c>
      <c r="AR8" s="30">
        <f>AO8/AO9*AR9</f>
        <v>21.424912698989608</v>
      </c>
      <c r="AS8" s="30">
        <f>SUM(AQ8:AR8)</f>
        <v>40.007077116796729</v>
      </c>
      <c r="AT8" s="30">
        <f>AQ8/AQ9*AT9</f>
        <v>19.975826749142652</v>
      </c>
      <c r="AU8" s="30">
        <f>AR8/AR9*AU9</f>
        <v>22.817532024423933</v>
      </c>
      <c r="AV8" s="30">
        <f>SUM(AT8:AU8)</f>
        <v>42.793358773566581</v>
      </c>
      <c r="AW8" s="30">
        <f>AT8/AT9*AW9</f>
        <v>20.87473895285407</v>
      </c>
      <c r="AX8" s="30">
        <f>AU8/AU9*AX9</f>
        <v>23.844320965523007</v>
      </c>
      <c r="AY8" s="30">
        <f>SUM(AW8:AX8)</f>
        <v>44.719059918377077</v>
      </c>
      <c r="AZ8" s="30">
        <f>AW8/AW9*AZ9</f>
        <v>21.709728510968233</v>
      </c>
      <c r="BA8" s="30">
        <f>AX8/AX9*BA9</f>
        <v>24.798093804143928</v>
      </c>
      <c r="BB8" s="30">
        <f>SUM(AZ8:BA8)</f>
        <v>46.507822315112165</v>
      </c>
    </row>
    <row r="9" spans="1:54">
      <c r="B9" s="14" t="s">
        <v>160</v>
      </c>
      <c r="C9" s="123" t="s">
        <v>409</v>
      </c>
      <c r="F9" s="30"/>
      <c r="G9" s="30"/>
      <c r="H9" s="30"/>
      <c r="I9" s="30"/>
      <c r="J9" s="30"/>
      <c r="K9" s="30"/>
      <c r="L9" s="31"/>
      <c r="M9" s="30"/>
      <c r="N9" s="30"/>
      <c r="O9" s="30"/>
      <c r="P9" s="30"/>
      <c r="Q9" s="30"/>
      <c r="R9" s="30"/>
      <c r="S9" s="30"/>
      <c r="T9" s="30"/>
      <c r="U9" s="30"/>
      <c r="V9" s="30">
        <f>SUM(V5,V8)</f>
        <v>118.834</v>
      </c>
      <c r="W9" s="30">
        <f>SUM(W5,W8)</f>
        <v>205.465</v>
      </c>
      <c r="X9" s="30">
        <f>SUM(V9:W9)</f>
        <v>324.29899999999998</v>
      </c>
      <c r="Y9" s="30">
        <f>SUM(Y5,Y8)</f>
        <v>136.49299999999999</v>
      </c>
      <c r="Z9" s="30">
        <f>SUM(Z5,Z8)</f>
        <v>155.499</v>
      </c>
      <c r="AA9" s="30">
        <f>SUM(Y9:Z9)</f>
        <v>291.99199999999996</v>
      </c>
      <c r="AB9" s="30">
        <f>SUM(AB5,AB8)</f>
        <v>144.58199999999999</v>
      </c>
      <c r="AC9" s="30">
        <f>SUM(AC5,AC8)</f>
        <v>146.75900000000001</v>
      </c>
      <c r="AD9" s="30">
        <f>SUM(AB9:AC9)</f>
        <v>291.34100000000001</v>
      </c>
      <c r="AE9" s="30">
        <f>SUM(AE5,AE8)</f>
        <v>127.68300000000001</v>
      </c>
      <c r="AF9" s="30">
        <f>SUM(AF5,AF8)</f>
        <v>144.459</v>
      </c>
      <c r="AG9" s="30">
        <f>SUM(AE9:AF9)</f>
        <v>272.142</v>
      </c>
      <c r="AH9" s="30">
        <f>SUM(AH5,AH8)</f>
        <v>126.989</v>
      </c>
      <c r="AI9" s="30">
        <f>SUM(AI5,AI8)</f>
        <v>136.655</v>
      </c>
      <c r="AJ9" s="30">
        <f>SUM(AH9:AI9)</f>
        <v>263.64400000000001</v>
      </c>
      <c r="AK9" s="30">
        <f>SUM(AK5,AK8)</f>
        <v>121.851</v>
      </c>
      <c r="AL9" s="30">
        <f>SUM(AL5,AL8)</f>
        <v>137.57</v>
      </c>
      <c r="AM9" s="405">
        <f>SUM(AK9:AL9)</f>
        <v>259.42099999999999</v>
      </c>
      <c r="AN9" s="405">
        <f>SUM(AN5,AN8)</f>
        <v>124.804</v>
      </c>
      <c r="AO9" s="30">
        <f>+AO26/AO23</f>
        <v>141.6</v>
      </c>
      <c r="AP9" s="30">
        <f t="shared" ref="AP9:BB9" si="10">+AP26/AP23</f>
        <v>265.73333333333335</v>
      </c>
      <c r="AQ9" s="30">
        <f t="shared" si="10"/>
        <v>129.09866666666667</v>
      </c>
      <c r="AR9" s="30">
        <f t="shared" si="10"/>
        <v>149.38800000000001</v>
      </c>
      <c r="AS9" s="30">
        <f t="shared" si="10"/>
        <v>278.48666666666668</v>
      </c>
      <c r="AT9" s="30">
        <f t="shared" si="10"/>
        <v>138.78106666666665</v>
      </c>
      <c r="AU9" s="30">
        <f t="shared" si="10"/>
        <v>159.09822</v>
      </c>
      <c r="AV9" s="30">
        <f t="shared" si="10"/>
        <v>297.87928666666664</v>
      </c>
      <c r="AW9" s="30">
        <f t="shared" si="10"/>
        <v>145.02621466666665</v>
      </c>
      <c r="AX9" s="30">
        <f t="shared" si="10"/>
        <v>166.25763989999999</v>
      </c>
      <c r="AY9" s="30">
        <f t="shared" si="10"/>
        <v>311.28385456666661</v>
      </c>
      <c r="AZ9" s="30">
        <f t="shared" si="10"/>
        <v>150.82726325333331</v>
      </c>
      <c r="BA9" s="30">
        <f t="shared" si="10"/>
        <v>172.907945496</v>
      </c>
      <c r="BB9" s="30">
        <f t="shared" si="10"/>
        <v>323.73520874933331</v>
      </c>
    </row>
    <row r="10" spans="1:54">
      <c r="B10" s="7" t="s">
        <v>154</v>
      </c>
      <c r="G10" s="124"/>
      <c r="H10" s="124"/>
      <c r="I10" s="124"/>
      <c r="J10" s="124"/>
      <c r="K10" s="124"/>
      <c r="L10" s="124"/>
      <c r="M10" s="124"/>
      <c r="N10" s="124"/>
      <c r="O10" s="124"/>
      <c r="P10" s="124"/>
      <c r="Q10" s="124"/>
      <c r="R10" s="124"/>
      <c r="S10" s="124"/>
      <c r="T10" s="124"/>
      <c r="U10" s="124"/>
      <c r="V10" s="32"/>
      <c r="W10" s="32"/>
      <c r="X10" s="32"/>
      <c r="Y10" s="32">
        <f t="shared" ref="Y10:AK10" si="11">Y9/V9-1</f>
        <v>0.1486022518807748</v>
      </c>
      <c r="Z10" s="124">
        <f t="shared" si="11"/>
        <v>-0.24318497067627098</v>
      </c>
      <c r="AA10" s="32">
        <f t="shared" si="11"/>
        <v>-9.96210287419943E-2</v>
      </c>
      <c r="AB10" s="32">
        <f t="shared" si="11"/>
        <v>5.9263112394042139E-2</v>
      </c>
      <c r="AC10" s="124">
        <f t="shared" ref="AC10" si="12">AC9/Z9-1</f>
        <v>-5.6206149235686231E-2</v>
      </c>
      <c r="AD10" s="32">
        <f t="shared" ref="AD10" si="13">AD9/AA9-1</f>
        <v>-2.2295131373460952E-3</v>
      </c>
      <c r="AE10" s="32">
        <f t="shared" si="11"/>
        <v>-0.11688176951487728</v>
      </c>
      <c r="AF10" s="124">
        <f t="shared" ref="AF10" si="14">AF9/AC9-1</f>
        <v>-1.5671951975688159E-2</v>
      </c>
      <c r="AG10" s="32">
        <f t="shared" ref="AG10" si="15">AG9/AD9-1</f>
        <v>-6.5898723488969968E-2</v>
      </c>
      <c r="AH10" s="32">
        <f t="shared" si="11"/>
        <v>-5.4353359491866593E-3</v>
      </c>
      <c r="AI10" s="32">
        <f t="shared" ref="AI10" si="16">AI9/AF9-1</f>
        <v>-5.4022248527263783E-2</v>
      </c>
      <c r="AJ10" s="32">
        <f t="shared" ref="AJ10" si="17">AJ9/AG9-1</f>
        <v>-3.1226345069853223E-2</v>
      </c>
      <c r="AK10" s="32">
        <f t="shared" si="11"/>
        <v>-4.0460197339927118E-2</v>
      </c>
      <c r="AL10" s="32">
        <f t="shared" ref="AL10" si="18">AL9/AI9-1</f>
        <v>6.6956935348139179E-3</v>
      </c>
      <c r="AM10" s="33">
        <f t="shared" ref="AM10:AN10" si="19">AM9/AJ9-1</f>
        <v>-1.6017811897862333E-2</v>
      </c>
      <c r="AN10" s="33">
        <f t="shared" si="19"/>
        <v>2.4234515925187328E-2</v>
      </c>
      <c r="AO10" s="124">
        <f t="shared" ref="AO10:BB10" si="20">AO9/AL9-1</f>
        <v>2.9294177509631369E-2</v>
      </c>
      <c r="AP10" s="124">
        <f t="shared" si="20"/>
        <v>2.4332391492336125E-2</v>
      </c>
      <c r="AQ10" s="124">
        <f t="shared" si="20"/>
        <v>3.4411290236423975E-2</v>
      </c>
      <c r="AR10" s="124">
        <f t="shared" si="20"/>
        <v>5.500000000000016E-2</v>
      </c>
      <c r="AS10" s="124">
        <f t="shared" si="20"/>
        <v>4.7992975413948757E-2</v>
      </c>
      <c r="AT10" s="124">
        <f t="shared" si="20"/>
        <v>7.4999999999999734E-2</v>
      </c>
      <c r="AU10" s="124">
        <f t="shared" si="20"/>
        <v>6.4999999999999947E-2</v>
      </c>
      <c r="AV10" s="124">
        <f t="shared" si="20"/>
        <v>6.9635721638378723E-2</v>
      </c>
      <c r="AW10" s="124">
        <f t="shared" si="20"/>
        <v>4.4999999999999929E-2</v>
      </c>
      <c r="AX10" s="124">
        <f t="shared" si="20"/>
        <v>4.4999999999999929E-2</v>
      </c>
      <c r="AY10" s="124">
        <f t="shared" si="20"/>
        <v>4.4999999999999929E-2</v>
      </c>
      <c r="AZ10" s="124">
        <f t="shared" si="20"/>
        <v>4.0000000000000036E-2</v>
      </c>
      <c r="BA10" s="124">
        <f t="shared" si="20"/>
        <v>4.0000000000000036E-2</v>
      </c>
      <c r="BB10" s="124">
        <f t="shared" si="20"/>
        <v>4.0000000000000036E-2</v>
      </c>
    </row>
    <row r="12" spans="1:54">
      <c r="B12" s="7" t="s">
        <v>61</v>
      </c>
      <c r="C12" s="119" t="s">
        <v>409</v>
      </c>
      <c r="F12" s="30"/>
      <c r="G12" s="30"/>
      <c r="H12" s="30"/>
      <c r="I12" s="30"/>
      <c r="J12" s="30"/>
      <c r="K12" s="30"/>
      <c r="L12" s="30"/>
      <c r="M12" s="31"/>
      <c r="N12" s="30"/>
      <c r="O12" s="31"/>
      <c r="P12" s="31"/>
      <c r="Q12" s="30"/>
      <c r="R12" s="31"/>
      <c r="S12" s="31"/>
      <c r="T12" s="30"/>
      <c r="U12" s="30"/>
      <c r="V12" s="31">
        <f>6.291+0.252</f>
        <v>6.5430000000000001</v>
      </c>
      <c r="W12" s="30">
        <f>+X12-V12</f>
        <v>13.571000000000002</v>
      </c>
      <c r="X12" s="31">
        <f>19.017+1.097</f>
        <v>20.114000000000001</v>
      </c>
      <c r="Y12" s="31">
        <f>6.646+0.695</f>
        <v>7.3410000000000002</v>
      </c>
      <c r="Z12" s="30">
        <f>+AA12-Y12</f>
        <v>7.2759999999999989</v>
      </c>
      <c r="AA12" s="31">
        <f>13.203+1.414</f>
        <v>14.616999999999999</v>
      </c>
      <c r="AB12" s="31">
        <f>5.886+0.71</f>
        <v>6.5960000000000001</v>
      </c>
      <c r="AC12" s="30">
        <f>+AD12-AB12</f>
        <v>6.8719999999999999</v>
      </c>
      <c r="AD12" s="31">
        <f>12.044+1.424</f>
        <v>13.468</v>
      </c>
      <c r="AE12" s="31">
        <f>5.677+0.733</f>
        <v>6.4099999999999993</v>
      </c>
      <c r="AF12" s="30">
        <f>+AG12-AE12</f>
        <v>7.3150000000000004</v>
      </c>
      <c r="AG12" s="31">
        <f>12.051+1.674</f>
        <v>13.725</v>
      </c>
      <c r="AH12" s="31">
        <f>6.569+0.977</f>
        <v>7.5460000000000003</v>
      </c>
      <c r="AI12" s="30">
        <f>+AJ12-AH12</f>
        <v>7.8009999999999993</v>
      </c>
      <c r="AJ12" s="31">
        <f>13.357+1.99</f>
        <v>15.347</v>
      </c>
      <c r="AK12" s="30">
        <f>AK13-AK16</f>
        <v>7.9000000000000021</v>
      </c>
      <c r="AL12" s="30">
        <f>+AM12-AK12</f>
        <v>7.9000000000000021</v>
      </c>
      <c r="AM12" s="30">
        <f>AM13-AM16</f>
        <v>15.800000000000004</v>
      </c>
      <c r="AN12" s="405">
        <f>AN13-AN16</f>
        <v>8.3000000000000007</v>
      </c>
      <c r="AO12" s="30">
        <f>AL12*(1+2%)</f>
        <v>8.0580000000000016</v>
      </c>
      <c r="AP12" s="30">
        <f>SUM(AN12:AO12)</f>
        <v>16.358000000000004</v>
      </c>
      <c r="AQ12" s="30">
        <f>AN12*(1+2%)</f>
        <v>8.4660000000000011</v>
      </c>
      <c r="AR12" s="30">
        <f>AO12*(1+2%)</f>
        <v>8.2191600000000022</v>
      </c>
      <c r="AS12" s="30">
        <f>SUM(AQ12:AR12)</f>
        <v>16.685160000000003</v>
      </c>
      <c r="AT12" s="30">
        <f>AQ12*(1+2%)</f>
        <v>8.6353200000000019</v>
      </c>
      <c r="AU12" s="30">
        <f>AR12*(1+2%)</f>
        <v>8.3835432000000019</v>
      </c>
      <c r="AV12" s="30">
        <f>SUM(AT12:AU12)</f>
        <v>17.018863200000006</v>
      </c>
      <c r="AW12" s="30">
        <f>AT12*(1+2%)</f>
        <v>8.8080264000000028</v>
      </c>
      <c r="AX12" s="30">
        <f>AU12*(1+2%)</f>
        <v>8.5512140640000016</v>
      </c>
      <c r="AY12" s="30">
        <f>SUM(AW12:AX12)</f>
        <v>17.359240464000003</v>
      </c>
      <c r="AZ12" s="30">
        <f>AW12*(1+2%)</f>
        <v>8.9841869280000033</v>
      </c>
      <c r="BA12" s="30">
        <f>AX12*(1+2%)</f>
        <v>8.722238345280001</v>
      </c>
      <c r="BB12" s="30">
        <f>SUM(AZ12:BA12)</f>
        <v>17.706425273280004</v>
      </c>
    </row>
    <row r="13" spans="1:54">
      <c r="A13" s="126"/>
      <c r="B13" s="126" t="s">
        <v>401</v>
      </c>
      <c r="C13" s="127" t="s">
        <v>409</v>
      </c>
      <c r="D13" s="153"/>
      <c r="E13" s="153"/>
      <c r="F13" s="129"/>
      <c r="G13" s="129"/>
      <c r="H13" s="128"/>
      <c r="I13" s="129"/>
      <c r="J13" s="129"/>
      <c r="K13" s="128"/>
      <c r="L13" s="129"/>
      <c r="M13" s="128"/>
      <c r="N13" s="128"/>
      <c r="O13" s="154"/>
      <c r="P13" s="128"/>
      <c r="Q13" s="128"/>
      <c r="R13" s="128"/>
      <c r="S13" s="129"/>
      <c r="T13" s="128"/>
      <c r="U13" s="129"/>
      <c r="V13" s="391">
        <v>35.774000000000001</v>
      </c>
      <c r="W13" s="392">
        <f>+X13-V13</f>
        <v>45.292000000000002</v>
      </c>
      <c r="X13" s="391">
        <v>81.066000000000003</v>
      </c>
      <c r="Y13" s="391">
        <v>45.094000000000001</v>
      </c>
      <c r="Z13" s="128">
        <f>+AA13-Y13</f>
        <v>51.326000000000001</v>
      </c>
      <c r="AA13" s="391">
        <v>96.42</v>
      </c>
      <c r="AB13" s="391">
        <v>47.558999999999997</v>
      </c>
      <c r="AC13" s="128">
        <f>+AD13-AB13</f>
        <v>51.141000000000005</v>
      </c>
      <c r="AD13" s="391">
        <v>98.7</v>
      </c>
      <c r="AE13" s="391">
        <v>40.799999999999997</v>
      </c>
      <c r="AF13" s="128">
        <f>+AG13-AE13</f>
        <v>47</v>
      </c>
      <c r="AG13" s="391">
        <v>87.8</v>
      </c>
      <c r="AH13" s="391">
        <v>36.700000000000003</v>
      </c>
      <c r="AI13" s="392">
        <f>+AJ13-AH13</f>
        <v>40.599999999999994</v>
      </c>
      <c r="AJ13" s="391">
        <v>77.3</v>
      </c>
      <c r="AK13" s="391">
        <v>35.6</v>
      </c>
      <c r="AL13" s="392">
        <f>+AM13-AK13</f>
        <v>39.1</v>
      </c>
      <c r="AM13" s="403">
        <v>74.7</v>
      </c>
      <c r="AN13" s="403">
        <v>33.1</v>
      </c>
      <c r="AO13" s="128">
        <f t="shared" ref="AO13:BB13" si="21">+AO32/AO23</f>
        <v>40.266666666666673</v>
      </c>
      <c r="AP13" s="128">
        <f t="shared" si="21"/>
        <v>73.2</v>
      </c>
      <c r="AQ13" s="128">
        <f t="shared" si="21"/>
        <v>39.116895999999997</v>
      </c>
      <c r="AR13" s="128">
        <f t="shared" si="21"/>
        <v>44.816399999999994</v>
      </c>
      <c r="AS13" s="128">
        <f t="shared" si="21"/>
        <v>83.933295999999999</v>
      </c>
      <c r="AT13" s="128">
        <f t="shared" si="21"/>
        <v>42.050663199999995</v>
      </c>
      <c r="AU13" s="128">
        <f t="shared" si="21"/>
        <v>47.729465999999995</v>
      </c>
      <c r="AV13" s="128">
        <f t="shared" si="21"/>
        <v>89.78012919999999</v>
      </c>
      <c r="AW13" s="128">
        <f t="shared" si="21"/>
        <v>43.942943043999996</v>
      </c>
      <c r="AX13" s="128">
        <f t="shared" si="21"/>
        <v>49.877291969999987</v>
      </c>
      <c r="AY13" s="128">
        <f t="shared" si="21"/>
        <v>93.820235013999991</v>
      </c>
      <c r="AZ13" s="128">
        <f t="shared" si="21"/>
        <v>45.700660765759999</v>
      </c>
      <c r="BA13" s="128">
        <f t="shared" si="21"/>
        <v>51.872383648799996</v>
      </c>
      <c r="BB13" s="128">
        <f t="shared" si="21"/>
        <v>97.573044414559988</v>
      </c>
    </row>
    <row r="14" spans="1:54">
      <c r="B14" s="7" t="s">
        <v>422</v>
      </c>
      <c r="C14" s="119" t="s">
        <v>82</v>
      </c>
      <c r="F14" s="130"/>
      <c r="G14" s="130"/>
      <c r="I14" s="130"/>
      <c r="J14" s="130"/>
      <c r="K14" s="130"/>
      <c r="L14" s="130"/>
      <c r="M14" s="130"/>
      <c r="N14" s="130"/>
      <c r="O14" s="130"/>
      <c r="P14" s="130"/>
      <c r="Q14" s="105"/>
      <c r="R14" s="130"/>
      <c r="S14" s="130"/>
      <c r="T14" s="105"/>
      <c r="U14" s="130"/>
      <c r="V14" s="38">
        <f t="shared" ref="V14:AA14" si="22">V13/V9</f>
        <v>0.30104178938687581</v>
      </c>
      <c r="W14" s="105">
        <f t="shared" si="22"/>
        <v>0.22043657070547296</v>
      </c>
      <c r="X14" s="38">
        <f t="shared" si="22"/>
        <v>0.24997301872654559</v>
      </c>
      <c r="Y14" s="38">
        <f t="shared" si="22"/>
        <v>0.33037591671367766</v>
      </c>
      <c r="Z14" s="105">
        <f t="shared" si="22"/>
        <v>0.33007286220490167</v>
      </c>
      <c r="AA14" s="38">
        <f t="shared" si="22"/>
        <v>0.33021452642538157</v>
      </c>
      <c r="AB14" s="38">
        <f t="shared" ref="AB14:AD14" si="23">AB13/AB9</f>
        <v>0.32894136199526913</v>
      </c>
      <c r="AC14" s="105">
        <f t="shared" si="23"/>
        <v>0.34846925912550508</v>
      </c>
      <c r="AD14" s="38">
        <f t="shared" si="23"/>
        <v>0.33877827013705591</v>
      </c>
      <c r="AE14" s="38">
        <f t="shared" ref="AE14:AH14" si="24">AE13/AE9</f>
        <v>0.31954136415967666</v>
      </c>
      <c r="AF14" s="105">
        <f t="shared" si="24"/>
        <v>0.32535182993098388</v>
      </c>
      <c r="AG14" s="38">
        <f t="shared" si="24"/>
        <v>0.32262568805990988</v>
      </c>
      <c r="AH14" s="38">
        <f t="shared" si="24"/>
        <v>0.28900140957090775</v>
      </c>
      <c r="AI14" s="105">
        <f t="shared" ref="AI14:AK14" si="25">AI13/AI9</f>
        <v>0.29709853280158061</v>
      </c>
      <c r="AJ14" s="38">
        <f t="shared" si="25"/>
        <v>0.2931984039083006</v>
      </c>
      <c r="AK14" s="38">
        <f t="shared" si="25"/>
        <v>0.29216009716785257</v>
      </c>
      <c r="AL14" s="105">
        <f t="shared" ref="AL14:AN14" si="26">AL13/AL9</f>
        <v>0.28421894308352114</v>
      </c>
      <c r="AM14" s="408">
        <f t="shared" si="26"/>
        <v>0.28794893243029673</v>
      </c>
      <c r="AN14" s="408">
        <f t="shared" si="26"/>
        <v>0.26521585846607482</v>
      </c>
      <c r="AO14" s="105">
        <f t="shared" ref="AO14:BB14" si="27">AO13/AO9</f>
        <v>0.28436911487758953</v>
      </c>
      <c r="AP14" s="130">
        <f t="shared" si="27"/>
        <v>0.27546412443552432</v>
      </c>
      <c r="AQ14" s="105">
        <f t="shared" si="27"/>
        <v>0.30299999999999994</v>
      </c>
      <c r="AR14" s="105">
        <f t="shared" si="27"/>
        <v>0.29999999999999993</v>
      </c>
      <c r="AS14" s="130">
        <f t="shared" si="27"/>
        <v>0.30139071649151367</v>
      </c>
      <c r="AT14" s="105">
        <f t="shared" si="27"/>
        <v>0.30299999999999999</v>
      </c>
      <c r="AU14" s="105">
        <f t="shared" si="27"/>
        <v>0.3</v>
      </c>
      <c r="AV14" s="130">
        <f t="shared" si="27"/>
        <v>0.30139769100651126</v>
      </c>
      <c r="AW14" s="105">
        <f t="shared" si="27"/>
        <v>0.30299999999999999</v>
      </c>
      <c r="AX14" s="105">
        <f t="shared" si="27"/>
        <v>0.29999999999999993</v>
      </c>
      <c r="AY14" s="130">
        <f t="shared" si="27"/>
        <v>0.30139769100651131</v>
      </c>
      <c r="AZ14" s="105">
        <f t="shared" si="27"/>
        <v>0.30300000000000005</v>
      </c>
      <c r="BA14" s="105">
        <f t="shared" si="27"/>
        <v>0.3</v>
      </c>
      <c r="BB14" s="130">
        <f t="shared" si="27"/>
        <v>0.30139769100651126</v>
      </c>
    </row>
    <row r="15" spans="1:54">
      <c r="F15" s="130"/>
      <c r="G15" s="130"/>
      <c r="I15" s="130"/>
      <c r="J15" s="130"/>
      <c r="M15" s="130"/>
      <c r="O15" s="130"/>
      <c r="AO15" s="41"/>
      <c r="AP15" s="41"/>
      <c r="AQ15" s="41"/>
      <c r="AR15" s="41"/>
      <c r="AS15" s="41"/>
      <c r="AT15" s="41"/>
      <c r="AU15" s="41"/>
      <c r="AV15" s="41"/>
      <c r="AW15" s="41"/>
      <c r="AX15" s="41"/>
      <c r="AY15" s="41"/>
      <c r="AZ15" s="41"/>
      <c r="BA15" s="41"/>
      <c r="BB15" s="41"/>
    </row>
    <row r="16" spans="1:54">
      <c r="A16" s="126"/>
      <c r="B16" s="126" t="s">
        <v>402</v>
      </c>
      <c r="C16" s="127" t="s">
        <v>409</v>
      </c>
      <c r="D16" s="153"/>
      <c r="E16" s="153"/>
      <c r="F16" s="129"/>
      <c r="G16" s="129"/>
      <c r="H16" s="128"/>
      <c r="I16" s="129"/>
      <c r="J16" s="129"/>
      <c r="K16" s="128"/>
      <c r="L16" s="128"/>
      <c r="M16" s="129"/>
      <c r="N16" s="128"/>
      <c r="O16" s="129"/>
      <c r="P16" s="129"/>
      <c r="Q16" s="128"/>
      <c r="R16" s="128"/>
      <c r="S16" s="128"/>
      <c r="T16" s="128"/>
      <c r="U16" s="128"/>
      <c r="V16" s="392">
        <f>V13-V12</f>
        <v>29.231000000000002</v>
      </c>
      <c r="W16" s="392">
        <f>X16-V16</f>
        <v>31.720999999999997</v>
      </c>
      <c r="X16" s="392">
        <f>X13-X12</f>
        <v>60.951999999999998</v>
      </c>
      <c r="Y16" s="392">
        <f>Y13-Y12</f>
        <v>37.753</v>
      </c>
      <c r="Z16" s="128">
        <f>AA16-Y16</f>
        <v>44.05</v>
      </c>
      <c r="AA16" s="392">
        <f>AA13-AA12</f>
        <v>81.802999999999997</v>
      </c>
      <c r="AB16" s="392">
        <f>AB13-AB12</f>
        <v>40.962999999999994</v>
      </c>
      <c r="AC16" s="128">
        <f>AD16-AB16</f>
        <v>44.269000000000005</v>
      </c>
      <c r="AD16" s="392">
        <f>AD13-AD12</f>
        <v>85.231999999999999</v>
      </c>
      <c r="AE16" s="392">
        <f>AE13-AE12</f>
        <v>34.39</v>
      </c>
      <c r="AF16" s="128">
        <f>AG16-AE16</f>
        <v>39.685000000000002</v>
      </c>
      <c r="AG16" s="392">
        <f>AG13-AG12</f>
        <v>74.075000000000003</v>
      </c>
      <c r="AH16" s="392">
        <f>AH13-AH12</f>
        <v>29.154000000000003</v>
      </c>
      <c r="AI16" s="392">
        <f>AJ16-AH16</f>
        <v>32.798999999999992</v>
      </c>
      <c r="AJ16" s="392">
        <f>AJ13-AJ12</f>
        <v>61.952999999999996</v>
      </c>
      <c r="AK16" s="391">
        <v>27.7</v>
      </c>
      <c r="AL16" s="392">
        <f>AM16-AK16</f>
        <v>31.2</v>
      </c>
      <c r="AM16" s="403">
        <v>58.9</v>
      </c>
      <c r="AN16" s="403">
        <v>24.8</v>
      </c>
      <c r="AO16" s="392">
        <f>AO13-AO12</f>
        <v>32.208666666666673</v>
      </c>
      <c r="AP16" s="392">
        <f>SUM(AN16:AO16)</f>
        <v>57.00866666666667</v>
      </c>
      <c r="AQ16" s="392">
        <f>AQ13-AQ12</f>
        <v>30.650895999999996</v>
      </c>
      <c r="AR16" s="392">
        <f>AR13-AR12</f>
        <v>36.597239999999992</v>
      </c>
      <c r="AS16" s="392">
        <f>SUM(AQ16:AR16)</f>
        <v>67.248135999999988</v>
      </c>
      <c r="AT16" s="392">
        <f>AT13-AT12</f>
        <v>33.415343199999995</v>
      </c>
      <c r="AU16" s="392">
        <f>AU13-AU12</f>
        <v>39.345922799999997</v>
      </c>
      <c r="AV16" s="392">
        <f>SUM(AT16:AU16)</f>
        <v>72.761265999999992</v>
      </c>
      <c r="AW16" s="392">
        <f>AW13-AW12</f>
        <v>35.134916643999993</v>
      </c>
      <c r="AX16" s="392">
        <f>AX13-AX12</f>
        <v>41.326077905999988</v>
      </c>
      <c r="AY16" s="392">
        <f>SUM(AW16:AX16)</f>
        <v>76.460994549999981</v>
      </c>
      <c r="AZ16" s="392">
        <f>AZ13-AZ12</f>
        <v>36.716473837759992</v>
      </c>
      <c r="BA16" s="392">
        <f>BA13-BA12</f>
        <v>43.150145303519992</v>
      </c>
      <c r="BB16" s="392">
        <f>SUM(AZ16:BA16)</f>
        <v>79.866619141279983</v>
      </c>
    </row>
    <row r="17" spans="1:54">
      <c r="B17" s="7" t="s">
        <v>422</v>
      </c>
      <c r="F17" s="130"/>
      <c r="G17" s="130"/>
      <c r="H17" s="130"/>
      <c r="I17" s="130"/>
      <c r="J17" s="130"/>
      <c r="K17" s="130"/>
      <c r="L17" s="130"/>
      <c r="M17" s="130"/>
      <c r="N17" s="130"/>
      <c r="O17" s="130"/>
      <c r="P17" s="130"/>
      <c r="Q17" s="105"/>
      <c r="R17" s="130"/>
      <c r="S17" s="130"/>
      <c r="T17" s="130"/>
      <c r="U17" s="130"/>
      <c r="V17" s="38">
        <f t="shared" ref="V17:AJ17" si="28">V16/V9</f>
        <v>0.24598178972347981</v>
      </c>
      <c r="W17" s="38">
        <f t="shared" ref="W17:AB17" si="29">W16/W9</f>
        <v>0.15438639184289293</v>
      </c>
      <c r="X17" s="38">
        <f t="shared" si="29"/>
        <v>0.18795000909654364</v>
      </c>
      <c r="Y17" s="38">
        <f t="shared" si="29"/>
        <v>0.27659293883202801</v>
      </c>
      <c r="Z17" s="130">
        <f t="shared" si="29"/>
        <v>0.28328156451166886</v>
      </c>
      <c r="AA17" s="38">
        <f t="shared" si="29"/>
        <v>0.28015493575166445</v>
      </c>
      <c r="AB17" s="38">
        <f t="shared" si="29"/>
        <v>0.28332019200177061</v>
      </c>
      <c r="AC17" s="130">
        <f t="shared" ref="AC17:AE17" si="30">AC16/AC9</f>
        <v>0.30164419217901456</v>
      </c>
      <c r="AD17" s="38">
        <f t="shared" si="30"/>
        <v>0.29255065370133282</v>
      </c>
      <c r="AE17" s="38">
        <f t="shared" si="30"/>
        <v>0.26933890964341378</v>
      </c>
      <c r="AF17" s="130">
        <f t="shared" ref="AF17:AG17" si="31">AF16/AF9</f>
        <v>0.27471462491087439</v>
      </c>
      <c r="AG17" s="38">
        <f t="shared" si="31"/>
        <v>0.27219245834895017</v>
      </c>
      <c r="AH17" s="38">
        <f t="shared" si="28"/>
        <v>0.22957893990818104</v>
      </c>
      <c r="AI17" s="38">
        <f t="shared" si="28"/>
        <v>0.24001317185613399</v>
      </c>
      <c r="AJ17" s="38">
        <f t="shared" si="28"/>
        <v>0.23498733140143524</v>
      </c>
      <c r="AK17" s="38">
        <f t="shared" ref="AK17:AM17" si="32">AK16/AK9</f>
        <v>0.22732681717835718</v>
      </c>
      <c r="AL17" s="38">
        <f t="shared" si="32"/>
        <v>0.22679363233263067</v>
      </c>
      <c r="AM17" s="408">
        <f t="shared" si="32"/>
        <v>0.22704407122014023</v>
      </c>
      <c r="AN17" s="408">
        <f t="shared" ref="AN17" si="33">AN16/AN9</f>
        <v>0.19871157975705908</v>
      </c>
      <c r="AO17" s="130">
        <f t="shared" ref="AO17:BB17" si="34">AO16/AO9</f>
        <v>0.22746233521657255</v>
      </c>
      <c r="AP17" s="130">
        <f t="shared" si="34"/>
        <v>0.2145333667837431</v>
      </c>
      <c r="AQ17" s="130">
        <f t="shared" si="34"/>
        <v>0.23742225068164913</v>
      </c>
      <c r="AR17" s="130">
        <f t="shared" si="34"/>
        <v>0.24498112298176555</v>
      </c>
      <c r="AS17" s="130">
        <f t="shared" si="34"/>
        <v>0.24147704019342633</v>
      </c>
      <c r="AT17" s="130">
        <f t="shared" si="34"/>
        <v>0.24077739134444853</v>
      </c>
      <c r="AU17" s="130">
        <f t="shared" si="34"/>
        <v>0.24730586426422618</v>
      </c>
      <c r="AV17" s="130">
        <f t="shared" si="34"/>
        <v>0.24426426830215092</v>
      </c>
      <c r="AW17" s="130">
        <f t="shared" si="34"/>
        <v>0.24226597049888754</v>
      </c>
      <c r="AX17" s="130">
        <f t="shared" si="34"/>
        <v>0.24856648952106286</v>
      </c>
      <c r="AY17" s="130">
        <f t="shared" si="34"/>
        <v>0.24563109659651361</v>
      </c>
      <c r="AZ17" s="130">
        <f t="shared" si="34"/>
        <v>0.24343393260467816</v>
      </c>
      <c r="BA17" s="130">
        <f t="shared" si="34"/>
        <v>0.24955559549181167</v>
      </c>
      <c r="BB17" s="130">
        <f t="shared" si="34"/>
        <v>0.24670353110439816</v>
      </c>
    </row>
    <row r="18" spans="1:54">
      <c r="R18" s="30"/>
      <c r="AO18" s="41"/>
      <c r="AP18" s="41"/>
      <c r="AQ18" s="41"/>
      <c r="AR18" s="41"/>
      <c r="AS18" s="41"/>
      <c r="AT18" s="41"/>
      <c r="AU18" s="41"/>
      <c r="AV18" s="41"/>
      <c r="AW18" s="41"/>
      <c r="AX18" s="41"/>
      <c r="AY18" s="41"/>
      <c r="AZ18" s="41"/>
      <c r="BA18" s="41"/>
      <c r="BB18" s="41"/>
    </row>
    <row r="20" spans="1:54">
      <c r="B20" s="7" t="s">
        <v>399</v>
      </c>
      <c r="C20" s="119" t="s">
        <v>409</v>
      </c>
      <c r="F20" s="30"/>
      <c r="G20" s="30"/>
      <c r="H20" s="30"/>
      <c r="I20" s="30"/>
      <c r="J20" s="30"/>
      <c r="K20" s="30"/>
      <c r="L20" s="30"/>
      <c r="M20" s="30"/>
      <c r="N20" s="30"/>
      <c r="O20" s="30"/>
      <c r="P20" s="30"/>
      <c r="Q20" s="30"/>
      <c r="R20" s="31"/>
      <c r="S20" s="30"/>
      <c r="T20" s="30"/>
      <c r="U20" s="89"/>
      <c r="V20" s="31">
        <v>35.774000000000001</v>
      </c>
      <c r="W20" s="30">
        <f>X20-V20</f>
        <v>45.292000000000002</v>
      </c>
      <c r="X20" s="391">
        <v>81.066000000000003</v>
      </c>
      <c r="Y20" s="31">
        <v>45.094000000000001</v>
      </c>
      <c r="Z20" s="30">
        <f>AA20-Y20</f>
        <v>49.582000000000001</v>
      </c>
      <c r="AA20" s="164">
        <v>94.676000000000002</v>
      </c>
      <c r="AB20" s="31">
        <v>47.6</v>
      </c>
      <c r="AC20" s="30">
        <f>AD20-AB20</f>
        <v>50.678000000000004</v>
      </c>
      <c r="AD20" s="164">
        <v>98.278000000000006</v>
      </c>
      <c r="AE20" s="31">
        <v>55.835999999999999</v>
      </c>
      <c r="AF20" s="30">
        <f>AG20-AE20</f>
        <v>43.97</v>
      </c>
      <c r="AG20" s="164">
        <v>99.805999999999997</v>
      </c>
      <c r="AH20" s="31">
        <v>34.258000000000003</v>
      </c>
      <c r="AI20" s="30">
        <f>AJ20-AH20</f>
        <v>34.606999999999992</v>
      </c>
      <c r="AJ20" s="164">
        <v>68.864999999999995</v>
      </c>
      <c r="AK20" s="31">
        <v>35.57</v>
      </c>
      <c r="AL20" s="30">
        <f>AM20-AK20</f>
        <v>35.065999999999995</v>
      </c>
      <c r="AM20" s="426">
        <v>70.635999999999996</v>
      </c>
      <c r="AN20" s="402">
        <v>34.012</v>
      </c>
    </row>
    <row r="21" spans="1:54">
      <c r="B21" s="7" t="s">
        <v>400</v>
      </c>
      <c r="C21" s="119" t="s">
        <v>409</v>
      </c>
      <c r="F21" s="30"/>
      <c r="G21" s="30"/>
      <c r="H21" s="30"/>
      <c r="I21" s="30"/>
      <c r="J21" s="30"/>
      <c r="K21" s="30"/>
      <c r="L21" s="30"/>
      <c r="M21" s="30"/>
      <c r="N21" s="30"/>
      <c r="O21" s="30"/>
      <c r="P21" s="30"/>
      <c r="Q21" s="30"/>
      <c r="R21" s="30"/>
      <c r="S21" s="30"/>
      <c r="T21" s="30"/>
      <c r="U21" s="30"/>
      <c r="V21" s="30">
        <f t="shared" ref="V21:AA21" si="35">V13-V20</f>
        <v>0</v>
      </c>
      <c r="W21" s="30">
        <f t="shared" si="35"/>
        <v>0</v>
      </c>
      <c r="X21" s="30">
        <f t="shared" si="35"/>
        <v>0</v>
      </c>
      <c r="Y21" s="30">
        <f t="shared" si="35"/>
        <v>0</v>
      </c>
      <c r="Z21" s="30">
        <f t="shared" si="35"/>
        <v>1.7439999999999998</v>
      </c>
      <c r="AA21" s="30">
        <f t="shared" si="35"/>
        <v>1.7439999999999998</v>
      </c>
      <c r="AB21" s="30">
        <f t="shared" ref="AB21:AD21" si="36">AB13-AB20</f>
        <v>-4.1000000000003922E-2</v>
      </c>
      <c r="AC21" s="30">
        <f t="shared" si="36"/>
        <v>0.46300000000000097</v>
      </c>
      <c r="AD21" s="30">
        <f t="shared" si="36"/>
        <v>0.42199999999999704</v>
      </c>
      <c r="AE21" s="30">
        <f t="shared" ref="AE21:AH21" si="37">AE13-AE20</f>
        <v>-15.036000000000001</v>
      </c>
      <c r="AF21" s="30">
        <f t="shared" si="37"/>
        <v>3.0300000000000011</v>
      </c>
      <c r="AG21" s="30">
        <f t="shared" si="37"/>
        <v>-12.006</v>
      </c>
      <c r="AH21" s="30">
        <f t="shared" si="37"/>
        <v>2.4420000000000002</v>
      </c>
      <c r="AI21" s="30">
        <f t="shared" ref="AI21:AK21" si="38">AI13-AI20</f>
        <v>5.9930000000000021</v>
      </c>
      <c r="AJ21" s="30">
        <f t="shared" si="38"/>
        <v>8.4350000000000023</v>
      </c>
      <c r="AK21" s="30">
        <f t="shared" si="38"/>
        <v>3.0000000000001137E-2</v>
      </c>
      <c r="AL21" s="30">
        <f t="shared" ref="AL21:AN21" si="39">AL13-AL20</f>
        <v>4.034000000000006</v>
      </c>
      <c r="AM21" s="405">
        <f t="shared" si="39"/>
        <v>4.0640000000000072</v>
      </c>
      <c r="AN21" s="405">
        <f t="shared" si="39"/>
        <v>-0.91199999999999903</v>
      </c>
    </row>
    <row r="22" spans="1:54">
      <c r="V22" s="91"/>
      <c r="W22" s="91"/>
      <c r="X22" s="91"/>
      <c r="Y22" s="91"/>
      <c r="Z22" s="91"/>
      <c r="AA22" s="91"/>
      <c r="AB22" s="91"/>
      <c r="AC22" s="91"/>
      <c r="AD22" s="91"/>
      <c r="AE22" s="91"/>
      <c r="AF22" s="91"/>
      <c r="AG22" s="91"/>
      <c r="AH22" s="91"/>
      <c r="AI22" s="91"/>
      <c r="AJ22" s="91"/>
      <c r="AK22" s="91"/>
      <c r="AL22" s="91"/>
      <c r="AM22" s="410"/>
      <c r="AN22" s="410"/>
    </row>
    <row r="23" spans="1:54">
      <c r="B23" s="136" t="s">
        <v>498</v>
      </c>
      <c r="F23" s="91"/>
      <c r="G23" s="91"/>
      <c r="H23" s="91"/>
      <c r="I23" s="91"/>
      <c r="J23" s="91"/>
      <c r="K23" s="91"/>
      <c r="L23" s="91"/>
      <c r="M23" s="91"/>
      <c r="N23" s="91"/>
      <c r="O23" s="91"/>
      <c r="P23" s="91"/>
      <c r="Q23" s="91"/>
      <c r="R23" s="91"/>
      <c r="S23" s="91"/>
      <c r="T23" s="91"/>
      <c r="U23" s="91"/>
      <c r="V23" s="91">
        <v>0.80044825102057149</v>
      </c>
      <c r="W23" s="91">
        <v>0.78510396084948253</v>
      </c>
      <c r="X23" s="91">
        <v>0.79277610593502701</v>
      </c>
      <c r="Y23" s="91">
        <v>0.76846230692384532</v>
      </c>
      <c r="Z23" s="91">
        <v>0.72213462996618005</v>
      </c>
      <c r="AA23" s="91">
        <v>0.74529846844501269</v>
      </c>
      <c r="AB23" s="91">
        <v>0.73182333784624387</v>
      </c>
      <c r="AC23" s="91">
        <v>0.76437015898899308</v>
      </c>
      <c r="AD23" s="91">
        <v>0.74809674841761842</v>
      </c>
      <c r="AE23" s="91">
        <v>0.8510792409097494</v>
      </c>
      <c r="AF23" s="91">
        <v>0.82317073170731714</v>
      </c>
      <c r="AG23" s="91">
        <v>0.83712498630853327</v>
      </c>
      <c r="AH23" s="91">
        <v>0.79764583887005636</v>
      </c>
      <c r="AI23" s="91">
        <v>0.79055902300925607</v>
      </c>
      <c r="AJ23" s="91">
        <v>0.79410243093965627</v>
      </c>
      <c r="AK23" s="91">
        <v>0.77381762816861355</v>
      </c>
      <c r="AL23" s="91">
        <v>0.79379412178941866</v>
      </c>
      <c r="AM23" s="410">
        <v>0.7838058749790161</v>
      </c>
      <c r="AN23" s="410">
        <f>AN32/AN13</f>
        <v>0.74622356495468267</v>
      </c>
      <c r="AO23" s="91">
        <v>0.75</v>
      </c>
      <c r="AP23" s="91">
        <v>0.75</v>
      </c>
      <c r="AQ23" s="91">
        <v>0.75</v>
      </c>
      <c r="AR23" s="91">
        <v>0.75</v>
      </c>
      <c r="AS23" s="91">
        <v>0.75</v>
      </c>
      <c r="AT23" s="91">
        <v>0.75</v>
      </c>
      <c r="AU23" s="91">
        <v>0.75</v>
      </c>
      <c r="AV23" s="91">
        <v>0.75</v>
      </c>
      <c r="AW23" s="91">
        <v>0.75</v>
      </c>
      <c r="AX23" s="91">
        <v>0.75</v>
      </c>
      <c r="AY23" s="91">
        <v>0.75</v>
      </c>
      <c r="AZ23" s="91">
        <v>0.75</v>
      </c>
      <c r="BA23" s="91">
        <v>0.75</v>
      </c>
      <c r="BB23" s="91">
        <v>0.75</v>
      </c>
    </row>
    <row r="24" spans="1:54">
      <c r="B24" s="40"/>
      <c r="F24" s="122"/>
      <c r="G24" s="122"/>
      <c r="H24" s="122"/>
      <c r="I24" s="122"/>
      <c r="J24" s="122"/>
      <c r="K24" s="122"/>
      <c r="L24" s="122"/>
      <c r="M24" s="122"/>
      <c r="N24" s="122"/>
      <c r="O24" s="122"/>
      <c r="P24" s="122"/>
      <c r="Q24" s="122"/>
      <c r="R24" s="122"/>
      <c r="S24" s="66"/>
      <c r="T24" s="66"/>
      <c r="U24" s="122"/>
      <c r="V24" s="66"/>
      <c r="W24" s="66"/>
      <c r="X24" s="122"/>
      <c r="Y24" s="66"/>
      <c r="Z24" s="66"/>
      <c r="AA24" s="88"/>
      <c r="AB24" s="66"/>
      <c r="AC24" s="66"/>
      <c r="AD24" s="88"/>
      <c r="AE24" s="66"/>
      <c r="AF24" s="66"/>
      <c r="AG24" s="88"/>
      <c r="AH24" s="66"/>
      <c r="AI24" s="66"/>
      <c r="AJ24" s="88"/>
      <c r="AK24" s="66"/>
      <c r="AL24" s="66"/>
      <c r="AM24" s="302"/>
      <c r="AN24" s="640"/>
      <c r="AO24" s="66"/>
      <c r="AP24" s="122"/>
      <c r="AQ24" s="66"/>
      <c r="AR24" s="66"/>
      <c r="AS24" s="122"/>
      <c r="AT24" s="66"/>
      <c r="AU24" s="66"/>
      <c r="AV24" s="122"/>
      <c r="AW24" s="66"/>
      <c r="AX24" s="66"/>
      <c r="AY24" s="122"/>
      <c r="AZ24" s="66"/>
      <c r="BA24" s="66"/>
      <c r="BB24" s="122"/>
    </row>
    <row r="25" spans="1:54">
      <c r="A25" s="134" t="s">
        <v>464</v>
      </c>
      <c r="B25" s="40"/>
      <c r="F25" s="122"/>
      <c r="G25" s="122"/>
      <c r="H25" s="122"/>
      <c r="I25" s="122"/>
      <c r="J25" s="122"/>
      <c r="K25" s="122"/>
      <c r="L25" s="122"/>
      <c r="M25" s="122"/>
      <c r="N25" s="122"/>
      <c r="O25" s="122"/>
      <c r="P25" s="122"/>
      <c r="Q25" s="122"/>
      <c r="R25" s="122"/>
      <c r="S25" s="66"/>
      <c r="T25" s="66"/>
      <c r="U25" s="122"/>
      <c r="V25" s="66"/>
      <c r="W25" s="66"/>
      <c r="X25" s="122"/>
      <c r="Y25" s="66"/>
      <c r="Z25" s="66"/>
      <c r="AA25" s="88"/>
      <c r="AB25" s="66"/>
      <c r="AC25" s="66"/>
      <c r="AD25" s="88"/>
      <c r="AE25" s="66"/>
      <c r="AF25" s="66"/>
      <c r="AG25" s="88"/>
      <c r="AH25" s="91"/>
      <c r="AI25" s="66"/>
      <c r="AJ25" s="88"/>
      <c r="AK25" s="91"/>
      <c r="AL25" s="66"/>
      <c r="AM25" s="302"/>
      <c r="AN25" s="410"/>
      <c r="AO25" s="66"/>
      <c r="AP25" s="122"/>
      <c r="AQ25" s="66"/>
      <c r="AR25" s="66"/>
      <c r="AS25" s="122"/>
      <c r="AT25" s="66"/>
      <c r="AU25" s="66"/>
      <c r="AV25" s="122"/>
      <c r="AW25" s="66"/>
      <c r="AX25" s="66"/>
      <c r="AY25" s="122"/>
      <c r="AZ25" s="66"/>
      <c r="BA25" s="66"/>
      <c r="BB25" s="122"/>
    </row>
    <row r="26" spans="1:54">
      <c r="B26" s="7" t="s">
        <v>223</v>
      </c>
      <c r="C26" s="119" t="s">
        <v>404</v>
      </c>
      <c r="F26" s="155"/>
      <c r="G26" s="124"/>
      <c r="H26" s="124"/>
      <c r="I26" s="155"/>
      <c r="J26" s="155"/>
      <c r="K26" s="155"/>
      <c r="L26" s="155"/>
      <c r="M26" s="155"/>
      <c r="N26" s="155"/>
      <c r="O26" s="155"/>
      <c r="P26" s="155"/>
      <c r="Q26" s="155"/>
      <c r="R26" s="155"/>
      <c r="S26" s="155"/>
      <c r="T26" s="155"/>
      <c r="U26" s="395"/>
      <c r="V26" s="395">
        <v>94.4</v>
      </c>
      <c r="W26" s="155">
        <f>+X26-V26</f>
        <v>78.299999999999983</v>
      </c>
      <c r="X26" s="517">
        <v>172.7</v>
      </c>
      <c r="Y26" s="395">
        <v>104.6</v>
      </c>
      <c r="Z26" s="395">
        <v>112.2</v>
      </c>
      <c r="AA26" s="396">
        <f>+Z26+Y26</f>
        <v>216.8</v>
      </c>
      <c r="AB26" s="396">
        <v>105.9</v>
      </c>
      <c r="AC26" s="395">
        <v>112.9</v>
      </c>
      <c r="AD26" s="396">
        <f>+AC26+AB26</f>
        <v>218.8</v>
      </c>
      <c r="AE26" s="396">
        <v>108.7</v>
      </c>
      <c r="AF26" s="395">
        <v>113.9</v>
      </c>
      <c r="AG26" s="39">
        <f>+AF26+AE26</f>
        <v>222.60000000000002</v>
      </c>
      <c r="AH26" s="396">
        <v>101.4</v>
      </c>
      <c r="AI26" s="39">
        <f>AJ26-AH26</f>
        <v>108</v>
      </c>
      <c r="AJ26" s="396">
        <v>209.4</v>
      </c>
      <c r="AK26" s="396">
        <v>94.3</v>
      </c>
      <c r="AL26" s="39">
        <f>AM26-AK26</f>
        <v>106.2</v>
      </c>
      <c r="AM26" s="533">
        <v>200.5</v>
      </c>
      <c r="AN26" s="533">
        <v>93.1</v>
      </c>
      <c r="AO26" s="155">
        <f>+AL26*(1+AO30)</f>
        <v>106.2</v>
      </c>
      <c r="AP26" s="155">
        <f>+AO26+AN26</f>
        <v>199.3</v>
      </c>
      <c r="AQ26" s="155">
        <f>+AN26*(1+AQ30)</f>
        <v>96.823999999999998</v>
      </c>
      <c r="AR26" s="155">
        <f>+AO26*(1+AR30)</f>
        <v>112.041</v>
      </c>
      <c r="AS26" s="155">
        <f>+AR26+AQ26</f>
        <v>208.86500000000001</v>
      </c>
      <c r="AT26" s="155">
        <f>+AQ26*(1+AT30)</f>
        <v>104.08579999999999</v>
      </c>
      <c r="AU26" s="155">
        <f>+AR26*(1+AU30)</f>
        <v>119.32366499999999</v>
      </c>
      <c r="AV26" s="155">
        <f>+AU26+AT26</f>
        <v>223.40946499999998</v>
      </c>
      <c r="AW26" s="155">
        <f>+AT26*(1+AW30)</f>
        <v>108.76966099999999</v>
      </c>
      <c r="AX26" s="155">
        <f>+AU26*(1+AX30)</f>
        <v>124.69322992499998</v>
      </c>
      <c r="AY26" s="155">
        <f>+AX26+AW26</f>
        <v>233.46289092499995</v>
      </c>
      <c r="AZ26" s="155">
        <f>+AW26*(1+AZ30)</f>
        <v>113.12044743999999</v>
      </c>
      <c r="BA26" s="155">
        <f>+AX26*(1+BA30)</f>
        <v>129.68095912199999</v>
      </c>
      <c r="BB26" s="155">
        <f>+BA26+AZ26</f>
        <v>242.80140656199998</v>
      </c>
    </row>
    <row r="27" spans="1:54">
      <c r="B27" s="7" t="s">
        <v>459</v>
      </c>
      <c r="C27" s="119"/>
      <c r="F27" s="155"/>
      <c r="G27" s="124"/>
      <c r="H27" s="124"/>
      <c r="I27" s="155"/>
      <c r="J27" s="155"/>
      <c r="K27" s="155"/>
      <c r="L27" s="155"/>
      <c r="M27" s="155"/>
      <c r="N27" s="155"/>
      <c r="O27" s="155"/>
      <c r="P27" s="155"/>
      <c r="Q27" s="155"/>
      <c r="R27" s="155"/>
      <c r="S27" s="155"/>
      <c r="T27" s="155"/>
      <c r="U27" s="155"/>
      <c r="V27" s="155"/>
      <c r="W27" s="155"/>
      <c r="X27" s="155"/>
      <c r="Y27" s="155"/>
      <c r="Z27" s="155"/>
      <c r="AA27" s="39"/>
      <c r="AB27" s="39"/>
      <c r="AC27" s="155"/>
      <c r="AD27" s="39"/>
      <c r="AE27" s="39"/>
      <c r="AF27" s="155"/>
      <c r="AG27" s="39"/>
      <c r="AH27" s="39"/>
      <c r="AI27" s="39"/>
      <c r="AJ27" s="39"/>
      <c r="AK27" s="39"/>
      <c r="AL27" s="39"/>
      <c r="AM27" s="404"/>
      <c r="AN27" s="404"/>
      <c r="AO27" s="138">
        <v>-0.02</v>
      </c>
      <c r="AP27" s="122">
        <f>AVERAGE(AN27:AO27)</f>
        <v>-0.02</v>
      </c>
      <c r="AQ27" s="138">
        <v>0.02</v>
      </c>
      <c r="AR27" s="138">
        <v>2.5000000000000001E-2</v>
      </c>
      <c r="AS27" s="122">
        <f>AVERAGE(AQ27:AR27)</f>
        <v>2.2499999999999999E-2</v>
      </c>
      <c r="AT27" s="138">
        <v>2.5000000000000001E-2</v>
      </c>
      <c r="AU27" s="138">
        <v>2.5000000000000001E-2</v>
      </c>
      <c r="AV27" s="122">
        <f>AVERAGE(AT27:AU27)</f>
        <v>2.5000000000000001E-2</v>
      </c>
      <c r="AW27" s="138">
        <v>2.5000000000000001E-2</v>
      </c>
      <c r="AX27" s="138">
        <v>2.5000000000000001E-2</v>
      </c>
      <c r="AY27" s="122">
        <f>AVERAGE(AW27:AX27)</f>
        <v>2.5000000000000001E-2</v>
      </c>
      <c r="AZ27" s="138">
        <v>0.02</v>
      </c>
      <c r="BA27" s="138">
        <v>0.02</v>
      </c>
      <c r="BB27" s="122">
        <f>AVERAGE(AZ27:BA27)</f>
        <v>0.02</v>
      </c>
    </row>
    <row r="28" spans="1:54">
      <c r="B28" s="7" t="s">
        <v>458</v>
      </c>
      <c r="C28" s="119"/>
      <c r="F28" s="155"/>
      <c r="G28" s="124"/>
      <c r="H28" s="124"/>
      <c r="I28" s="155"/>
      <c r="J28" s="155"/>
      <c r="K28" s="155"/>
      <c r="L28" s="155"/>
      <c r="M28" s="155"/>
      <c r="N28" s="155"/>
      <c r="O28" s="155"/>
      <c r="P28" s="155"/>
      <c r="Q28" s="155"/>
      <c r="R28" s="155"/>
      <c r="S28" s="155"/>
      <c r="T28" s="155"/>
      <c r="U28" s="155"/>
      <c r="V28" s="155"/>
      <c r="W28" s="155"/>
      <c r="X28" s="155"/>
      <c r="Y28" s="155"/>
      <c r="Z28" s="155"/>
      <c r="AA28" s="39"/>
      <c r="AB28" s="39"/>
      <c r="AC28" s="155"/>
      <c r="AD28" s="39"/>
      <c r="AE28" s="39"/>
      <c r="AF28" s="155"/>
      <c r="AG28" s="39"/>
      <c r="AH28" s="39"/>
      <c r="AI28" s="39"/>
      <c r="AJ28" s="39"/>
      <c r="AK28" s="39"/>
      <c r="AL28" s="39"/>
      <c r="AM28" s="404"/>
      <c r="AN28" s="404"/>
      <c r="AO28" s="138">
        <v>0.02</v>
      </c>
      <c r="AP28" s="122">
        <f>AVERAGE(AN28:AO28)</f>
        <v>0.02</v>
      </c>
      <c r="AQ28" s="138">
        <v>0.02</v>
      </c>
      <c r="AR28" s="138">
        <v>0.02</v>
      </c>
      <c r="AS28" s="122">
        <f>AVERAGE(AQ28:AR28)</f>
        <v>0.02</v>
      </c>
      <c r="AT28" s="138">
        <v>0.02</v>
      </c>
      <c r="AU28" s="138">
        <v>0.02</v>
      </c>
      <c r="AV28" s="122">
        <f>AVERAGE(AT28:AU28)</f>
        <v>0.02</v>
      </c>
      <c r="AW28" s="138">
        <v>0.02</v>
      </c>
      <c r="AX28" s="138">
        <v>0.02</v>
      </c>
      <c r="AY28" s="122">
        <f>AVERAGE(AW28:AX28)</f>
        <v>0.02</v>
      </c>
      <c r="AZ28" s="138">
        <v>0.02</v>
      </c>
      <c r="BA28" s="138">
        <v>0.02</v>
      </c>
      <c r="BB28" s="122">
        <f>AVERAGE(AZ28:BA28)</f>
        <v>0.02</v>
      </c>
    </row>
    <row r="29" spans="1:54">
      <c r="B29" s="7" t="s">
        <v>217</v>
      </c>
      <c r="C29" s="119"/>
      <c r="F29" s="155"/>
      <c r="G29" s="124"/>
      <c r="H29" s="124"/>
      <c r="I29" s="155"/>
      <c r="J29" s="155"/>
      <c r="K29" s="155"/>
      <c r="L29" s="155"/>
      <c r="M29" s="155"/>
      <c r="N29" s="155"/>
      <c r="O29" s="155"/>
      <c r="P29" s="155"/>
      <c r="Q29" s="155"/>
      <c r="R29" s="155"/>
      <c r="S29" s="155"/>
      <c r="T29" s="155"/>
      <c r="U29" s="155"/>
      <c r="V29" s="155"/>
      <c r="W29" s="155"/>
      <c r="X29" s="155"/>
      <c r="Y29" s="155"/>
      <c r="Z29" s="155"/>
      <c r="AA29" s="39"/>
      <c r="AB29" s="39"/>
      <c r="AC29" s="155"/>
      <c r="AD29" s="39"/>
      <c r="AE29" s="39"/>
      <c r="AF29" s="155"/>
      <c r="AG29" s="39"/>
      <c r="AH29" s="39"/>
      <c r="AI29" s="39"/>
      <c r="AJ29" s="39"/>
      <c r="AK29" s="39"/>
      <c r="AL29" s="39"/>
      <c r="AM29" s="404"/>
      <c r="AN29" s="404"/>
      <c r="AO29" s="138">
        <v>0</v>
      </c>
      <c r="AP29" s="122">
        <f>AP30-SUM(AP27:AP28)</f>
        <v>-5.9850374064837064E-3</v>
      </c>
      <c r="AQ29" s="138">
        <v>0</v>
      </c>
      <c r="AR29" s="138">
        <v>0.01</v>
      </c>
      <c r="AS29" s="122">
        <f>AS30-SUM(AS27:AS28)</f>
        <v>5.4929754139487613E-3</v>
      </c>
      <c r="AT29" s="138">
        <v>0.03</v>
      </c>
      <c r="AU29" s="138">
        <v>0.02</v>
      </c>
      <c r="AV29" s="122">
        <f>AV30-SUM(AV27:AV28)</f>
        <v>2.4635721638378724E-2</v>
      </c>
      <c r="AW29" s="138">
        <v>0</v>
      </c>
      <c r="AX29" s="138">
        <v>0</v>
      </c>
      <c r="AY29" s="122">
        <f>AY30-SUM(AY27:AY28)</f>
        <v>-6.9388939039072284E-17</v>
      </c>
      <c r="AZ29" s="138">
        <v>0</v>
      </c>
      <c r="BA29" s="138">
        <v>0</v>
      </c>
      <c r="BB29" s="122">
        <f>BB30-SUM(BB27:BB28)</f>
        <v>0</v>
      </c>
    </row>
    <row r="30" spans="1:54">
      <c r="B30" s="140" t="s">
        <v>443</v>
      </c>
      <c r="C30" s="141" t="s">
        <v>82</v>
      </c>
      <c r="D30" s="142"/>
      <c r="E30" s="142"/>
      <c r="F30" s="142"/>
      <c r="G30" s="143"/>
      <c r="H30" s="143"/>
      <c r="I30" s="143"/>
      <c r="J30" s="143"/>
      <c r="K30" s="143"/>
      <c r="L30" s="143"/>
      <c r="M30" s="143"/>
      <c r="N30" s="143"/>
      <c r="O30" s="143"/>
      <c r="P30" s="143"/>
      <c r="Q30" s="143"/>
      <c r="R30" s="143"/>
      <c r="S30" s="143"/>
      <c r="T30" s="143"/>
      <c r="U30" s="143"/>
      <c r="V30" s="143"/>
      <c r="W30" s="143"/>
      <c r="X30" s="143"/>
      <c r="Y30" s="143">
        <f t="shared" ref="Y30:AB30" si="40">+Y26/V26-1</f>
        <v>0.10805084745762694</v>
      </c>
      <c r="Z30" s="143">
        <f t="shared" si="40"/>
        <v>0.43295019157088155</v>
      </c>
      <c r="AA30" s="143">
        <f t="shared" si="40"/>
        <v>0.25535610885929372</v>
      </c>
      <c r="AB30" s="143">
        <f t="shared" si="40"/>
        <v>1.2428298279158811E-2</v>
      </c>
      <c r="AC30" s="143">
        <f t="shared" ref="AC30" si="41">+AC26/Z26-1</f>
        <v>6.2388591800357496E-3</v>
      </c>
      <c r="AD30" s="143">
        <f t="shared" ref="AD30" si="42">+AD26/AA26-1</f>
        <v>9.2250922509224953E-3</v>
      </c>
      <c r="AE30" s="143">
        <f>+AE26/AB26-1</f>
        <v>2.6440037771482405E-2</v>
      </c>
      <c r="AF30" s="143">
        <f t="shared" ref="AF30" si="43">+AF26/AC26-1</f>
        <v>8.8573959255979773E-3</v>
      </c>
      <c r="AG30" s="143">
        <f t="shared" ref="AG30" si="44">+AG26/AD26-1</f>
        <v>1.7367458866544894E-2</v>
      </c>
      <c r="AH30" s="143">
        <f>+AH26/AE26-1</f>
        <v>-6.7157313707451705E-2</v>
      </c>
      <c r="AI30" s="143">
        <f t="shared" ref="AI30" si="45">+AI26/AF26-1</f>
        <v>-5.1799824407374961E-2</v>
      </c>
      <c r="AJ30" s="143">
        <f t="shared" ref="AJ30" si="46">+AJ26/AG26-1</f>
        <v>-5.9299191374663107E-2</v>
      </c>
      <c r="AK30" s="143">
        <f>+AK26/AH26-1</f>
        <v>-7.0019723865877848E-2</v>
      </c>
      <c r="AL30" s="143">
        <f t="shared" ref="AL30" si="47">+AL26/AI26-1</f>
        <v>-1.6666666666666607E-2</v>
      </c>
      <c r="AM30" s="411">
        <f t="shared" ref="AM30" si="48">+AM26/AJ26-1</f>
        <v>-4.2502387774594141E-2</v>
      </c>
      <c r="AN30" s="411">
        <f>+AN26/AK26-1</f>
        <v>-1.2725344644750836E-2</v>
      </c>
      <c r="AO30" s="303">
        <f>SUM(AO27:AO29)</f>
        <v>0</v>
      </c>
      <c r="AP30" s="303">
        <f>AP26/AM26-1</f>
        <v>-5.9850374064837064E-3</v>
      </c>
      <c r="AQ30" s="303">
        <f>SUM(AQ27:AQ29)</f>
        <v>0.04</v>
      </c>
      <c r="AR30" s="303">
        <f>SUM(AR27:AR29)</f>
        <v>5.5E-2</v>
      </c>
      <c r="AS30" s="303">
        <f>AS26/AP26-1</f>
        <v>4.7992975413948757E-2</v>
      </c>
      <c r="AT30" s="303">
        <f>SUM(AT27:AT29)</f>
        <v>7.4999999999999997E-2</v>
      </c>
      <c r="AU30" s="303">
        <f>SUM(AU27:AU29)</f>
        <v>6.5000000000000002E-2</v>
      </c>
      <c r="AV30" s="303">
        <f>AV26/AS26-1</f>
        <v>6.9635721638378723E-2</v>
      </c>
      <c r="AW30" s="303">
        <f>SUM(AW27:AW29)</f>
        <v>4.4999999999999998E-2</v>
      </c>
      <c r="AX30" s="303">
        <f>SUM(AX27:AX29)</f>
        <v>4.4999999999999998E-2</v>
      </c>
      <c r="AY30" s="303">
        <f>AY26/AV26-1</f>
        <v>4.4999999999999929E-2</v>
      </c>
      <c r="AZ30" s="303">
        <f>SUM(AZ27:AZ29)</f>
        <v>0.04</v>
      </c>
      <c r="BA30" s="303">
        <f>SUM(BA27:BA29)</f>
        <v>0.04</v>
      </c>
      <c r="BB30" s="303">
        <f>BB26/AY26-1</f>
        <v>4.0000000000000036E-2</v>
      </c>
    </row>
    <row r="31" spans="1:54">
      <c r="B31" s="40"/>
      <c r="C31" s="119"/>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3"/>
      <c r="AN31" s="33"/>
      <c r="AO31" s="66"/>
      <c r="AP31" s="66"/>
      <c r="AQ31" s="66"/>
      <c r="AR31" s="66"/>
      <c r="AS31" s="66"/>
      <c r="AT31" s="66"/>
      <c r="AU31" s="66"/>
      <c r="AV31" s="66"/>
      <c r="AW31" s="66"/>
      <c r="AX31" s="66"/>
      <c r="AY31" s="66"/>
      <c r="AZ31" s="66"/>
      <c r="BA31" s="66"/>
      <c r="BB31" s="66"/>
    </row>
    <row r="32" spans="1:54">
      <c r="B32" s="7" t="s">
        <v>183</v>
      </c>
      <c r="C32" s="119" t="s">
        <v>404</v>
      </c>
      <c r="G32" s="32"/>
      <c r="H32" s="32"/>
      <c r="I32" s="39"/>
      <c r="J32" s="39"/>
      <c r="K32" s="39"/>
      <c r="L32" s="39"/>
      <c r="M32" s="39"/>
      <c r="N32" s="39"/>
      <c r="O32" s="39"/>
      <c r="P32" s="39"/>
      <c r="Q32" s="39"/>
      <c r="R32" s="39"/>
      <c r="S32" s="39"/>
      <c r="T32" s="39"/>
      <c r="U32" s="396"/>
      <c r="V32" s="39">
        <v>28.4</v>
      </c>
      <c r="W32" s="39">
        <f>+X32-V32</f>
        <v>21.1</v>
      </c>
      <c r="X32" s="518">
        <v>49.5</v>
      </c>
      <c r="Y32" s="39">
        <v>34.6</v>
      </c>
      <c r="Z32" s="31">
        <v>36.9</v>
      </c>
      <c r="AA32" s="396">
        <f>+Z32+Y32</f>
        <v>71.5</v>
      </c>
      <c r="AB32" s="31">
        <v>34.799999999999997</v>
      </c>
      <c r="AC32" s="31">
        <v>39.5</v>
      </c>
      <c r="AD32" s="396">
        <f>+AC32+AB32</f>
        <v>74.3</v>
      </c>
      <c r="AE32" s="31">
        <v>34.700000000000003</v>
      </c>
      <c r="AF32" s="31">
        <v>40.5</v>
      </c>
      <c r="AG32" s="39">
        <f>+AF32+AE32</f>
        <v>75.2</v>
      </c>
      <c r="AH32" s="31">
        <v>29.2</v>
      </c>
      <c r="AI32" s="30">
        <f>AJ32-AH32</f>
        <v>32.099999999999994</v>
      </c>
      <c r="AJ32" s="396">
        <v>61.3</v>
      </c>
      <c r="AK32" s="31">
        <v>27.5</v>
      </c>
      <c r="AL32" s="31">
        <f>AM32-AK32</f>
        <v>30.200000000000003</v>
      </c>
      <c r="AM32" s="533">
        <v>57.7</v>
      </c>
      <c r="AN32" s="402">
        <v>24.7</v>
      </c>
      <c r="AO32" s="30">
        <f>+AO26*AO33</f>
        <v>30.200000000000003</v>
      </c>
      <c r="AP32" s="30">
        <f>+AO32+AN32</f>
        <v>54.900000000000006</v>
      </c>
      <c r="AQ32" s="30">
        <f>+AQ26*AQ33</f>
        <v>29.337671999999998</v>
      </c>
      <c r="AR32" s="30">
        <f>+AR26*AR33</f>
        <v>33.612299999999998</v>
      </c>
      <c r="AS32" s="30">
        <f>+AR32+AQ32</f>
        <v>62.949971999999995</v>
      </c>
      <c r="AT32" s="30">
        <f>+AT26*AT33</f>
        <v>31.537997399999998</v>
      </c>
      <c r="AU32" s="30">
        <f>+AU26*AU33</f>
        <v>35.797099499999995</v>
      </c>
      <c r="AV32" s="30">
        <f>+AU32+AT32</f>
        <v>67.335096899999996</v>
      </c>
      <c r="AW32" s="30">
        <f>+AW26*AW33</f>
        <v>32.957207282999995</v>
      </c>
      <c r="AX32" s="30">
        <f>+AX26*AX33</f>
        <v>37.407968977499991</v>
      </c>
      <c r="AY32" s="30">
        <f>+AX32+AW32</f>
        <v>70.365176260499993</v>
      </c>
      <c r="AZ32" s="30">
        <f>+AZ26*AZ33</f>
        <v>34.275495574319997</v>
      </c>
      <c r="BA32" s="30">
        <f>+BA26*BA33</f>
        <v>38.904287736599997</v>
      </c>
      <c r="BB32" s="30">
        <f>+BA32+AZ32</f>
        <v>73.179783310919987</v>
      </c>
    </row>
    <row r="33" spans="1:54">
      <c r="B33" s="40" t="s">
        <v>403</v>
      </c>
      <c r="C33" s="119" t="s">
        <v>82</v>
      </c>
      <c r="G33" s="32"/>
      <c r="H33" s="32"/>
      <c r="I33" s="38"/>
      <c r="J33" s="38"/>
      <c r="K33" s="38"/>
      <c r="L33" s="38"/>
      <c r="M33" s="38"/>
      <c r="N33" s="38"/>
      <c r="O33" s="38"/>
      <c r="P33" s="38"/>
      <c r="Q33" s="38"/>
      <c r="R33" s="38"/>
      <c r="S33" s="38"/>
      <c r="T33" s="38"/>
      <c r="U33" s="32"/>
      <c r="V33" s="32">
        <f t="shared" ref="V33:AA33" si="49">+V32/V26</f>
        <v>0.30084745762711862</v>
      </c>
      <c r="W33" s="32">
        <f t="shared" si="49"/>
        <v>0.26947637292464888</v>
      </c>
      <c r="X33" s="32">
        <f t="shared" si="49"/>
        <v>0.28662420382165604</v>
      </c>
      <c r="Y33" s="38">
        <f t="shared" si="49"/>
        <v>0.33078393881453155</v>
      </c>
      <c r="Z33" s="38">
        <f t="shared" si="49"/>
        <v>0.32887700534759357</v>
      </c>
      <c r="AA33" s="38">
        <f t="shared" si="49"/>
        <v>0.32979704797047971</v>
      </c>
      <c r="AB33" s="38">
        <f t="shared" ref="AB33:AD33" si="50">+AB32/AB26</f>
        <v>0.32861189801699714</v>
      </c>
      <c r="AC33" s="38">
        <f t="shared" si="50"/>
        <v>0.34986713906111599</v>
      </c>
      <c r="AD33" s="38">
        <f t="shared" si="50"/>
        <v>0.33957952468007307</v>
      </c>
      <c r="AE33" s="38">
        <f t="shared" ref="AE33:AH33" si="51">+AE32/AE26</f>
        <v>0.3192272309107636</v>
      </c>
      <c r="AF33" s="38">
        <f t="shared" si="51"/>
        <v>0.35557506584723442</v>
      </c>
      <c r="AG33" s="38">
        <f t="shared" si="51"/>
        <v>0.33782569631626236</v>
      </c>
      <c r="AH33" s="38">
        <f t="shared" si="51"/>
        <v>0.28796844181459563</v>
      </c>
      <c r="AI33" s="38">
        <f t="shared" ref="AI33:AK33" si="52">+AI32/AI26</f>
        <v>0.29722222222222217</v>
      </c>
      <c r="AJ33" s="38">
        <f t="shared" si="52"/>
        <v>0.2927411652340019</v>
      </c>
      <c r="AK33" s="38">
        <f t="shared" si="52"/>
        <v>0.29162248144220576</v>
      </c>
      <c r="AL33" s="38">
        <f t="shared" ref="AL33:AN33" si="53">+AL32/AL26</f>
        <v>0.28436911487758948</v>
      </c>
      <c r="AM33" s="408">
        <f t="shared" si="53"/>
        <v>0.28778054862842894</v>
      </c>
      <c r="AN33" s="408">
        <f t="shared" si="53"/>
        <v>0.26530612244897961</v>
      </c>
      <c r="AO33" s="456">
        <f>AL33</f>
        <v>0.28436911487758948</v>
      </c>
      <c r="AP33" s="41">
        <f>AP32/AP26</f>
        <v>0.27546412443552437</v>
      </c>
      <c r="AQ33" s="456">
        <v>0.30299999999999999</v>
      </c>
      <c r="AR33" s="456">
        <v>0.3</v>
      </c>
      <c r="AS33" s="41">
        <f>AS32/AS26</f>
        <v>0.30139071649151361</v>
      </c>
      <c r="AT33" s="456">
        <f>AQ33</f>
        <v>0.30299999999999999</v>
      </c>
      <c r="AU33" s="456">
        <f>AR33</f>
        <v>0.3</v>
      </c>
      <c r="AV33" s="41">
        <f>AV32/AV26</f>
        <v>0.30139769100651131</v>
      </c>
      <c r="AW33" s="456">
        <f>AT33</f>
        <v>0.30299999999999999</v>
      </c>
      <c r="AX33" s="456">
        <f>AU33</f>
        <v>0.3</v>
      </c>
      <c r="AY33" s="41">
        <f>AY32/AY26</f>
        <v>0.30139769100651131</v>
      </c>
      <c r="AZ33" s="456">
        <f>AW33</f>
        <v>0.30299999999999999</v>
      </c>
      <c r="BA33" s="456">
        <f>AX33</f>
        <v>0.3</v>
      </c>
      <c r="BB33" s="41">
        <f>BB32/BB26</f>
        <v>0.30139769100651126</v>
      </c>
    </row>
    <row r="34" spans="1:54">
      <c r="A34" s="14"/>
      <c r="B34" s="1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69"/>
      <c r="AN34" s="69"/>
      <c r="AO34" s="4"/>
      <c r="AP34" s="4"/>
      <c r="AQ34" s="4"/>
      <c r="AR34" s="4"/>
      <c r="AS34" s="4"/>
      <c r="AT34" s="4"/>
      <c r="AU34" s="4"/>
      <c r="AV34" s="4"/>
      <c r="AW34" s="4"/>
      <c r="AX34" s="4"/>
      <c r="AY34" s="4"/>
      <c r="AZ34" s="4"/>
      <c r="BA34" s="4"/>
      <c r="BB34" s="4"/>
    </row>
    <row r="35" spans="1:54">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07"/>
      <c r="AN35" s="407"/>
      <c r="AO35" s="49"/>
      <c r="AP35" s="49"/>
      <c r="AQ35" s="49"/>
      <c r="AR35" s="49"/>
      <c r="AS35" s="49"/>
      <c r="AT35" s="49"/>
      <c r="AU35" s="49"/>
      <c r="AV35" s="49"/>
      <c r="AW35" s="49"/>
      <c r="AX35" s="49"/>
      <c r="AY35" s="49"/>
      <c r="AZ35" s="49"/>
      <c r="BA35" s="49"/>
      <c r="BB35" s="49"/>
    </row>
    <row r="36" spans="1:5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32"/>
      <c r="AB36" s="32"/>
      <c r="AC36" s="124"/>
      <c r="AD36" s="32"/>
      <c r="AE36" s="32"/>
      <c r="AF36" s="124"/>
      <c r="AG36" s="32"/>
      <c r="AH36" s="32"/>
      <c r="AI36" s="32"/>
      <c r="AJ36" s="32"/>
      <c r="AK36" s="32"/>
      <c r="AL36" s="32"/>
      <c r="AM36" s="33"/>
      <c r="AN36" s="33"/>
      <c r="AO36" s="124"/>
      <c r="AP36" s="124"/>
      <c r="AQ36" s="124"/>
      <c r="AR36" s="124"/>
      <c r="AS36" s="124"/>
      <c r="AT36" s="124"/>
      <c r="AU36" s="124"/>
      <c r="AV36" s="124"/>
      <c r="AW36" s="124"/>
      <c r="AX36" s="124"/>
      <c r="AY36" s="124"/>
      <c r="AZ36" s="124"/>
      <c r="BA36" s="124"/>
      <c r="BB36" s="124"/>
    </row>
  </sheetData>
  <pageMargins left="0.7" right="0.7" top="0.75" bottom="0.75" header="0.3" footer="0.3"/>
  <pageSetup paperSize="8" scale="87" fitToHeight="0" orientation="landscape" horizontalDpi="90" verticalDpi="9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pageSetUpPr fitToPage="1"/>
  </sheetPr>
  <dimension ref="A3:BB30"/>
  <sheetViews>
    <sheetView zoomScaleNormal="100" workbookViewId="0">
      <pane xSplit="2" ySplit="3" topLeftCell="AE4" activePane="bottomRight" state="frozen"/>
      <selection pane="topRight" activeCell="C1" sqref="C1"/>
      <selection pane="bottomLeft" activeCell="A4" sqref="A4"/>
      <selection pane="bottomRight" activeCell="AJ51" sqref="AJ51"/>
    </sheetView>
  </sheetViews>
  <sheetFormatPr defaultColWidth="9.109375" defaultRowHeight="10.199999999999999" outlineLevelRow="1" outlineLevelCol="1"/>
  <cols>
    <col min="1" max="1" width="9.109375" style="7"/>
    <col min="2" max="2" width="30" style="7" customWidth="1"/>
    <col min="3" max="3" width="6.109375" style="119" customWidth="1"/>
    <col min="4" max="5" width="0" style="7" hidden="1" customWidth="1" outlineLevel="1"/>
    <col min="6" max="6" width="9.109375" style="7" collapsed="1"/>
    <col min="7" max="8" width="0" style="7" hidden="1" customWidth="1" outlineLevel="1"/>
    <col min="9" max="9" width="9.109375" style="7" collapsed="1"/>
    <col min="10" max="11" width="0" style="7" hidden="1" customWidth="1" outlineLevel="1"/>
    <col min="12" max="12" width="9.109375" style="7" collapsed="1"/>
    <col min="13" max="14" width="0" style="7" hidden="1" customWidth="1" outlineLevel="1"/>
    <col min="15" max="15" width="9.109375" style="7" collapsed="1"/>
    <col min="16" max="17" width="9.109375" style="7" hidden="1" customWidth="1" outlineLevel="1"/>
    <col min="18" max="18" width="9.109375" style="7" collapsed="1"/>
    <col min="19" max="20" width="9.109375" style="7" hidden="1" customWidth="1" outlineLevel="1"/>
    <col min="21" max="21" width="9.109375" style="7" collapsed="1"/>
    <col min="22" max="23" width="9.109375" style="7" hidden="1" customWidth="1" outlineLevel="1"/>
    <col min="24" max="24" width="9.109375" style="7" collapsed="1"/>
    <col min="25" max="26" width="9.109375" style="7" customWidth="1" outlineLevel="1"/>
    <col min="27" max="27" width="9.109375" style="7"/>
    <col min="28" max="29" width="9.109375" style="7" customWidth="1" outlineLevel="1"/>
    <col min="30" max="30" width="9.109375" style="7"/>
    <col min="31" max="32" width="9.109375" style="7" customWidth="1" outlineLevel="1"/>
    <col min="33" max="33" width="9.109375" style="7" customWidth="1"/>
    <col min="34" max="35" width="9.109375" style="7" customWidth="1" outlineLevel="1"/>
    <col min="36" max="36" width="9.109375" style="7"/>
    <col min="37" max="38" width="9.109375" style="7" customWidth="1" outlineLevel="1"/>
    <col min="39" max="39" width="9.109375" style="61"/>
    <col min="40" max="40" width="9.109375" style="118" customWidth="1" outlineLevel="1"/>
    <col min="41" max="41" width="9.109375" style="7" customWidth="1" outlineLevel="1"/>
    <col min="42" max="42" width="9.109375" style="7"/>
    <col min="43" max="44" width="9.109375" style="7" customWidth="1" outlineLevel="1"/>
    <col min="45" max="45" width="9.109375" style="7"/>
    <col min="46" max="47" width="9.109375" style="7" hidden="1" customWidth="1" outlineLevel="1"/>
    <col min="48" max="48" width="9.109375" style="7" collapsed="1"/>
    <col min="49" max="50" width="9.109375" style="7" hidden="1" customWidth="1" outlineLevel="1"/>
    <col min="51" max="51" width="9.109375" style="7" collapsed="1"/>
    <col min="52" max="53" width="9.109375" style="7" hidden="1" customWidth="1" outlineLevel="1"/>
    <col min="54" max="54" width="9.109375" style="7" collapsed="1"/>
    <col min="55" max="16384" width="9.109375" style="7"/>
  </cols>
  <sheetData>
    <row r="3" spans="1:54" s="19" customFormat="1">
      <c r="A3" s="15"/>
      <c r="B3" s="15" t="str">
        <f>'BS, CF and P&amp;L'!B6</f>
        <v>Year Ending June 30</v>
      </c>
      <c r="C3" s="156"/>
      <c r="D3" s="15" t="str">
        <f>'BS, CF and P&amp;L'!D6</f>
        <v>1H14A</v>
      </c>
      <c r="E3" s="15" t="str">
        <f>'BS, CF and P&amp;L'!E6</f>
        <v>2H14A</v>
      </c>
      <c r="F3" s="15" t="str">
        <f>'BS, CF and P&amp;L'!F6</f>
        <v/>
      </c>
      <c r="G3" s="15" t="str">
        <f>'BS, CF and P&amp;L'!G6</f>
        <v/>
      </c>
      <c r="H3" s="15" t="str">
        <f>'BS, CF and P&amp;L'!H6</f>
        <v/>
      </c>
      <c r="I3" s="15" t="str">
        <f>'BS, CF and P&amp;L'!I6</f>
        <v/>
      </c>
      <c r="J3" s="15" t="str">
        <f>'BS, CF and P&amp;L'!J6</f>
        <v/>
      </c>
      <c r="K3" s="15" t="str">
        <f>'BS, CF and P&amp;L'!K6</f>
        <v/>
      </c>
      <c r="L3" s="15" t="str">
        <f>'BS, CF and P&amp;L'!L6</f>
        <v/>
      </c>
      <c r="M3" s="15" t="str">
        <f>'BS, CF and P&amp;L'!M6</f>
        <v/>
      </c>
      <c r="N3" s="15" t="str">
        <f>'BS, CF and P&amp;L'!N6</f>
        <v/>
      </c>
      <c r="O3" s="15" t="str">
        <f>'BS, CF and P&amp;L'!O6</f>
        <v/>
      </c>
      <c r="P3" s="15" t="str">
        <f>'BS, CF and P&amp;L'!P6</f>
        <v/>
      </c>
      <c r="Q3" s="15" t="str">
        <f>'BS, CF and P&amp;L'!Q6</f>
        <v/>
      </c>
      <c r="R3" s="15" t="str">
        <f>'BS, CF and P&amp;L'!R6</f>
        <v/>
      </c>
      <c r="S3" s="15" t="str">
        <f>'BS, CF and P&amp;L'!S6</f>
        <v/>
      </c>
      <c r="T3" s="15" t="str">
        <f>'BS, CF and P&amp;L'!T6</f>
        <v/>
      </c>
      <c r="U3" s="15" t="str">
        <f>'BS, CF and P&amp;L'!U6</f>
        <v/>
      </c>
      <c r="V3" s="15" t="str">
        <f>'BS, CF and P&amp;L'!V6</f>
        <v>1H20A</v>
      </c>
      <c r="W3" s="15" t="str">
        <f>'BS, CF and P&amp;L'!W6</f>
        <v>2H20A</v>
      </c>
      <c r="X3" s="15" t="str">
        <f>'BS, CF and P&amp;L'!X6</f>
        <v>FY20A</v>
      </c>
      <c r="Y3" s="15" t="str">
        <f>'BS, CF and P&amp;L'!Y6</f>
        <v>1H21A</v>
      </c>
      <c r="Z3" s="15" t="str">
        <f>'BS, CF and P&amp;L'!Z6</f>
        <v>2H21A</v>
      </c>
      <c r="AA3" s="15" t="str">
        <f>'BS, CF and P&amp;L'!AA6</f>
        <v>FY21A</v>
      </c>
      <c r="AB3" s="15" t="str">
        <f>'BS, CF and P&amp;L'!AB6</f>
        <v>1H22A</v>
      </c>
      <c r="AC3" s="15" t="str">
        <f>'BS, CF and P&amp;L'!AC6</f>
        <v>2H22A</v>
      </c>
      <c r="AD3" s="15" t="str">
        <f>'BS, CF and P&amp;L'!AD6</f>
        <v>FY22A</v>
      </c>
      <c r="AE3" s="15" t="str">
        <f>'BS, CF and P&amp;L'!AE6</f>
        <v>1H23A</v>
      </c>
      <c r="AF3" s="15" t="str">
        <f>'BS, CF and P&amp;L'!AF6</f>
        <v>2H23A</v>
      </c>
      <c r="AG3" s="15" t="str">
        <f>'BS, CF and P&amp;L'!AG6</f>
        <v>FY23A</v>
      </c>
      <c r="AH3" s="15" t="str">
        <f>'BS, CF and P&amp;L'!AH6</f>
        <v>1H24A</v>
      </c>
      <c r="AI3" s="15" t="str">
        <f>'BS, CF and P&amp;L'!AI6</f>
        <v>2H24A</v>
      </c>
      <c r="AJ3" s="15" t="str">
        <f>'BS, CF and P&amp;L'!AJ6</f>
        <v>FY24A</v>
      </c>
      <c r="AK3" s="15" t="str">
        <f>'BS, CF and P&amp;L'!AK6</f>
        <v>1H25A</v>
      </c>
      <c r="AL3" s="15" t="str">
        <f>'BS, CF and P&amp;L'!AL6</f>
        <v>2H25A</v>
      </c>
      <c r="AM3" s="17" t="str">
        <f>'BS, CF and P&amp;L'!AM6</f>
        <v>FY25A</v>
      </c>
      <c r="AN3" s="62" t="str">
        <f>'BS, CF and P&amp;L'!AN6</f>
        <v>1H26A</v>
      </c>
      <c r="AO3" s="15" t="str">
        <f>'BS, CF and P&amp;L'!AO6</f>
        <v>2H26E</v>
      </c>
      <c r="AP3" s="15" t="str">
        <f>'BS, CF and P&amp;L'!AP6</f>
        <v>FY26E</v>
      </c>
      <c r="AQ3" s="15" t="str">
        <f>'BS, CF and P&amp;L'!AQ6</f>
        <v>1H27E</v>
      </c>
      <c r="AR3" s="15" t="str">
        <f>'BS, CF and P&amp;L'!AR6</f>
        <v>2H27E</v>
      </c>
      <c r="AS3" s="15" t="str">
        <f>'BS, CF and P&amp;L'!AS6</f>
        <v>FY27E</v>
      </c>
      <c r="AT3" s="15" t="str">
        <f>'BS, CF and P&amp;L'!AT6</f>
        <v>1H28E</v>
      </c>
      <c r="AU3" s="15" t="str">
        <f>'BS, CF and P&amp;L'!AU6</f>
        <v>2H28E</v>
      </c>
      <c r="AV3" s="15" t="str">
        <f>'BS, CF and P&amp;L'!AV6</f>
        <v>FY28E</v>
      </c>
      <c r="AW3" s="15" t="str">
        <f>'BS, CF and P&amp;L'!AW6</f>
        <v>1H29E</v>
      </c>
      <c r="AX3" s="15" t="str">
        <f>'BS, CF and P&amp;L'!AX6</f>
        <v>2H29E</v>
      </c>
      <c r="AY3" s="15" t="str">
        <f>'BS, CF and P&amp;L'!AY6</f>
        <v>FY29E</v>
      </c>
      <c r="AZ3" s="15" t="str">
        <f>'BS, CF and P&amp;L'!AZ6</f>
        <v>1H30E</v>
      </c>
      <c r="BA3" s="15" t="str">
        <f>'BS, CF and P&amp;L'!BA6</f>
        <v>2H30E</v>
      </c>
      <c r="BB3" s="15" t="str">
        <f>'BS, CF and P&amp;L'!BB6</f>
        <v>FY30E</v>
      </c>
    </row>
    <row r="5" spans="1:54">
      <c r="B5" s="14" t="s">
        <v>267</v>
      </c>
      <c r="M5" s="31"/>
      <c r="O5" s="31"/>
      <c r="X5" s="171"/>
      <c r="AA5" s="171"/>
      <c r="AD5" s="171"/>
      <c r="AG5" s="171"/>
      <c r="AJ5" s="171"/>
      <c r="AM5" s="425"/>
    </row>
    <row r="7" spans="1:54">
      <c r="B7" s="7" t="s">
        <v>268</v>
      </c>
      <c r="M7" s="31">
        <v>-50.762999999999998</v>
      </c>
      <c r="N7" s="30">
        <f>O7-M7</f>
        <v>50.762999999999998</v>
      </c>
      <c r="O7" s="31"/>
      <c r="P7" s="31"/>
      <c r="Q7" s="30"/>
      <c r="R7" s="31"/>
      <c r="S7" s="31"/>
      <c r="T7" s="30"/>
      <c r="U7" s="31"/>
      <c r="V7" s="31">
        <v>-52.357999999999997</v>
      </c>
      <c r="W7" s="30">
        <f>X7-V7</f>
        <v>-45.419000000000004</v>
      </c>
      <c r="X7" s="31">
        <v>-97.777000000000001</v>
      </c>
      <c r="Y7" s="31">
        <v>-61.694000000000003</v>
      </c>
      <c r="Z7" s="30">
        <f>AA7-Y7</f>
        <v>-65.759999999999991</v>
      </c>
      <c r="AA7" s="31">
        <v>-127.45399999999999</v>
      </c>
      <c r="AB7" s="31">
        <v>-67.251999999999995</v>
      </c>
      <c r="AC7" s="30">
        <f>AD7-AB7</f>
        <v>-56.181000000000012</v>
      </c>
      <c r="AD7" s="31">
        <v>-123.43300000000001</v>
      </c>
      <c r="AE7" s="31">
        <v>-56.825000000000003</v>
      </c>
      <c r="AF7" s="30">
        <f>AG7-AE7</f>
        <v>-51.944000000000003</v>
      </c>
      <c r="AG7" s="31">
        <v>-108.76900000000001</v>
      </c>
      <c r="AH7" s="31">
        <v>-42.848999999999997</v>
      </c>
      <c r="AI7" s="30">
        <f>AJ7-AH7</f>
        <v>-43.006999999999998</v>
      </c>
      <c r="AJ7" s="31">
        <v>-85.855999999999995</v>
      </c>
      <c r="AK7" s="31">
        <v>-36.201000000000001</v>
      </c>
      <c r="AL7" s="30">
        <f>AM7-AK7</f>
        <v>-39.898999999999994</v>
      </c>
      <c r="AM7" s="402">
        <v>-76.099999999999994</v>
      </c>
      <c r="AN7" s="627">
        <v>-37.520000000000003</v>
      </c>
      <c r="AO7" s="30">
        <f>+AL7</f>
        <v>-39.898999999999994</v>
      </c>
      <c r="AP7" s="30">
        <f>AO7+AN7</f>
        <v>-77.418999999999997</v>
      </c>
      <c r="AQ7" s="30">
        <f>+AN7</f>
        <v>-37.520000000000003</v>
      </c>
      <c r="AR7" s="30">
        <f>+AO7</f>
        <v>-39.898999999999994</v>
      </c>
      <c r="AS7" s="30">
        <f>AR7+AQ7</f>
        <v>-77.418999999999997</v>
      </c>
      <c r="AT7" s="30">
        <f>+AQ7</f>
        <v>-37.520000000000003</v>
      </c>
      <c r="AU7" s="30">
        <f>+AR7</f>
        <v>-39.898999999999994</v>
      </c>
      <c r="AV7" s="30">
        <f>AU7+AT7</f>
        <v>-77.418999999999997</v>
      </c>
      <c r="AW7" s="30">
        <f>+AT7</f>
        <v>-37.520000000000003</v>
      </c>
      <c r="AX7" s="30">
        <f>+AU7</f>
        <v>-39.898999999999994</v>
      </c>
      <c r="AY7" s="30">
        <f>AX7+AW7</f>
        <v>-77.418999999999997</v>
      </c>
      <c r="AZ7" s="30">
        <f>+AW7</f>
        <v>-37.520000000000003</v>
      </c>
      <c r="BA7" s="30">
        <f>+AX7</f>
        <v>-39.898999999999994</v>
      </c>
      <c r="BB7" s="30">
        <f>BA7+AZ7</f>
        <v>-77.418999999999997</v>
      </c>
    </row>
    <row r="8" spans="1:54">
      <c r="B8" s="14" t="s">
        <v>160</v>
      </c>
      <c r="M8" s="30">
        <f>M5+M7</f>
        <v>-50.762999999999998</v>
      </c>
      <c r="N8" s="30">
        <f>N5+N7</f>
        <v>50.762999999999998</v>
      </c>
      <c r="O8" s="30"/>
      <c r="P8" s="30"/>
      <c r="Q8" s="30"/>
      <c r="R8" s="30"/>
      <c r="S8" s="30"/>
      <c r="T8" s="30"/>
      <c r="U8" s="30"/>
      <c r="V8" s="30">
        <f t="shared" ref="V8:AB8" si="0">V5+V7</f>
        <v>-52.357999999999997</v>
      </c>
      <c r="W8" s="30">
        <f t="shared" si="0"/>
        <v>-45.419000000000004</v>
      </c>
      <c r="X8" s="30">
        <f t="shared" si="0"/>
        <v>-97.777000000000001</v>
      </c>
      <c r="Y8" s="30">
        <f t="shared" si="0"/>
        <v>-61.694000000000003</v>
      </c>
      <c r="Z8" s="30">
        <f t="shared" si="0"/>
        <v>-65.759999999999991</v>
      </c>
      <c r="AA8" s="30">
        <f t="shared" si="0"/>
        <v>-127.45399999999999</v>
      </c>
      <c r="AB8" s="30">
        <f t="shared" si="0"/>
        <v>-67.251999999999995</v>
      </c>
      <c r="AC8" s="30">
        <f t="shared" ref="AC8:AE8" si="1">AC5+AC7</f>
        <v>-56.181000000000012</v>
      </c>
      <c r="AD8" s="30">
        <f t="shared" si="1"/>
        <v>-123.43300000000001</v>
      </c>
      <c r="AE8" s="30">
        <f t="shared" si="1"/>
        <v>-56.825000000000003</v>
      </c>
      <c r="AF8" s="30">
        <f t="shared" ref="AF8:AG8" si="2">AF5+AF7</f>
        <v>-51.944000000000003</v>
      </c>
      <c r="AG8" s="30">
        <f t="shared" si="2"/>
        <v>-108.76900000000001</v>
      </c>
      <c r="AH8" s="30">
        <f>AH7</f>
        <v>-42.848999999999997</v>
      </c>
      <c r="AI8" s="30">
        <f t="shared" ref="AI8:AJ8" si="3">AI5+AI7</f>
        <v>-43.006999999999998</v>
      </c>
      <c r="AJ8" s="30">
        <f t="shared" si="3"/>
        <v>-85.855999999999995</v>
      </c>
      <c r="AK8" s="30">
        <f>AK7</f>
        <v>-36.201000000000001</v>
      </c>
      <c r="AL8" s="30">
        <f t="shared" ref="AL8:AM8" si="4">AL5+AL7</f>
        <v>-39.898999999999994</v>
      </c>
      <c r="AM8" s="405">
        <f t="shared" si="4"/>
        <v>-76.099999999999994</v>
      </c>
      <c r="AN8" s="600">
        <f>AN7</f>
        <v>-37.520000000000003</v>
      </c>
      <c r="AO8" s="30">
        <f>AO7</f>
        <v>-39.898999999999994</v>
      </c>
      <c r="AP8" s="30">
        <f>AO8+AN8</f>
        <v>-77.418999999999997</v>
      </c>
      <c r="AQ8" s="30">
        <f>AQ7</f>
        <v>-37.520000000000003</v>
      </c>
      <c r="AR8" s="30">
        <f>AR7</f>
        <v>-39.898999999999994</v>
      </c>
      <c r="AS8" s="30">
        <f>AR8+AQ8</f>
        <v>-77.418999999999997</v>
      </c>
      <c r="AT8" s="30">
        <f>AT7</f>
        <v>-37.520000000000003</v>
      </c>
      <c r="AU8" s="30">
        <f>AU7</f>
        <v>-39.898999999999994</v>
      </c>
      <c r="AV8" s="30">
        <f>AU8+AT8</f>
        <v>-77.418999999999997</v>
      </c>
      <c r="AW8" s="30">
        <f>AW7</f>
        <v>-37.520000000000003</v>
      </c>
      <c r="AX8" s="30">
        <f>AX7</f>
        <v>-39.898999999999994</v>
      </c>
      <c r="AY8" s="30">
        <f>AX8+AW8</f>
        <v>-77.418999999999997</v>
      </c>
      <c r="AZ8" s="30">
        <f>AZ7</f>
        <v>-37.520000000000003</v>
      </c>
      <c r="BA8" s="30">
        <f>BA7</f>
        <v>-39.898999999999994</v>
      </c>
      <c r="BB8" s="30">
        <f>BA8+AZ8</f>
        <v>-77.418999999999997</v>
      </c>
    </row>
    <row r="9" spans="1:54">
      <c r="B9" s="7" t="s">
        <v>154</v>
      </c>
    </row>
    <row r="11" spans="1:54">
      <c r="B11" s="7" t="s">
        <v>61</v>
      </c>
      <c r="M11" s="31">
        <f>0.256+0.066</f>
        <v>0.32200000000000001</v>
      </c>
      <c r="N11" s="30">
        <f>O11-M11</f>
        <v>-0.32200000000000001</v>
      </c>
      <c r="O11" s="31"/>
      <c r="P11" s="31"/>
      <c r="Q11" s="30"/>
      <c r="R11" s="31"/>
      <c r="S11" s="31"/>
      <c r="T11" s="30"/>
      <c r="U11" s="31"/>
      <c r="V11" s="31">
        <f>0.475+0.049</f>
        <v>0.52400000000000002</v>
      </c>
      <c r="W11" s="30">
        <f>X11-V11</f>
        <v>0.52200000000000002</v>
      </c>
      <c r="X11" s="31">
        <f>0.135+0.911</f>
        <v>1.046</v>
      </c>
      <c r="Y11" s="31">
        <f>0.478+0.092</f>
        <v>0.56999999999999995</v>
      </c>
      <c r="Z11" s="30">
        <f>AA11-Y11</f>
        <v>0.6</v>
      </c>
      <c r="AA11" s="31">
        <f>0.185+0.985</f>
        <v>1.17</v>
      </c>
      <c r="AB11" s="31">
        <f>0.092+0.477</f>
        <v>0.56899999999999995</v>
      </c>
      <c r="AC11" s="30">
        <f>AD11-AB11</f>
        <v>0.62799999999999989</v>
      </c>
      <c r="AD11" s="31">
        <f>0.178+1.019</f>
        <v>1.1969999999999998</v>
      </c>
      <c r="AE11" s="31">
        <f>0.352+0.083</f>
        <v>0.435</v>
      </c>
      <c r="AF11" s="30">
        <f>AG11-AE11</f>
        <v>0.44700000000000001</v>
      </c>
      <c r="AG11" s="31">
        <f>0.167+0.715</f>
        <v>0.88200000000000001</v>
      </c>
      <c r="AH11" s="31">
        <f>0.416+0.082</f>
        <v>0.498</v>
      </c>
      <c r="AI11" s="30">
        <f>AJ11-AH11</f>
        <v>0.43000000000000005</v>
      </c>
      <c r="AJ11" s="31">
        <f>0.254+0.674</f>
        <v>0.92800000000000005</v>
      </c>
      <c r="AK11" s="31">
        <f>0.161+0.319</f>
        <v>0.48</v>
      </c>
      <c r="AL11" s="30">
        <f>AM11-AK11</f>
        <v>0.69700000000000006</v>
      </c>
      <c r="AM11" s="402">
        <f>0.319+1.058-0.2</f>
        <v>1.177</v>
      </c>
      <c r="AN11" s="627">
        <f>0.163+0.693</f>
        <v>0.85599999999999998</v>
      </c>
      <c r="AO11" s="30">
        <f>AN11</f>
        <v>0.85599999999999998</v>
      </c>
      <c r="AP11" s="30">
        <f>AO11+AN11</f>
        <v>1.712</v>
      </c>
      <c r="AQ11" s="30">
        <f>AO11</f>
        <v>0.85599999999999998</v>
      </c>
      <c r="AR11" s="30">
        <f>AQ11</f>
        <v>0.85599999999999998</v>
      </c>
      <c r="AS11" s="30">
        <f>AR11+AQ11</f>
        <v>1.712</v>
      </c>
      <c r="AT11" s="30">
        <f>AR11</f>
        <v>0.85599999999999998</v>
      </c>
      <c r="AU11" s="30">
        <f>AT11</f>
        <v>0.85599999999999998</v>
      </c>
      <c r="AV11" s="30">
        <f>AU11+AT11</f>
        <v>1.712</v>
      </c>
      <c r="AW11" s="30">
        <f>AU11</f>
        <v>0.85599999999999998</v>
      </c>
      <c r="AX11" s="30">
        <f>AW11</f>
        <v>0.85599999999999998</v>
      </c>
      <c r="AY11" s="30">
        <f>AX11+AW11</f>
        <v>1.712</v>
      </c>
      <c r="AZ11" s="30">
        <f>AX11</f>
        <v>0.85599999999999998</v>
      </c>
      <c r="BA11" s="30">
        <f>AZ11</f>
        <v>0.85599999999999998</v>
      </c>
      <c r="BB11" s="30">
        <f>BA11+AZ11</f>
        <v>1.712</v>
      </c>
    </row>
    <row r="12" spans="1:54" s="153" customFormat="1">
      <c r="A12" s="126"/>
      <c r="B12" s="126" t="s">
        <v>401</v>
      </c>
      <c r="C12" s="127"/>
      <c r="M12" s="128">
        <f>M15+M11</f>
        <v>-1.3749999999999991</v>
      </c>
      <c r="N12" s="128">
        <f>N15+N11</f>
        <v>1.3749999999999991</v>
      </c>
      <c r="O12" s="128"/>
      <c r="P12" s="128"/>
      <c r="Q12" s="128"/>
      <c r="R12" s="128"/>
      <c r="S12" s="128"/>
      <c r="T12" s="128"/>
      <c r="U12" s="128"/>
      <c r="V12" s="129">
        <v>-1.5549999999999999</v>
      </c>
      <c r="W12" s="128">
        <f>X12-V12</f>
        <v>-1.1570000000000003</v>
      </c>
      <c r="X12" s="129">
        <v>-2.7120000000000002</v>
      </c>
      <c r="Y12" s="129">
        <v>-1.36</v>
      </c>
      <c r="Z12" s="128">
        <f>AA12-Y12</f>
        <v>-5.1749999999999998</v>
      </c>
      <c r="AA12" s="391">
        <v>-6.5350000000000001</v>
      </c>
      <c r="AB12" s="391">
        <f>125.5-56.9-23.7-47.6</f>
        <v>-2.7000000000000099</v>
      </c>
      <c r="AC12" s="128">
        <f>AD12-AB12</f>
        <v>-3.8979999999999899</v>
      </c>
      <c r="AD12" s="391">
        <v>-6.5979999999999999</v>
      </c>
      <c r="AE12" s="391">
        <f>128.1-Americas!AE16-'Asia Pacific'!AE14-EMEA!AE13</f>
        <v>-3.3999999999999986</v>
      </c>
      <c r="AF12" s="128">
        <f>AG12-AE12</f>
        <v>-1.2090000000000014</v>
      </c>
      <c r="AG12" s="391">
        <f>-7.621+3.012</f>
        <v>-4.609</v>
      </c>
      <c r="AH12" s="391">
        <f>124.8-Americas!AH16-'Asia Pacific'!AH14-EMEA!AH13</f>
        <v>-5.3000000000000043</v>
      </c>
      <c r="AI12" s="392">
        <f>AJ12-AH12</f>
        <v>-3.6709999999999958</v>
      </c>
      <c r="AJ12" s="391">
        <f>-8.658+-0.313</f>
        <v>-8.9710000000000001</v>
      </c>
      <c r="AK12" s="391">
        <f>143.8-Americas!AK16-'Asia Pacific'!AK14-EMEA!AK13</f>
        <v>-2.4999999999999858</v>
      </c>
      <c r="AL12" s="392">
        <f>AM12-AK12</f>
        <v>-2.800000000000014</v>
      </c>
      <c r="AM12" s="403">
        <v>-5.3</v>
      </c>
      <c r="AN12" s="391">
        <f>111.099-Americas!AN16-'Asia Pacific'!AN14-EMEA!AN13</f>
        <v>-4.0009999999999906</v>
      </c>
      <c r="AO12" s="128">
        <f t="shared" ref="AO12" si="5">AO15+AO11</f>
        <v>-4.3089638326225899</v>
      </c>
      <c r="AP12" s="128">
        <f t="shared" ref="AP12:BB12" si="6">AP15+AP11</f>
        <v>-8.3099638326225804</v>
      </c>
      <c r="AQ12" s="128">
        <f t="shared" si="6"/>
        <v>-4.0009999999999906</v>
      </c>
      <c r="AR12" s="128">
        <f t="shared" si="6"/>
        <v>-4.3089638326225899</v>
      </c>
      <c r="AS12" s="128">
        <f t="shared" si="6"/>
        <v>-8.3099638326225804</v>
      </c>
      <c r="AT12" s="128">
        <f t="shared" si="6"/>
        <v>-4.0009999999999906</v>
      </c>
      <c r="AU12" s="128">
        <f t="shared" si="6"/>
        <v>-4.3089638326225899</v>
      </c>
      <c r="AV12" s="128">
        <f t="shared" si="6"/>
        <v>-8.3099638326225804</v>
      </c>
      <c r="AW12" s="128">
        <f t="shared" si="6"/>
        <v>-4.0009999999999906</v>
      </c>
      <c r="AX12" s="128">
        <f t="shared" si="6"/>
        <v>-4.3089638326225899</v>
      </c>
      <c r="AY12" s="128">
        <f t="shared" si="6"/>
        <v>-8.3099638326225804</v>
      </c>
      <c r="AZ12" s="128">
        <f t="shared" si="6"/>
        <v>-4.0009999999999906</v>
      </c>
      <c r="BA12" s="128">
        <f t="shared" si="6"/>
        <v>-4.3089638326225899</v>
      </c>
      <c r="BB12" s="128">
        <f t="shared" si="6"/>
        <v>-8.3099638326225804</v>
      </c>
    </row>
    <row r="13" spans="1:54">
      <c r="B13" s="7" t="s">
        <v>422</v>
      </c>
      <c r="M13" s="418">
        <f>M12/M8</f>
        <v>2.708665760494847E-2</v>
      </c>
      <c r="N13" s="418">
        <f>N12/N8</f>
        <v>2.708665760494847E-2</v>
      </c>
      <c r="O13" s="418"/>
      <c r="P13" s="130"/>
      <c r="Q13" s="418"/>
      <c r="R13" s="418"/>
      <c r="S13" s="130"/>
      <c r="T13" s="418"/>
      <c r="U13" s="418"/>
      <c r="V13" s="130">
        <f t="shared" ref="V13:AA13" si="7">V12/V8</f>
        <v>2.9699377363535659E-2</v>
      </c>
      <c r="W13" s="418">
        <f t="shared" si="7"/>
        <v>2.5473920605913827E-2</v>
      </c>
      <c r="X13" s="418">
        <f t="shared" si="7"/>
        <v>2.7736584268283952E-2</v>
      </c>
      <c r="Y13" s="130">
        <f t="shared" si="7"/>
        <v>2.2044283074529127E-2</v>
      </c>
      <c r="Z13" s="418">
        <f t="shared" si="7"/>
        <v>7.8695255474452566E-2</v>
      </c>
      <c r="AA13" s="462">
        <f t="shared" si="7"/>
        <v>5.1273400599431952E-2</v>
      </c>
      <c r="AB13" s="38">
        <f t="shared" ref="AB13:AD13" si="8">AB12/AB8</f>
        <v>4.0147504906917417E-2</v>
      </c>
      <c r="AC13" s="418">
        <f t="shared" si="8"/>
        <v>6.9382887453053335E-2</v>
      </c>
      <c r="AD13" s="462">
        <f t="shared" si="8"/>
        <v>5.3454100605186614E-2</v>
      </c>
      <c r="AE13" s="38">
        <f>AE12/AE8</f>
        <v>5.983282006159258E-2</v>
      </c>
      <c r="AF13" s="418">
        <f t="shared" ref="AF13:AG13" si="9">AF12/AF8</f>
        <v>2.3275065455105524E-2</v>
      </c>
      <c r="AG13" s="462">
        <f t="shared" si="9"/>
        <v>4.2374205885868217E-2</v>
      </c>
      <c r="AH13" s="38">
        <f>AH12/AH8</f>
        <v>0.12369016779854849</v>
      </c>
      <c r="AI13" s="462">
        <f t="shared" ref="AI13:AJ13" si="10">AI12/AI8</f>
        <v>8.5358197502732019E-2</v>
      </c>
      <c r="AJ13" s="462">
        <f t="shared" si="10"/>
        <v>0.10448891166604547</v>
      </c>
      <c r="AK13" s="38">
        <f>AK12/AK8</f>
        <v>6.9058865777188089E-2</v>
      </c>
      <c r="AL13" s="462">
        <f t="shared" ref="AL13:AM13" si="11">AL12/AL8</f>
        <v>7.017719742349468E-2</v>
      </c>
      <c r="AM13" s="567">
        <f t="shared" si="11"/>
        <v>6.9645203679369258E-2</v>
      </c>
      <c r="AN13" s="586">
        <f>AN12/AN8</f>
        <v>0.10663646055437075</v>
      </c>
    </row>
    <row r="14" spans="1:54">
      <c r="M14" s="418"/>
      <c r="O14" s="418"/>
    </row>
    <row r="15" spans="1:54" s="153" customFormat="1">
      <c r="A15" s="126"/>
      <c r="B15" s="126" t="s">
        <v>402</v>
      </c>
      <c r="C15" s="127"/>
      <c r="M15" s="129">
        <f>-9.004+7.307</f>
        <v>-1.6969999999999992</v>
      </c>
      <c r="N15" s="128">
        <f>O15-M15</f>
        <v>1.6969999999999992</v>
      </c>
      <c r="O15" s="129"/>
      <c r="P15" s="129"/>
      <c r="Q15" s="128"/>
      <c r="R15" s="128"/>
      <c r="S15" s="128"/>
      <c r="T15" s="128"/>
      <c r="U15" s="128"/>
      <c r="V15" s="128">
        <f>'BS, CF and P&amp;L'!V45</f>
        <v>-2.0790000000000077</v>
      </c>
      <c r="W15" s="128">
        <f>X15-V15</f>
        <v>-1.6789999999999923</v>
      </c>
      <c r="X15" s="128">
        <f t="shared" ref="X15:AD15" si="12">X12-X11</f>
        <v>-3.758</v>
      </c>
      <c r="Y15" s="128">
        <f t="shared" si="12"/>
        <v>-1.9300000000000002</v>
      </c>
      <c r="Z15" s="128">
        <f t="shared" si="12"/>
        <v>-5.7749999999999995</v>
      </c>
      <c r="AA15" s="392">
        <f t="shared" si="12"/>
        <v>-7.7050000000000001</v>
      </c>
      <c r="AB15" s="392">
        <f t="shared" si="12"/>
        <v>-3.2690000000000099</v>
      </c>
      <c r="AC15" s="128">
        <f t="shared" si="12"/>
        <v>-4.52599999999999</v>
      </c>
      <c r="AD15" s="392">
        <f t="shared" si="12"/>
        <v>-7.7949999999999999</v>
      </c>
      <c r="AE15" s="392">
        <f t="shared" ref="AE15:AH15" si="13">AE12-AE11</f>
        <v>-3.8349999999999986</v>
      </c>
      <c r="AF15" s="128">
        <f t="shared" si="13"/>
        <v>-1.6560000000000015</v>
      </c>
      <c r="AG15" s="392">
        <f t="shared" si="13"/>
        <v>-5.4909999999999997</v>
      </c>
      <c r="AH15" s="392">
        <f t="shared" si="13"/>
        <v>-5.7980000000000045</v>
      </c>
      <c r="AI15" s="392">
        <f t="shared" ref="AI15:AK15" si="14">AI12-AI11</f>
        <v>-4.1009999999999955</v>
      </c>
      <c r="AJ15" s="392">
        <f t="shared" si="14"/>
        <v>-9.8990000000000009</v>
      </c>
      <c r="AK15" s="392">
        <f t="shared" si="14"/>
        <v>-2.9799999999999858</v>
      </c>
      <c r="AL15" s="392">
        <f t="shared" ref="AL15:AN15" si="15">AL12-AL11</f>
        <v>-3.4970000000000141</v>
      </c>
      <c r="AM15" s="409">
        <f t="shared" si="15"/>
        <v>-6.4770000000000003</v>
      </c>
      <c r="AN15" s="631">
        <f t="shared" si="15"/>
        <v>-4.8569999999999904</v>
      </c>
      <c r="AO15" s="128">
        <f>AO8*AO16</f>
        <v>-5.1649638326225897</v>
      </c>
      <c r="AP15" s="128">
        <f>AO15+AN15</f>
        <v>-10.02196383262258</v>
      </c>
      <c r="AQ15" s="128">
        <f>AQ8*AQ16</f>
        <v>-4.8569999999999904</v>
      </c>
      <c r="AR15" s="128">
        <f>AR8*AR16</f>
        <v>-5.1649638326225897</v>
      </c>
      <c r="AS15" s="128">
        <f>AR15+AQ15</f>
        <v>-10.02196383262258</v>
      </c>
      <c r="AT15" s="128">
        <f>AT8*AT16</f>
        <v>-4.8569999999999904</v>
      </c>
      <c r="AU15" s="128">
        <f>AU8*AU16</f>
        <v>-5.1649638326225897</v>
      </c>
      <c r="AV15" s="128">
        <f>AU15+AT15</f>
        <v>-10.02196383262258</v>
      </c>
      <c r="AW15" s="128">
        <f>AW8*AW16</f>
        <v>-4.8569999999999904</v>
      </c>
      <c r="AX15" s="128">
        <f>AX8*AX16</f>
        <v>-5.1649638326225897</v>
      </c>
      <c r="AY15" s="128">
        <f>AX15+AW15</f>
        <v>-10.02196383262258</v>
      </c>
      <c r="AZ15" s="128">
        <f>AZ8*AZ16</f>
        <v>-4.8569999999999904</v>
      </c>
      <c r="BA15" s="128">
        <f>BA8*BA16</f>
        <v>-5.1649638326225897</v>
      </c>
      <c r="BB15" s="128">
        <f>BA15+AZ15</f>
        <v>-10.02196383262258</v>
      </c>
    </row>
    <row r="16" spans="1:54">
      <c r="B16" s="7" t="s">
        <v>422</v>
      </c>
      <c r="M16" s="418">
        <f>M15/M8</f>
        <v>3.342986033134368E-2</v>
      </c>
      <c r="N16" s="418">
        <f>N15/N8</f>
        <v>3.342986033134368E-2</v>
      </c>
      <c r="O16" s="418"/>
      <c r="P16" s="130"/>
      <c r="Q16" s="418"/>
      <c r="R16" s="418"/>
      <c r="S16" s="130"/>
      <c r="T16" s="130"/>
      <c r="U16" s="418"/>
      <c r="V16" s="130">
        <f>V15/V8</f>
        <v>3.9707399060315673E-2</v>
      </c>
      <c r="W16" s="130">
        <f>V16</f>
        <v>3.9707399060315673E-2</v>
      </c>
      <c r="X16" s="418">
        <f t="shared" ref="X16:AD16" si="16">X15/X8</f>
        <v>3.8434396637245981E-2</v>
      </c>
      <c r="Y16" s="418">
        <f t="shared" si="16"/>
        <v>3.1283431127824425E-2</v>
      </c>
      <c r="Z16" s="418">
        <f t="shared" si="16"/>
        <v>8.7819343065693431E-2</v>
      </c>
      <c r="AA16" s="462">
        <f t="shared" si="16"/>
        <v>6.0453183109200184E-2</v>
      </c>
      <c r="AB16" s="462">
        <f t="shared" si="16"/>
        <v>4.8608219829893683E-2</v>
      </c>
      <c r="AC16" s="418">
        <f t="shared" si="16"/>
        <v>8.0561043769245638E-2</v>
      </c>
      <c r="AD16" s="462">
        <f t="shared" si="16"/>
        <v>6.3151669326679247E-2</v>
      </c>
      <c r="AE16" s="462">
        <f t="shared" ref="AE16:AH16" si="17">AE15/AE8</f>
        <v>6.748790145182576E-2</v>
      </c>
      <c r="AF16" s="418">
        <f t="shared" si="17"/>
        <v>3.1880486677960909E-2</v>
      </c>
      <c r="AG16" s="462">
        <f t="shared" si="17"/>
        <v>5.048313398118949E-2</v>
      </c>
      <c r="AH16" s="38">
        <f t="shared" si="17"/>
        <v>0.13531237601811022</v>
      </c>
      <c r="AI16" s="462">
        <f t="shared" ref="AI16:AK16" si="18">AI15/AI8</f>
        <v>9.5356569860720247E-2</v>
      </c>
      <c r="AJ16" s="462">
        <f t="shared" si="18"/>
        <v>0.11529770778978757</v>
      </c>
      <c r="AK16" s="38">
        <f t="shared" si="18"/>
        <v>8.2318168006408274E-2</v>
      </c>
      <c r="AL16" s="462">
        <f t="shared" ref="AL16:AN16" si="19">AL15/AL8</f>
        <v>8.7646306924985956E-2</v>
      </c>
      <c r="AM16" s="567">
        <f t="shared" si="19"/>
        <v>8.5111695137976354E-2</v>
      </c>
      <c r="AN16" s="586">
        <f t="shared" si="19"/>
        <v>0.12945095948827265</v>
      </c>
      <c r="AO16" s="130">
        <f>AN16</f>
        <v>0.12945095948827265</v>
      </c>
      <c r="AP16" s="130">
        <f>AP15/AP8</f>
        <v>0.12945095948827265</v>
      </c>
      <c r="AQ16" s="130">
        <f>AP16</f>
        <v>0.12945095948827265</v>
      </c>
      <c r="AR16" s="130">
        <f>AQ16</f>
        <v>0.12945095948827265</v>
      </c>
      <c r="AS16" s="130">
        <f>AS15/AS8</f>
        <v>0.12945095948827265</v>
      </c>
      <c r="AT16" s="130">
        <f>AS16</f>
        <v>0.12945095948827265</v>
      </c>
      <c r="AU16" s="130">
        <f>AT16</f>
        <v>0.12945095948827265</v>
      </c>
      <c r="AV16" s="130">
        <f>AV15/AV8</f>
        <v>0.12945095948827265</v>
      </c>
      <c r="AW16" s="130">
        <f>AV16</f>
        <v>0.12945095948827265</v>
      </c>
      <c r="AX16" s="130">
        <f>AW16</f>
        <v>0.12945095948827265</v>
      </c>
      <c r="AY16" s="130">
        <f>AY15/AY8</f>
        <v>0.12945095948827265</v>
      </c>
      <c r="AZ16" s="130">
        <f>AY16</f>
        <v>0.12945095948827265</v>
      </c>
      <c r="BA16" s="130">
        <f>AZ16</f>
        <v>0.12945095948827265</v>
      </c>
      <c r="BB16" s="130">
        <f>BB15/BB8</f>
        <v>0.12945095948827265</v>
      </c>
    </row>
    <row r="17" spans="1:40">
      <c r="B17" s="7" t="s">
        <v>154</v>
      </c>
      <c r="P17" s="30"/>
      <c r="R17" s="30"/>
      <c r="U17" s="30"/>
      <c r="X17" s="30"/>
      <c r="AA17" s="30"/>
      <c r="AD17" s="30"/>
      <c r="AG17" s="30"/>
      <c r="AJ17" s="30"/>
      <c r="AM17" s="405"/>
    </row>
    <row r="18" spans="1:40">
      <c r="P18" s="30"/>
      <c r="R18" s="30"/>
      <c r="U18" s="30"/>
      <c r="X18" s="30"/>
      <c r="AA18" s="30"/>
      <c r="AD18" s="30"/>
      <c r="AG18" s="30"/>
      <c r="AJ18" s="30"/>
      <c r="AM18" s="405"/>
    </row>
    <row r="19" spans="1:40">
      <c r="B19" s="7" t="s">
        <v>399</v>
      </c>
      <c r="P19" s="30"/>
      <c r="R19" s="31"/>
      <c r="U19" s="31"/>
      <c r="V19" s="31">
        <v>-1.5549999999999999</v>
      </c>
      <c r="W19" s="30">
        <f>X19-V19</f>
        <v>-1.2569999999999999</v>
      </c>
      <c r="X19" s="31">
        <v>-2.8119999999999998</v>
      </c>
      <c r="Y19" s="31">
        <v>-1.36</v>
      </c>
      <c r="Z19" s="30">
        <f>AA19-Y19</f>
        <v>-5.1749999999999998</v>
      </c>
      <c r="AA19" s="31">
        <v>-6.5350000000000001</v>
      </c>
      <c r="AB19" s="31">
        <v>-1.359</v>
      </c>
      <c r="AC19" s="30">
        <f>AD19-AB19</f>
        <v>-5.2389999999999999</v>
      </c>
      <c r="AD19" s="31">
        <v>-6.5979999999999999</v>
      </c>
      <c r="AE19" s="31">
        <v>-3.3140000000000001</v>
      </c>
      <c r="AF19" s="30">
        <f>AG19-AE19</f>
        <v>-1.2949999999999999</v>
      </c>
      <c r="AG19" s="30">
        <f>AG12</f>
        <v>-4.609</v>
      </c>
      <c r="AH19" s="31">
        <v>-4.4320000000000004</v>
      </c>
      <c r="AI19" s="30">
        <f>AJ19-AH19</f>
        <v>-4.2259999999999991</v>
      </c>
      <c r="AJ19" s="31">
        <v>-8.6579999999999995</v>
      </c>
      <c r="AK19" s="31">
        <v>-3.6280000000000001</v>
      </c>
      <c r="AL19" s="30">
        <f>AM19-AK19</f>
        <v>-3.4359999999999999</v>
      </c>
      <c r="AM19" s="402">
        <v>-7.0640000000000001</v>
      </c>
      <c r="AN19" s="627">
        <v>-4.0250000000000004</v>
      </c>
    </row>
    <row r="20" spans="1:40">
      <c r="B20" s="7" t="s">
        <v>400</v>
      </c>
      <c r="P20" s="30"/>
      <c r="R20" s="31"/>
      <c r="U20" s="31"/>
      <c r="X20" s="31"/>
      <c r="AA20" s="31"/>
      <c r="AD20" s="31"/>
      <c r="AG20" s="31"/>
      <c r="AJ20" s="31"/>
      <c r="AM20" s="402"/>
    </row>
    <row r="22" spans="1:40" outlineLevel="1">
      <c r="A22" s="14"/>
      <c r="B22" s="14" t="s">
        <v>10</v>
      </c>
      <c r="C22" s="123"/>
      <c r="M22" s="31"/>
      <c r="N22" s="30"/>
      <c r="O22" s="164"/>
      <c r="P22" s="31"/>
      <c r="U22" s="49"/>
      <c r="X22" s="49"/>
      <c r="AA22" s="49"/>
      <c r="AD22" s="49"/>
      <c r="AG22" s="49"/>
      <c r="AJ22" s="49"/>
      <c r="AM22" s="407"/>
    </row>
    <row r="23" spans="1:40" outlineLevel="1">
      <c r="A23" s="14"/>
      <c r="B23" s="7" t="s">
        <v>272</v>
      </c>
      <c r="C23" s="123"/>
      <c r="M23" s="418"/>
      <c r="N23" s="418"/>
      <c r="O23" s="419"/>
      <c r="P23" s="418"/>
      <c r="U23" s="49"/>
      <c r="X23" s="49"/>
      <c r="AA23" s="49"/>
      <c r="AD23" s="49"/>
      <c r="AG23" s="49"/>
      <c r="AJ23" s="49"/>
      <c r="AM23" s="407"/>
    </row>
    <row r="24" spans="1:40" outlineLevel="1">
      <c r="A24" s="14"/>
      <c r="B24" s="7" t="s">
        <v>273</v>
      </c>
      <c r="C24" s="123"/>
      <c r="M24" s="420"/>
      <c r="N24" s="420"/>
      <c r="O24" s="421"/>
      <c r="P24" s="420"/>
      <c r="U24" s="49"/>
      <c r="X24" s="49"/>
      <c r="AA24" s="49"/>
      <c r="AD24" s="49"/>
      <c r="AG24" s="49"/>
      <c r="AJ24" s="49"/>
      <c r="AM24" s="407"/>
    </row>
    <row r="25" spans="1:40" outlineLevel="1"/>
    <row r="26" spans="1:40" outlineLevel="1">
      <c r="B26" s="7" t="s">
        <v>156</v>
      </c>
      <c r="C26" s="119" t="s">
        <v>269</v>
      </c>
      <c r="M26" s="31"/>
      <c r="N26" s="30"/>
      <c r="O26" s="31"/>
      <c r="P26" s="31"/>
      <c r="Q26" s="30"/>
      <c r="R26" s="31"/>
      <c r="U26" s="31"/>
      <c r="X26" s="31"/>
      <c r="AA26" s="31"/>
      <c r="AD26" s="31"/>
      <c r="AG26" s="31"/>
      <c r="AJ26" s="31"/>
      <c r="AM26" s="402"/>
    </row>
    <row r="27" spans="1:40" s="133" customFormat="1" outlineLevel="1">
      <c r="A27" s="131"/>
      <c r="B27" s="132" t="s">
        <v>40</v>
      </c>
      <c r="C27" s="127"/>
      <c r="M27" s="422"/>
      <c r="N27" s="422"/>
      <c r="O27" s="422"/>
      <c r="P27" s="422"/>
      <c r="Q27" s="422"/>
      <c r="R27" s="422"/>
      <c r="U27" s="422"/>
      <c r="V27" s="422"/>
      <c r="W27" s="422"/>
      <c r="X27" s="422"/>
      <c r="Y27" s="422"/>
      <c r="Z27" s="422"/>
      <c r="AA27" s="492"/>
      <c r="AB27" s="142"/>
      <c r="AC27" s="422"/>
      <c r="AD27" s="492"/>
      <c r="AE27" s="142"/>
      <c r="AF27" s="422"/>
      <c r="AG27" s="492"/>
      <c r="AH27" s="142"/>
      <c r="AI27" s="492"/>
      <c r="AJ27" s="492"/>
      <c r="AK27" s="142"/>
      <c r="AL27" s="492"/>
      <c r="AM27" s="568"/>
      <c r="AN27" s="641"/>
    </row>
    <row r="28" spans="1:40" outlineLevel="1">
      <c r="B28" s="7" t="s">
        <v>270</v>
      </c>
      <c r="M28" s="31"/>
      <c r="N28" s="30"/>
      <c r="O28" s="31"/>
      <c r="P28" s="31"/>
      <c r="Q28" s="30"/>
      <c r="R28" s="31"/>
      <c r="U28" s="31"/>
      <c r="X28" s="31"/>
      <c r="AA28" s="31"/>
      <c r="AD28" s="31"/>
      <c r="AG28" s="31"/>
      <c r="AJ28" s="31"/>
      <c r="AM28" s="402"/>
    </row>
    <row r="29" spans="1:40" outlineLevel="1">
      <c r="B29" s="7" t="s">
        <v>228</v>
      </c>
      <c r="M29" s="30"/>
      <c r="N29" s="30"/>
      <c r="O29" s="30"/>
      <c r="P29" s="30"/>
      <c r="Q29" s="30"/>
      <c r="R29" s="30"/>
      <c r="U29" s="30"/>
      <c r="V29" s="30"/>
      <c r="X29" s="30"/>
      <c r="Y29" s="30"/>
      <c r="AA29" s="30"/>
      <c r="AD29" s="30"/>
      <c r="AG29" s="30"/>
      <c r="AJ29" s="30"/>
      <c r="AM29" s="405"/>
    </row>
    <row r="30" spans="1:40" s="133" customFormat="1" outlineLevel="1">
      <c r="A30" s="64"/>
      <c r="B30" s="423" t="s">
        <v>271</v>
      </c>
      <c r="C30" s="424"/>
      <c r="M30" s="422"/>
      <c r="N30" s="422"/>
      <c r="O30" s="422"/>
      <c r="P30" s="422"/>
      <c r="Q30" s="422"/>
      <c r="R30" s="422"/>
      <c r="U30" s="422"/>
      <c r="V30" s="422"/>
      <c r="X30" s="422"/>
      <c r="Y30" s="422"/>
      <c r="AA30" s="492"/>
      <c r="AB30" s="142"/>
      <c r="AD30" s="492"/>
      <c r="AE30" s="142"/>
      <c r="AG30" s="492"/>
      <c r="AH30" s="142"/>
      <c r="AI30" s="142"/>
      <c r="AJ30" s="492"/>
      <c r="AK30" s="142"/>
      <c r="AL30" s="142"/>
      <c r="AM30" s="568"/>
      <c r="AN30" s="641"/>
    </row>
  </sheetData>
  <pageMargins left="0.7" right="0.7" top="0.75" bottom="0.75" header="0.3" footer="0.3"/>
  <pageSetup paperSize="8" scale="59" fitToHeight="0"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48EAA-6D02-4FB5-8B96-F53D0F982BF6}">
  <dimension ref="A1:B44"/>
  <sheetViews>
    <sheetView workbookViewId="0"/>
  </sheetViews>
  <sheetFormatPr defaultRowHeight="13.2"/>
  <cols>
    <col min="1" max="1" width="29.109375" customWidth="1"/>
  </cols>
  <sheetData>
    <row r="1" spans="1:2">
      <c r="A1" s="662" t="s">
        <v>864</v>
      </c>
      <c r="B1" s="670" t="s">
        <v>865</v>
      </c>
    </row>
    <row r="2" spans="1:2">
      <c r="A2" s="662" t="s">
        <v>866</v>
      </c>
      <c r="B2" s="662" t="s">
        <v>867</v>
      </c>
    </row>
    <row r="3" spans="1:2">
      <c r="A3" s="662" t="s">
        <v>868</v>
      </c>
      <c r="B3" s="662" t="s">
        <v>869</v>
      </c>
    </row>
    <row r="4" spans="1:2">
      <c r="A4" s="662" t="s">
        <v>870</v>
      </c>
      <c r="B4" s="662" t="s">
        <v>871</v>
      </c>
    </row>
    <row r="5" spans="1:2">
      <c r="A5" s="662" t="s">
        <v>872</v>
      </c>
      <c r="B5" s="662" t="s">
        <v>873</v>
      </c>
    </row>
    <row r="6" spans="1:2">
      <c r="A6" s="662" t="s">
        <v>874</v>
      </c>
      <c r="B6" s="662"/>
    </row>
    <row r="7" spans="1:2">
      <c r="A7" s="662" t="s">
        <v>875</v>
      </c>
      <c r="B7" s="662" t="s">
        <v>398</v>
      </c>
    </row>
    <row r="8" spans="1:2">
      <c r="A8" s="662" t="s">
        <v>876</v>
      </c>
      <c r="B8" s="662" t="s">
        <v>877</v>
      </c>
    </row>
    <row r="9" spans="1:2">
      <c r="A9" s="662" t="s">
        <v>878</v>
      </c>
      <c r="B9" s="662" t="s">
        <v>879</v>
      </c>
    </row>
    <row r="10" spans="1:2">
      <c r="A10" s="662" t="s">
        <v>880</v>
      </c>
      <c r="B10" s="662"/>
    </row>
    <row r="11" spans="1:2">
      <c r="A11" s="662" t="s">
        <v>881</v>
      </c>
      <c r="B11" s="662"/>
    </row>
    <row r="12" spans="1:2">
      <c r="A12" s="662" t="s">
        <v>882</v>
      </c>
      <c r="B12" s="662"/>
    </row>
    <row r="13" spans="1:2">
      <c r="A13" s="662" t="s">
        <v>883</v>
      </c>
      <c r="B13" s="662"/>
    </row>
    <row r="14" spans="1:2">
      <c r="A14" s="662" t="s">
        <v>884</v>
      </c>
      <c r="B14" s="662"/>
    </row>
    <row r="15" spans="1:2">
      <c r="A15" s="662" t="s">
        <v>885</v>
      </c>
      <c r="B15" s="662"/>
    </row>
    <row r="16" spans="1:2">
      <c r="A16" s="662" t="s">
        <v>886</v>
      </c>
      <c r="B16" s="662"/>
    </row>
    <row r="17" spans="1:2">
      <c r="A17" s="662" t="s">
        <v>887</v>
      </c>
      <c r="B17" s="662" t="s">
        <v>888</v>
      </c>
    </row>
    <row r="18" spans="1:2">
      <c r="A18" s="662" t="s">
        <v>889</v>
      </c>
      <c r="B18" s="662" t="s">
        <v>890</v>
      </c>
    </row>
    <row r="19" spans="1:2">
      <c r="A19" s="662" t="s">
        <v>891</v>
      </c>
      <c r="B19" s="662" t="s">
        <v>397</v>
      </c>
    </row>
    <row r="20" spans="1:2">
      <c r="A20" s="662" t="s">
        <v>892</v>
      </c>
      <c r="B20" s="662"/>
    </row>
    <row r="21" spans="1:2">
      <c r="A21" s="662" t="s">
        <v>893</v>
      </c>
      <c r="B21" s="662" t="s">
        <v>397</v>
      </c>
    </row>
    <row r="22" spans="1:2">
      <c r="A22" s="662" t="s">
        <v>894</v>
      </c>
      <c r="B22" s="662" t="s">
        <v>895</v>
      </c>
    </row>
    <row r="23" spans="1:2">
      <c r="A23" s="662" t="s">
        <v>896</v>
      </c>
      <c r="B23" s="670" t="s">
        <v>897</v>
      </c>
    </row>
    <row r="24" spans="1:2">
      <c r="A24" s="662" t="s">
        <v>898</v>
      </c>
      <c r="B24" s="662" t="s">
        <v>899</v>
      </c>
    </row>
    <row r="25" spans="1:2">
      <c r="A25" s="662" t="s">
        <v>900</v>
      </c>
      <c r="B25" s="662" t="s">
        <v>901</v>
      </c>
    </row>
    <row r="26" spans="1:2">
      <c r="A26" s="662" t="s">
        <v>902</v>
      </c>
      <c r="B26" s="662" t="s">
        <v>903</v>
      </c>
    </row>
    <row r="27" spans="1:2">
      <c r="A27" s="662" t="s">
        <v>904</v>
      </c>
      <c r="B27" s="662" t="s">
        <v>905</v>
      </c>
    </row>
    <row r="28" spans="1:2">
      <c r="A28" s="662" t="s">
        <v>906</v>
      </c>
      <c r="B28" s="662" t="s">
        <v>907</v>
      </c>
    </row>
    <row r="29" spans="1:2">
      <c r="A29" s="662" t="s">
        <v>908</v>
      </c>
      <c r="B29" s="662"/>
    </row>
    <row r="30" spans="1:2">
      <c r="A30" s="662" t="s">
        <v>909</v>
      </c>
      <c r="B30" s="662"/>
    </row>
    <row r="31" spans="1:2">
      <c r="A31" s="662" t="s">
        <v>910</v>
      </c>
      <c r="B31" s="662"/>
    </row>
    <row r="32" spans="1:2">
      <c r="A32" s="662" t="s">
        <v>911</v>
      </c>
      <c r="B32" s="662"/>
    </row>
    <row r="33" spans="1:2">
      <c r="A33" s="662" t="s">
        <v>912</v>
      </c>
      <c r="B33" s="662"/>
    </row>
    <row r="34" spans="1:2">
      <c r="A34" s="662" t="s">
        <v>913</v>
      </c>
      <c r="B34" s="662"/>
    </row>
    <row r="35" spans="1:2">
      <c r="A35" s="662" t="s">
        <v>914</v>
      </c>
      <c r="B35" s="662" t="s">
        <v>915</v>
      </c>
    </row>
    <row r="36" spans="1:2">
      <c r="A36" s="662" t="s">
        <v>916</v>
      </c>
      <c r="B36" s="662" t="s">
        <v>917</v>
      </c>
    </row>
    <row r="37" spans="1:2">
      <c r="A37" s="662" t="s">
        <v>918</v>
      </c>
      <c r="B37" s="662" t="s">
        <v>919</v>
      </c>
    </row>
    <row r="38" spans="1:2">
      <c r="A38" s="662" t="s">
        <v>920</v>
      </c>
      <c r="B38" s="662" t="s">
        <v>921</v>
      </c>
    </row>
    <row r="39" spans="1:2">
      <c r="A39" s="662" t="s">
        <v>922</v>
      </c>
      <c r="B39" s="662" t="s">
        <v>923</v>
      </c>
    </row>
    <row r="40" spans="1:2">
      <c r="A40" s="662" t="s">
        <v>924</v>
      </c>
      <c r="B40" s="662" t="s">
        <v>925</v>
      </c>
    </row>
    <row r="41" spans="1:2">
      <c r="A41" s="662" t="s">
        <v>926</v>
      </c>
      <c r="B41" s="662" t="s">
        <v>927</v>
      </c>
    </row>
    <row r="42" spans="1:2">
      <c r="A42" s="662" t="s">
        <v>928</v>
      </c>
      <c r="B42" s="662"/>
    </row>
    <row r="43" spans="1:2">
      <c r="A43" s="662" t="s">
        <v>929</v>
      </c>
      <c r="B43" s="662"/>
    </row>
    <row r="44" spans="1:2">
      <c r="A44" s="662" t="s">
        <v>930</v>
      </c>
      <c r="B44" s="662" t="s">
        <v>931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42B1E-0AB9-44EB-BEA0-3014789E210C}">
  <dimension ref="A1:A13"/>
  <sheetViews>
    <sheetView workbookViewId="0"/>
  </sheetViews>
  <sheetFormatPr defaultRowHeight="13.2"/>
  <cols>
    <col min="1" max="1" width="29.33203125" customWidth="1"/>
  </cols>
  <sheetData>
    <row r="1" spans="1:1">
      <c r="A1" s="662" t="s">
        <v>932</v>
      </c>
    </row>
    <row r="2" spans="1:1">
      <c r="A2" s="662" t="s">
        <v>933</v>
      </c>
    </row>
    <row r="3" spans="1:1">
      <c r="A3" s="662" t="s">
        <v>934</v>
      </c>
    </row>
    <row r="4" spans="1:1">
      <c r="A4" s="662" t="s">
        <v>935</v>
      </c>
    </row>
    <row r="5" spans="1:1">
      <c r="A5" s="662" t="s">
        <v>936</v>
      </c>
    </row>
    <row r="6" spans="1:1">
      <c r="A6" s="662" t="s">
        <v>937</v>
      </c>
    </row>
    <row r="7" spans="1:1">
      <c r="A7" s="662" t="s">
        <v>938</v>
      </c>
    </row>
    <row r="8" spans="1:1">
      <c r="A8" s="662" t="s">
        <v>939</v>
      </c>
    </row>
    <row r="9" spans="1:1">
      <c r="A9" s="662" t="s">
        <v>940</v>
      </c>
    </row>
    <row r="10" spans="1:1">
      <c r="A10" s="662" t="s">
        <v>941</v>
      </c>
    </row>
    <row r="11" spans="1:1">
      <c r="A11" s="662" t="s">
        <v>942</v>
      </c>
    </row>
    <row r="12" spans="1:1">
      <c r="A12" s="662" t="s">
        <v>943</v>
      </c>
    </row>
    <row r="13" spans="1:1">
      <c r="A13" s="662" t="s">
        <v>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27</vt:i4>
      </vt:variant>
    </vt:vector>
  </HeadingPairs>
  <TitlesOfParts>
    <vt:vector size="38" baseType="lpstr">
      <vt:lpstr>CircularReferenceAlert</vt:lpstr>
      <vt:lpstr>ImportantDisclosures</vt:lpstr>
      <vt:lpstr>Fin Sum</vt:lpstr>
      <vt:lpstr>Valuation</vt:lpstr>
      <vt:lpstr>BS, CF and P&amp;L</vt:lpstr>
      <vt:lpstr>Americas</vt:lpstr>
      <vt:lpstr>Asia Pacific</vt:lpstr>
      <vt:lpstr>EMEA</vt:lpstr>
      <vt:lpstr>Corporate</vt:lpstr>
      <vt:lpstr>IndexInformation</vt:lpstr>
      <vt:lpstr>ModPubIndex</vt:lpstr>
      <vt:lpstr>InterestExpenseCopy</vt:lpstr>
      <vt:lpstr>InterestExpensePaste</vt:lpstr>
      <vt:lpstr>InterestIncomeCopy</vt:lpstr>
      <vt:lpstr>InterestIncomePaste</vt:lpstr>
      <vt:lpstr>Linking_1</vt:lpstr>
      <vt:lpstr>Linking_2</vt:lpstr>
      <vt:lpstr>Linking_3</vt:lpstr>
      <vt:lpstr>Linking_32</vt:lpstr>
      <vt:lpstr>Linking_34</vt:lpstr>
      <vt:lpstr>Linking_37</vt:lpstr>
      <vt:lpstr>Linking_38</vt:lpstr>
      <vt:lpstr>Linking_4</vt:lpstr>
      <vt:lpstr>Linking_40</vt:lpstr>
      <vt:lpstr>Linking_50</vt:lpstr>
      <vt:lpstr>Linking_52</vt:lpstr>
      <vt:lpstr>Linking_53</vt:lpstr>
      <vt:lpstr>Linking_54</vt:lpstr>
      <vt:lpstr>Linking_65</vt:lpstr>
      <vt:lpstr>Linking_67</vt:lpstr>
      <vt:lpstr>Linking_68</vt:lpstr>
      <vt:lpstr>'Asia Pacific'!Print_Area</vt:lpstr>
      <vt:lpstr>'BS, CF and P&amp;L'!Print_Area</vt:lpstr>
      <vt:lpstr>Corporate!Print_Area</vt:lpstr>
      <vt:lpstr>EMEA!Print_Area</vt:lpstr>
      <vt:lpstr>'Fin Sum'!Print_Area</vt:lpstr>
      <vt:lpstr>Valuation!Print_Area</vt:lpstr>
      <vt:lpstr>'BS, CF and P&amp;L'!Print_Titles</vt:lpstr>
    </vt:vector>
  </TitlesOfParts>
  <Company>ABN AMRO BANK 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Dinesh.Shenoy@morganstanley.com</dc:creator>
  <cp:lastModifiedBy>Sick, Julianna C (Research)</cp:lastModifiedBy>
  <cp:lastPrinted>2025-08-19T04:31:59Z</cp:lastPrinted>
  <dcterms:created xsi:type="dcterms:W3CDTF">2003-02-25T20:39:45Z</dcterms:created>
  <dcterms:modified xsi:type="dcterms:W3CDTF">2026-02-18T06:27:36Z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T_EQUIP" linkTarget="PROP_PLANT_EQUIP">
    <vt:lpwstr>#REF!</vt:lpwstr>
  </property>
  <property fmtid="{D5CDD505-2E9C-101B-9397-08002B2CF9AE}" pid="3" name="MSIP_Label_07f119e6-c6cd-44b0-a5ee-ac1aff68c56e_Enabled">
    <vt:lpwstr>true</vt:lpwstr>
  </property>
  <property fmtid="{D5CDD505-2E9C-101B-9397-08002B2CF9AE}" pid="4" name="MSIP_Label_07f119e6-c6cd-44b0-a5ee-ac1aff68c56e_SetDate">
    <vt:lpwstr>2021-05-27T03:53:56Z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fc8afe08-10a9-412a-8710-a6bde1978d45</vt:lpwstr>
  </property>
  <property fmtid="{D5CDD505-2E9C-101B-9397-08002B2CF9AE}" pid="9" name="MSIP_Label_07f119e6-c6cd-44b0-a5ee-ac1aff68c56e_ContentBits">
    <vt:lpwstr>0</vt:lpwstr>
  </property>
  <property fmtid="{D5CDD505-2E9C-101B-9397-08002B2CF9AE}" pid="10" name="ERModPubTicket">
    <vt:lpwstr>NA</vt:lpwstr>
  </property>
  <property fmtid="{D5CDD505-2E9C-101B-9397-08002B2CF9AE}" pid="11" name="ERModPubConfirmEmail">
    <vt:bool>false</vt:bool>
  </property>
  <property fmtid="{D5CDD505-2E9C-101B-9397-08002B2CF9AE}" pid="12" name="ERModPubUserEmail">
    <vt:lpwstr>sickjul@ms.com</vt:lpwstr>
  </property>
  <property fmtid="{D5CDD505-2E9C-101B-9397-08002B2CF9AE}" pid="13" name="ERModPubGCIMTagged">
    <vt:bool>true</vt:bool>
  </property>
  <property fmtid="{D5CDD505-2E9C-101B-9397-08002B2CF9AE}" pid="14" name="ERCompanyUploadState">
    <vt:lpwstr>P</vt:lpwstr>
  </property>
  <property fmtid="{D5CDD505-2E9C-101B-9397-08002B2CF9AE}" pid="15" name="ERModPubCurrentYear">
    <vt:i4>2026</vt:i4>
  </property>
  <property fmtid="{D5CDD505-2E9C-101B-9397-08002B2CF9AE}" pid="16" name="ModelId">
    <vt:lpwstr>9787126</vt:lpwstr>
  </property>
  <property fmtid="{D5CDD505-2E9C-101B-9397-08002B2CF9AE}" pid="17" name="ERModPubCompanyName">
    <vt:lpwstr>Reliance Worldwide Corporation Ltd</vt:lpwstr>
  </property>
</Properties>
</file>